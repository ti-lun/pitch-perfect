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2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3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10" yWindow="270" windowWidth="27630" windowHeight="18120"/>
  </bookViews>
  <sheets>
    <sheet name="Winter 2016" sheetId="1" r:id="rId1"/>
    <sheet name="Quizzes" sheetId="2" r:id="rId2"/>
    <sheet name="Programs" sheetId="4" r:id="rId3"/>
    <sheet name="Exams" sheetId="3" r:id="rId4"/>
  </sheets>
  <definedNames>
    <definedName name="_xlnm._FilterDatabase" localSheetId="0" hidden="1">'Winter 2016'!$A$1:$AC$413</definedName>
    <definedName name="A_Section_Summary_Column">'Winter 2016'!#REF!:'Winter 2016'!#REF!</definedName>
    <definedName name="All_Student_XC">'Winter 2016'!$AA$9:$AA$387</definedName>
    <definedName name="AVG_BINS">{5;10;15;20;25;30;35;40;45;50;55;60;65;70;75;80;85;90;95;100;"&gt;"}</definedName>
    <definedName name="AVGS">FREQUENCY(OFFSET('Winter 2016'!$B$9,0,#REF!-7,#REF!)*100/INDIRECT("'Fall 10'!"&amp;#REF!&amp;2),[0]!AVG_BINS)</definedName>
    <definedName name="Big_Histogram">IF(#REF!=#REF!,#REF!,IF(#REF!=#REF!,#REF!,#REF!))</definedName>
    <definedName name="First">"$"&amp;#REF!&amp;"$"&amp;[0]!Min</definedName>
    <definedName name="GEN_BINS">IF(#REF!&lt;=14,[0]!Q_BINS,IF(#REF!&lt;=19,[0]!P_BINS))</definedName>
    <definedName name="Last">"$"&amp;#REF!&amp;"$"&amp;[0]!Max</definedName>
    <definedName name="Max">70</definedName>
    <definedName name="Min">9</definedName>
    <definedName name="Normalize_Minimum">75</definedName>
    <definedName name="Normalize_To_Add">'Winter 2016'!$Z$8</definedName>
    <definedName name="Normalize_To_AddN">'Winter 2016'!$Z$8</definedName>
    <definedName name="P_BINS">{4;8;12;16;20;24;28;32;36;40;44;48;52;56;60;64;68;72;76;80;84;88;"&gt;"}</definedName>
    <definedName name="PAAvg">0.75</definedName>
    <definedName name="PAMin">0.75</definedName>
    <definedName name="Point_Total_So_Far">'Winter 2016'!$Z$2</definedName>
    <definedName name="Prefix">[0]!Tab&amp;[0]!First</definedName>
    <definedName name="Q_BINS">{0;1;2;3;4;5;6;7;8;9;10;11;12;13;14;15;16;17;18;19;20;21;22;23;24;25;"&gt;"}</definedName>
    <definedName name="Tab">"'Fall 10'!"</definedName>
    <definedName name="YS">FREQUENCY(OFFSET('Winter 2016'!$B$9,0,#REF!-7,#REF!),[0]!GEN_BINS)</definedName>
  </definedNames>
  <calcPr calcId="145621" iterateDelta="1E-4" concurrentCalc="0"/>
</workbook>
</file>

<file path=xl/calcChain.xml><?xml version="1.0" encoding="utf-8"?>
<calcChain xmlns="http://schemas.openxmlformats.org/spreadsheetml/2006/main">
  <c r="B3" i="1" l="1"/>
  <c r="B4" i="1"/>
  <c r="C3" i="1"/>
  <c r="C4" i="1"/>
  <c r="D3" i="1"/>
  <c r="D4" i="1"/>
  <c r="E3" i="1"/>
  <c r="E4" i="1"/>
  <c r="F3" i="1"/>
  <c r="F4" i="1"/>
  <c r="G3" i="1"/>
  <c r="G4" i="1"/>
  <c r="H3" i="1"/>
  <c r="H4" i="1"/>
  <c r="I3" i="1"/>
  <c r="I4" i="1"/>
  <c r="BB81" i="1"/>
  <c r="BB56" i="1"/>
  <c r="W334" i="1"/>
  <c r="R3" i="1"/>
  <c r="R4" i="1"/>
  <c r="R6" i="1"/>
  <c r="R8" i="1"/>
  <c r="T3" i="1"/>
  <c r="T4" i="1"/>
  <c r="T6" i="1"/>
  <c r="T8" i="1"/>
  <c r="S334" i="1"/>
  <c r="X334" i="1"/>
  <c r="W8" i="1"/>
  <c r="X8" i="1"/>
  <c r="AT8" i="1"/>
  <c r="W2" i="1"/>
  <c r="X2" i="1"/>
  <c r="AT2" i="1"/>
  <c r="AT334" i="1"/>
  <c r="W104" i="1"/>
  <c r="S104" i="1"/>
  <c r="X104" i="1"/>
  <c r="AT104" i="1"/>
  <c r="W343" i="1"/>
  <c r="S343" i="1"/>
  <c r="X343" i="1"/>
  <c r="AT343" i="1"/>
  <c r="W346" i="1"/>
  <c r="S346" i="1"/>
  <c r="X346" i="1"/>
  <c r="AT346" i="1"/>
  <c r="W388" i="1"/>
  <c r="S388" i="1"/>
  <c r="X388" i="1"/>
  <c r="AT388" i="1"/>
  <c r="W355" i="1"/>
  <c r="S355" i="1"/>
  <c r="X355" i="1"/>
  <c r="AT355" i="1"/>
  <c r="W369" i="1"/>
  <c r="S369" i="1"/>
  <c r="X369" i="1"/>
  <c r="AT369" i="1"/>
  <c r="W103" i="1"/>
  <c r="S103" i="1"/>
  <c r="X103" i="1"/>
  <c r="AT103" i="1"/>
  <c r="W150" i="1"/>
  <c r="S150" i="1"/>
  <c r="X150" i="1"/>
  <c r="AT150" i="1"/>
  <c r="W85" i="1"/>
  <c r="S85" i="1"/>
  <c r="X85" i="1"/>
  <c r="AT85" i="1"/>
  <c r="W45" i="1"/>
  <c r="S45" i="1"/>
  <c r="X45" i="1"/>
  <c r="AT45" i="1"/>
  <c r="W263" i="1"/>
  <c r="S263" i="1"/>
  <c r="X263" i="1"/>
  <c r="AT263" i="1"/>
  <c r="W138" i="1"/>
  <c r="S138" i="1"/>
  <c r="X138" i="1"/>
  <c r="AT138" i="1"/>
  <c r="W87" i="1"/>
  <c r="S87" i="1"/>
  <c r="X87" i="1"/>
  <c r="AT87" i="1"/>
  <c r="W259" i="1"/>
  <c r="S259" i="1"/>
  <c r="X259" i="1"/>
  <c r="AT259" i="1"/>
  <c r="W61" i="1"/>
  <c r="S61" i="1"/>
  <c r="X61" i="1"/>
  <c r="AT61" i="1"/>
  <c r="W22" i="1"/>
  <c r="S22" i="1"/>
  <c r="X22" i="1"/>
  <c r="AT22" i="1"/>
  <c r="W222" i="1"/>
  <c r="S222" i="1"/>
  <c r="X222" i="1"/>
  <c r="AT222" i="1"/>
  <c r="W53" i="1"/>
  <c r="S53" i="1"/>
  <c r="X53" i="1"/>
  <c r="AT53" i="1"/>
  <c r="W277" i="1"/>
  <c r="S277" i="1"/>
  <c r="X277" i="1"/>
  <c r="AT277" i="1"/>
  <c r="W113" i="1"/>
  <c r="S113" i="1"/>
  <c r="X113" i="1"/>
  <c r="AT113" i="1"/>
  <c r="W313" i="1"/>
  <c r="S313" i="1"/>
  <c r="X313" i="1"/>
  <c r="AT313" i="1"/>
  <c r="W246" i="1"/>
  <c r="S246" i="1"/>
  <c r="X246" i="1"/>
  <c r="AT246" i="1"/>
  <c r="W386" i="1"/>
  <c r="S386" i="1"/>
  <c r="X386" i="1"/>
  <c r="AT386" i="1"/>
  <c r="W161" i="1"/>
  <c r="S161" i="1"/>
  <c r="X161" i="1"/>
  <c r="AT161" i="1"/>
  <c r="W149" i="1"/>
  <c r="S149" i="1"/>
  <c r="X149" i="1"/>
  <c r="AT149" i="1"/>
  <c r="W324" i="1"/>
  <c r="S324" i="1"/>
  <c r="X324" i="1"/>
  <c r="AT324" i="1"/>
  <c r="W312" i="1"/>
  <c r="S312" i="1"/>
  <c r="X312" i="1"/>
  <c r="AT312" i="1"/>
  <c r="W88" i="1"/>
  <c r="S88" i="1"/>
  <c r="X88" i="1"/>
  <c r="AT88" i="1"/>
  <c r="W387" i="1"/>
  <c r="S387" i="1"/>
  <c r="X387" i="1"/>
  <c r="AT387" i="1"/>
  <c r="W250" i="1"/>
  <c r="S250" i="1"/>
  <c r="X250" i="1"/>
  <c r="AT250" i="1"/>
  <c r="W164" i="1"/>
  <c r="S164" i="1"/>
  <c r="X164" i="1"/>
  <c r="AT164" i="1"/>
  <c r="W251" i="1"/>
  <c r="S251" i="1"/>
  <c r="X251" i="1"/>
  <c r="AT251" i="1"/>
  <c r="W179" i="1"/>
  <c r="S179" i="1"/>
  <c r="X179" i="1"/>
  <c r="AT179" i="1"/>
  <c r="W228" i="1"/>
  <c r="S228" i="1"/>
  <c r="X228" i="1"/>
  <c r="AT228" i="1"/>
  <c r="W353" i="1"/>
  <c r="S353" i="1"/>
  <c r="X353" i="1"/>
  <c r="AT353" i="1"/>
  <c r="W98" i="1"/>
  <c r="S98" i="1"/>
  <c r="X98" i="1"/>
  <c r="AT98" i="1"/>
  <c r="W282" i="1"/>
  <c r="S282" i="1"/>
  <c r="X282" i="1"/>
  <c r="AT282" i="1"/>
  <c r="W321" i="1"/>
  <c r="S321" i="1"/>
  <c r="X321" i="1"/>
  <c r="AT321" i="1"/>
  <c r="W97" i="1"/>
  <c r="S97" i="1"/>
  <c r="X97" i="1"/>
  <c r="AT97" i="1"/>
  <c r="W368" i="1"/>
  <c r="S368" i="1"/>
  <c r="X368" i="1"/>
  <c r="AT368" i="1"/>
  <c r="W385" i="1"/>
  <c r="S385" i="1"/>
  <c r="X385" i="1"/>
  <c r="AT385" i="1"/>
  <c r="W223" i="1"/>
  <c r="S223" i="1"/>
  <c r="X223" i="1"/>
  <c r="AT223" i="1"/>
  <c r="W242" i="1"/>
  <c r="S242" i="1"/>
  <c r="X242" i="1"/>
  <c r="AT242" i="1"/>
  <c r="W185" i="1"/>
  <c r="S185" i="1"/>
  <c r="X185" i="1"/>
  <c r="AT185" i="1"/>
  <c r="W108" i="1"/>
  <c r="S108" i="1"/>
  <c r="X108" i="1"/>
  <c r="AT108" i="1"/>
  <c r="W227" i="1"/>
  <c r="S227" i="1"/>
  <c r="X227" i="1"/>
  <c r="AT227" i="1"/>
  <c r="W91" i="1"/>
  <c r="S91" i="1"/>
  <c r="X91" i="1"/>
  <c r="AT91" i="1"/>
  <c r="W271" i="1"/>
  <c r="S271" i="1"/>
  <c r="X271" i="1"/>
  <c r="AT271" i="1"/>
  <c r="W301" i="1"/>
  <c r="S301" i="1"/>
  <c r="X301" i="1"/>
  <c r="AT301" i="1"/>
  <c r="W13" i="1"/>
  <c r="S13" i="1"/>
  <c r="X13" i="1"/>
  <c r="AT13" i="1"/>
  <c r="W208" i="1"/>
  <c r="S208" i="1"/>
  <c r="X208" i="1"/>
  <c r="AT208" i="1"/>
  <c r="W147" i="1"/>
  <c r="S147" i="1"/>
  <c r="X147" i="1"/>
  <c r="AT147" i="1"/>
  <c r="W12" i="1"/>
  <c r="S12" i="1"/>
  <c r="X12" i="1"/>
  <c r="AT12" i="1"/>
  <c r="W201" i="1"/>
  <c r="S201" i="1"/>
  <c r="X201" i="1"/>
  <c r="AT201" i="1"/>
  <c r="W118" i="1"/>
  <c r="S118" i="1"/>
  <c r="X118" i="1"/>
  <c r="AT118" i="1"/>
  <c r="W20" i="1"/>
  <c r="S20" i="1"/>
  <c r="X20" i="1"/>
  <c r="AT20" i="1"/>
  <c r="W176" i="1"/>
  <c r="S176" i="1"/>
  <c r="X176" i="1"/>
  <c r="AT176" i="1"/>
  <c r="W168" i="1"/>
  <c r="S168" i="1"/>
  <c r="X168" i="1"/>
  <c r="AT168" i="1"/>
  <c r="W122" i="1"/>
  <c r="S122" i="1"/>
  <c r="X122" i="1"/>
  <c r="AT122" i="1"/>
  <c r="W117" i="1"/>
  <c r="S117" i="1"/>
  <c r="X117" i="1"/>
  <c r="AT117" i="1"/>
  <c r="W124" i="1"/>
  <c r="S124" i="1"/>
  <c r="X124" i="1"/>
  <c r="AT124" i="1"/>
  <c r="W126" i="1"/>
  <c r="S126" i="1"/>
  <c r="X126" i="1"/>
  <c r="AT126" i="1"/>
  <c r="W244" i="1"/>
  <c r="S244" i="1"/>
  <c r="X244" i="1"/>
  <c r="AT244" i="1"/>
  <c r="W158" i="1"/>
  <c r="S158" i="1"/>
  <c r="X158" i="1"/>
  <c r="AT158" i="1"/>
  <c r="W166" i="1"/>
  <c r="S166" i="1"/>
  <c r="X166" i="1"/>
  <c r="AT166" i="1"/>
  <c r="W46" i="1"/>
  <c r="S46" i="1"/>
  <c r="X46" i="1"/>
  <c r="AT46" i="1"/>
  <c r="W159" i="1"/>
  <c r="S159" i="1"/>
  <c r="X159" i="1"/>
  <c r="AT159" i="1"/>
  <c r="W64" i="1"/>
  <c r="S64" i="1"/>
  <c r="X64" i="1"/>
  <c r="AT64" i="1"/>
  <c r="W318" i="1"/>
  <c r="S318" i="1"/>
  <c r="X318" i="1"/>
  <c r="AT318" i="1"/>
  <c r="W95" i="1"/>
  <c r="S95" i="1"/>
  <c r="X95" i="1"/>
  <c r="AT95" i="1"/>
  <c r="W106" i="1"/>
  <c r="S106" i="1"/>
  <c r="X106" i="1"/>
  <c r="AT106" i="1"/>
  <c r="W18" i="1"/>
  <c r="S18" i="1"/>
  <c r="X18" i="1"/>
  <c r="AT18" i="1"/>
  <c r="W137" i="1"/>
  <c r="S137" i="1"/>
  <c r="X137" i="1"/>
  <c r="AT137" i="1"/>
  <c r="W169" i="1"/>
  <c r="S169" i="1"/>
  <c r="X169" i="1"/>
  <c r="AT169" i="1"/>
  <c r="W370" i="1"/>
  <c r="S370" i="1"/>
  <c r="X370" i="1"/>
  <c r="AT370" i="1"/>
  <c r="W83" i="1"/>
  <c r="S83" i="1"/>
  <c r="X83" i="1"/>
  <c r="AT83" i="1"/>
  <c r="W105" i="1"/>
  <c r="S105" i="1"/>
  <c r="X105" i="1"/>
  <c r="AT105" i="1"/>
  <c r="W325" i="1"/>
  <c r="S325" i="1"/>
  <c r="X325" i="1"/>
  <c r="AT325" i="1"/>
  <c r="W93" i="1"/>
  <c r="S93" i="1"/>
  <c r="X93" i="1"/>
  <c r="AT93" i="1"/>
  <c r="W145" i="1"/>
  <c r="S145" i="1"/>
  <c r="X145" i="1"/>
  <c r="AT145" i="1"/>
  <c r="W178" i="1"/>
  <c r="S178" i="1"/>
  <c r="X178" i="1"/>
  <c r="AT178" i="1"/>
  <c r="W163" i="1"/>
  <c r="S163" i="1"/>
  <c r="X163" i="1"/>
  <c r="AT163" i="1"/>
  <c r="W307" i="1"/>
  <c r="S307" i="1"/>
  <c r="X307" i="1"/>
  <c r="AT307" i="1"/>
  <c r="W247" i="1"/>
  <c r="S247" i="1"/>
  <c r="X247" i="1"/>
  <c r="AT247" i="1"/>
  <c r="W252" i="1"/>
  <c r="S252" i="1"/>
  <c r="X252" i="1"/>
  <c r="AT252" i="1"/>
  <c r="W92" i="1"/>
  <c r="S92" i="1"/>
  <c r="X92" i="1"/>
  <c r="AT92" i="1"/>
  <c r="W266" i="1"/>
  <c r="S266" i="1"/>
  <c r="X266" i="1"/>
  <c r="AT266" i="1"/>
  <c r="W202" i="1"/>
  <c r="S202" i="1"/>
  <c r="X202" i="1"/>
  <c r="AT202" i="1"/>
  <c r="W309" i="1"/>
  <c r="S309" i="1"/>
  <c r="X309" i="1"/>
  <c r="AT309" i="1"/>
  <c r="W74" i="1"/>
  <c r="S74" i="1"/>
  <c r="X74" i="1"/>
  <c r="AT74" i="1"/>
  <c r="W63" i="1"/>
  <c r="S63" i="1"/>
  <c r="X63" i="1"/>
  <c r="AT63" i="1"/>
  <c r="W226" i="1"/>
  <c r="S226" i="1"/>
  <c r="X226" i="1"/>
  <c r="AT226" i="1"/>
  <c r="W32" i="1"/>
  <c r="S32" i="1"/>
  <c r="X32" i="1"/>
  <c r="AT32" i="1"/>
  <c r="W21" i="1"/>
  <c r="S21" i="1"/>
  <c r="X21" i="1"/>
  <c r="AT21" i="1"/>
  <c r="W11" i="1"/>
  <c r="S11" i="1"/>
  <c r="X11" i="1"/>
  <c r="AT11" i="1"/>
  <c r="W214" i="1"/>
  <c r="S214" i="1"/>
  <c r="X214" i="1"/>
  <c r="AT214" i="1"/>
  <c r="W48" i="1"/>
  <c r="S48" i="1"/>
  <c r="X48" i="1"/>
  <c r="AT48" i="1"/>
  <c r="W29" i="1"/>
  <c r="S29" i="1"/>
  <c r="X29" i="1"/>
  <c r="AT29" i="1"/>
  <c r="W109" i="1"/>
  <c r="S109" i="1"/>
  <c r="X109" i="1"/>
  <c r="AT109" i="1"/>
  <c r="W129" i="1"/>
  <c r="S129" i="1"/>
  <c r="X129" i="1"/>
  <c r="AT129" i="1"/>
  <c r="W194" i="1"/>
  <c r="S194" i="1"/>
  <c r="X194" i="1"/>
  <c r="AT194" i="1"/>
  <c r="W148" i="1"/>
  <c r="S148" i="1"/>
  <c r="X148" i="1"/>
  <c r="AT148" i="1"/>
  <c r="W190" i="1"/>
  <c r="S190" i="1"/>
  <c r="X190" i="1"/>
  <c r="AT190" i="1"/>
  <c r="W69" i="1"/>
  <c r="S69" i="1"/>
  <c r="X69" i="1"/>
  <c r="AT69" i="1"/>
  <c r="W322" i="1"/>
  <c r="S322" i="1"/>
  <c r="X322" i="1"/>
  <c r="AT322" i="1"/>
  <c r="W380" i="1"/>
  <c r="S380" i="1"/>
  <c r="X380" i="1"/>
  <c r="AT380" i="1"/>
  <c r="W291" i="1"/>
  <c r="S291" i="1"/>
  <c r="X291" i="1"/>
  <c r="AT291" i="1"/>
  <c r="W210" i="1"/>
  <c r="S210" i="1"/>
  <c r="X210" i="1"/>
  <c r="AT210" i="1"/>
  <c r="W89" i="1"/>
  <c r="S89" i="1"/>
  <c r="X89" i="1"/>
  <c r="AT89" i="1"/>
  <c r="W54" i="1"/>
  <c r="S54" i="1"/>
  <c r="X54" i="1"/>
  <c r="AT54" i="1"/>
  <c r="W144" i="1"/>
  <c r="S144" i="1"/>
  <c r="X144" i="1"/>
  <c r="AT144" i="1"/>
  <c r="W300" i="1"/>
  <c r="S300" i="1"/>
  <c r="X300" i="1"/>
  <c r="AT300" i="1"/>
  <c r="W80" i="1"/>
  <c r="S80" i="1"/>
  <c r="X80" i="1"/>
  <c r="AT80" i="1"/>
  <c r="W211" i="1"/>
  <c r="S211" i="1"/>
  <c r="X211" i="1"/>
  <c r="AT211" i="1"/>
  <c r="W268" i="1"/>
  <c r="S268" i="1"/>
  <c r="X268" i="1"/>
  <c r="AT268" i="1"/>
  <c r="W206" i="1"/>
  <c r="S206" i="1"/>
  <c r="X206" i="1"/>
  <c r="AT206" i="1"/>
  <c r="W205" i="1"/>
  <c r="S205" i="1"/>
  <c r="X205" i="1"/>
  <c r="AT205" i="1"/>
  <c r="W348" i="1"/>
  <c r="S348" i="1"/>
  <c r="X348" i="1"/>
  <c r="AT348" i="1"/>
  <c r="W17" i="1"/>
  <c r="S17" i="1"/>
  <c r="X17" i="1"/>
  <c r="AT17" i="1"/>
  <c r="W111" i="1"/>
  <c r="S111" i="1"/>
  <c r="X111" i="1"/>
  <c r="AT111" i="1"/>
  <c r="W265" i="1"/>
  <c r="S265" i="1"/>
  <c r="X265" i="1"/>
  <c r="AT265" i="1"/>
  <c r="W261" i="1"/>
  <c r="S261" i="1"/>
  <c r="X261" i="1"/>
  <c r="AT261" i="1"/>
  <c r="W112" i="1"/>
  <c r="S112" i="1"/>
  <c r="X112" i="1"/>
  <c r="AT112" i="1"/>
  <c r="W9" i="1"/>
  <c r="S9" i="1"/>
  <c r="X9" i="1"/>
  <c r="AT9" i="1"/>
  <c r="W72" i="1"/>
  <c r="S72" i="1"/>
  <c r="X72" i="1"/>
  <c r="AT72" i="1"/>
  <c r="W217" i="1"/>
  <c r="S217" i="1"/>
  <c r="X217" i="1"/>
  <c r="AT217" i="1"/>
  <c r="W57" i="1"/>
  <c r="S57" i="1"/>
  <c r="X57" i="1"/>
  <c r="AT57" i="1"/>
  <c r="W221" i="1"/>
  <c r="S221" i="1"/>
  <c r="X221" i="1"/>
  <c r="AT221" i="1"/>
  <c r="W140" i="1"/>
  <c r="S140" i="1"/>
  <c r="X140" i="1"/>
  <c r="AT140" i="1"/>
  <c r="W239" i="1"/>
  <c r="S239" i="1"/>
  <c r="X239" i="1"/>
  <c r="AT239" i="1"/>
  <c r="W192" i="1"/>
  <c r="S192" i="1"/>
  <c r="X192" i="1"/>
  <c r="AT192" i="1"/>
  <c r="W327" i="1"/>
  <c r="S327" i="1"/>
  <c r="X327" i="1"/>
  <c r="AT327" i="1"/>
  <c r="W233" i="1"/>
  <c r="S233" i="1"/>
  <c r="X233" i="1"/>
  <c r="AT233" i="1"/>
  <c r="W362" i="1"/>
  <c r="S362" i="1"/>
  <c r="X362" i="1"/>
  <c r="AT362" i="1"/>
  <c r="W345" i="1"/>
  <c r="S345" i="1"/>
  <c r="X345" i="1"/>
  <c r="AT345" i="1"/>
  <c r="W366" i="1"/>
  <c r="S366" i="1"/>
  <c r="X366" i="1"/>
  <c r="AT366" i="1"/>
  <c r="W139" i="1"/>
  <c r="S139" i="1"/>
  <c r="X139" i="1"/>
  <c r="AT139" i="1"/>
  <c r="W71" i="1"/>
  <c r="S71" i="1"/>
  <c r="X71" i="1"/>
  <c r="AT71" i="1"/>
  <c r="W256" i="1"/>
  <c r="S256" i="1"/>
  <c r="X256" i="1"/>
  <c r="AT256" i="1"/>
  <c r="W236" i="1"/>
  <c r="S236" i="1"/>
  <c r="X236" i="1"/>
  <c r="AT236" i="1"/>
  <c r="W270" i="1"/>
  <c r="S270" i="1"/>
  <c r="X270" i="1"/>
  <c r="AT270" i="1"/>
  <c r="W136" i="1"/>
  <c r="S136" i="1"/>
  <c r="X136" i="1"/>
  <c r="AT136" i="1"/>
  <c r="W135" i="1"/>
  <c r="S135" i="1"/>
  <c r="X135" i="1"/>
  <c r="AT135" i="1"/>
  <c r="W186" i="1"/>
  <c r="S186" i="1"/>
  <c r="X186" i="1"/>
  <c r="AT186" i="1"/>
  <c r="W240" i="1"/>
  <c r="S240" i="1"/>
  <c r="X240" i="1"/>
  <c r="AT240" i="1"/>
  <c r="W275" i="1"/>
  <c r="S275" i="1"/>
  <c r="X275" i="1"/>
  <c r="AT275" i="1"/>
  <c r="W107" i="1"/>
  <c r="S107" i="1"/>
  <c r="X107" i="1"/>
  <c r="AT107" i="1"/>
  <c r="W131" i="1"/>
  <c r="S131" i="1"/>
  <c r="X131" i="1"/>
  <c r="AT131" i="1"/>
  <c r="W59" i="1"/>
  <c r="S59" i="1"/>
  <c r="X59" i="1"/>
  <c r="AT59" i="1"/>
  <c r="W315" i="1"/>
  <c r="S315" i="1"/>
  <c r="X315" i="1"/>
  <c r="AT315" i="1"/>
  <c r="W183" i="1"/>
  <c r="S183" i="1"/>
  <c r="X183" i="1"/>
  <c r="AT183" i="1"/>
  <c r="W316" i="1"/>
  <c r="S316" i="1"/>
  <c r="X316" i="1"/>
  <c r="AT316" i="1"/>
  <c r="W243" i="1"/>
  <c r="S243" i="1"/>
  <c r="X243" i="1"/>
  <c r="AT243" i="1"/>
  <c r="W182" i="1"/>
  <c r="S182" i="1"/>
  <c r="X182" i="1"/>
  <c r="AT182" i="1"/>
  <c r="W94" i="1"/>
  <c r="S94" i="1"/>
  <c r="X94" i="1"/>
  <c r="AT94" i="1"/>
  <c r="W196" i="1"/>
  <c r="S196" i="1"/>
  <c r="X196" i="1"/>
  <c r="AT196" i="1"/>
  <c r="W218" i="1"/>
  <c r="S218" i="1"/>
  <c r="X218" i="1"/>
  <c r="AT218" i="1"/>
  <c r="W249" i="1"/>
  <c r="S249" i="1"/>
  <c r="X249" i="1"/>
  <c r="AT249" i="1"/>
  <c r="W339" i="1"/>
  <c r="S339" i="1"/>
  <c r="X339" i="1"/>
  <c r="AT339" i="1"/>
  <c r="W184" i="1"/>
  <c r="S184" i="1"/>
  <c r="X184" i="1"/>
  <c r="AT184" i="1"/>
  <c r="W302" i="1"/>
  <c r="S302" i="1"/>
  <c r="X302" i="1"/>
  <c r="AT302" i="1"/>
  <c r="W151" i="1"/>
  <c r="S151" i="1"/>
  <c r="X151" i="1"/>
  <c r="AT151" i="1"/>
  <c r="W272" i="1"/>
  <c r="S272" i="1"/>
  <c r="X272" i="1"/>
  <c r="AT272" i="1"/>
  <c r="W285" i="1"/>
  <c r="S285" i="1"/>
  <c r="X285" i="1"/>
  <c r="AT285" i="1"/>
  <c r="W90" i="1"/>
  <c r="S90" i="1"/>
  <c r="X90" i="1"/>
  <c r="AT90" i="1"/>
  <c r="W173" i="1"/>
  <c r="S173" i="1"/>
  <c r="X173" i="1"/>
  <c r="AT173" i="1"/>
  <c r="W49" i="1"/>
  <c r="S49" i="1"/>
  <c r="X49" i="1"/>
  <c r="AT49" i="1"/>
  <c r="W382" i="1"/>
  <c r="S382" i="1"/>
  <c r="X382" i="1"/>
  <c r="AT382" i="1"/>
  <c r="W40" i="1"/>
  <c r="S40" i="1"/>
  <c r="X40" i="1"/>
  <c r="AT40" i="1"/>
  <c r="W258" i="1"/>
  <c r="S258" i="1"/>
  <c r="X258" i="1"/>
  <c r="AT258" i="1"/>
  <c r="W127" i="1"/>
  <c r="S127" i="1"/>
  <c r="X127" i="1"/>
  <c r="AT127" i="1"/>
  <c r="W65" i="1"/>
  <c r="S65" i="1"/>
  <c r="X65" i="1"/>
  <c r="AT65" i="1"/>
  <c r="W347" i="1"/>
  <c r="S347" i="1"/>
  <c r="X347" i="1"/>
  <c r="AT347" i="1"/>
  <c r="W41" i="1"/>
  <c r="S41" i="1"/>
  <c r="X41" i="1"/>
  <c r="AT41" i="1"/>
  <c r="W39" i="1"/>
  <c r="S39" i="1"/>
  <c r="X39" i="1"/>
  <c r="AT39" i="1"/>
  <c r="W287" i="1"/>
  <c r="S287" i="1"/>
  <c r="X287" i="1"/>
  <c r="AT287" i="1"/>
  <c r="W361" i="1"/>
  <c r="S361" i="1"/>
  <c r="X361" i="1"/>
  <c r="AT361" i="1"/>
  <c r="W248" i="1"/>
  <c r="S248" i="1"/>
  <c r="X248" i="1"/>
  <c r="AT248" i="1"/>
  <c r="W24" i="1"/>
  <c r="S24" i="1"/>
  <c r="X24" i="1"/>
  <c r="AT24" i="1"/>
  <c r="W33" i="1"/>
  <c r="S33" i="1"/>
  <c r="X33" i="1"/>
  <c r="AT33" i="1"/>
  <c r="W195" i="1"/>
  <c r="S195" i="1"/>
  <c r="X195" i="1"/>
  <c r="AT195" i="1"/>
  <c r="W338" i="1"/>
  <c r="S338" i="1"/>
  <c r="X338" i="1"/>
  <c r="AT338" i="1"/>
  <c r="W351" i="1"/>
  <c r="S351" i="1"/>
  <c r="X351" i="1"/>
  <c r="AT351" i="1"/>
  <c r="W220" i="1"/>
  <c r="S220" i="1"/>
  <c r="X220" i="1"/>
  <c r="AT220" i="1"/>
  <c r="W292" i="1"/>
  <c r="S292" i="1"/>
  <c r="X292" i="1"/>
  <c r="AT292" i="1"/>
  <c r="W254" i="1"/>
  <c r="S254" i="1"/>
  <c r="X254" i="1"/>
  <c r="AT254" i="1"/>
  <c r="W42" i="1"/>
  <c r="S42" i="1"/>
  <c r="X42" i="1"/>
  <c r="AT42" i="1"/>
  <c r="W60" i="1"/>
  <c r="S60" i="1"/>
  <c r="X60" i="1"/>
  <c r="AT60" i="1"/>
  <c r="W305" i="1"/>
  <c r="S305" i="1"/>
  <c r="X305" i="1"/>
  <c r="AT305" i="1"/>
  <c r="W358" i="1"/>
  <c r="S358" i="1"/>
  <c r="X358" i="1"/>
  <c r="AT358" i="1"/>
  <c r="W232" i="1"/>
  <c r="S232" i="1"/>
  <c r="X232" i="1"/>
  <c r="AT232" i="1"/>
  <c r="W264" i="1"/>
  <c r="S264" i="1"/>
  <c r="X264" i="1"/>
  <c r="AT264" i="1"/>
  <c r="W47" i="1"/>
  <c r="S47" i="1"/>
  <c r="X47" i="1"/>
  <c r="AT47" i="1"/>
  <c r="W146" i="1"/>
  <c r="S146" i="1"/>
  <c r="X146" i="1"/>
  <c r="AT146" i="1"/>
  <c r="W349" i="1"/>
  <c r="S349" i="1"/>
  <c r="X349" i="1"/>
  <c r="AT349" i="1"/>
  <c r="W132" i="1"/>
  <c r="S132" i="1"/>
  <c r="X132" i="1"/>
  <c r="AT132" i="1"/>
  <c r="W383" i="1"/>
  <c r="S383" i="1"/>
  <c r="X383" i="1"/>
  <c r="AT383" i="1"/>
  <c r="W55" i="1"/>
  <c r="S55" i="1"/>
  <c r="X55" i="1"/>
  <c r="AT55" i="1"/>
  <c r="W78" i="1"/>
  <c r="S78" i="1"/>
  <c r="X78" i="1"/>
  <c r="AT78" i="1"/>
  <c r="W177" i="1"/>
  <c r="S177" i="1"/>
  <c r="X177" i="1"/>
  <c r="AT177" i="1"/>
  <c r="W62" i="1"/>
  <c r="S62" i="1"/>
  <c r="X62" i="1"/>
  <c r="AT62" i="1"/>
  <c r="W30" i="1"/>
  <c r="S30" i="1"/>
  <c r="X30" i="1"/>
  <c r="AT30" i="1"/>
  <c r="W306" i="1"/>
  <c r="S306" i="1"/>
  <c r="X306" i="1"/>
  <c r="AT306" i="1"/>
  <c r="W75" i="1"/>
  <c r="S75" i="1"/>
  <c r="X75" i="1"/>
  <c r="AT75" i="1"/>
  <c r="W231" i="1"/>
  <c r="S231" i="1"/>
  <c r="X231" i="1"/>
  <c r="AT231" i="1"/>
  <c r="W295" i="1"/>
  <c r="S295" i="1"/>
  <c r="X295" i="1"/>
  <c r="AT295" i="1"/>
  <c r="W329" i="1"/>
  <c r="S329" i="1"/>
  <c r="X329" i="1"/>
  <c r="AT329" i="1"/>
  <c r="W52" i="1"/>
  <c r="S52" i="1"/>
  <c r="X52" i="1"/>
  <c r="AT52" i="1"/>
  <c r="W299" i="1"/>
  <c r="S299" i="1"/>
  <c r="X299" i="1"/>
  <c r="AT299" i="1"/>
  <c r="W354" i="1"/>
  <c r="S354" i="1"/>
  <c r="X354" i="1"/>
  <c r="AT354" i="1"/>
  <c r="W120" i="1"/>
  <c r="S120" i="1"/>
  <c r="X120" i="1"/>
  <c r="AT120" i="1"/>
  <c r="W198" i="1"/>
  <c r="S198" i="1"/>
  <c r="X198" i="1"/>
  <c r="AT198" i="1"/>
  <c r="W25" i="1"/>
  <c r="S25" i="1"/>
  <c r="X25" i="1"/>
  <c r="AT25" i="1"/>
  <c r="W175" i="1"/>
  <c r="S175" i="1"/>
  <c r="X175" i="1"/>
  <c r="AT175" i="1"/>
  <c r="W375" i="1"/>
  <c r="S375" i="1"/>
  <c r="X375" i="1"/>
  <c r="AT375" i="1"/>
  <c r="W16" i="1"/>
  <c r="S16" i="1"/>
  <c r="X16" i="1"/>
  <c r="AT16" i="1"/>
  <c r="W328" i="1"/>
  <c r="S328" i="1"/>
  <c r="X328" i="1"/>
  <c r="AT328" i="1"/>
  <c r="W51" i="1"/>
  <c r="S51" i="1"/>
  <c r="X51" i="1"/>
  <c r="AT51" i="1"/>
  <c r="W86" i="1"/>
  <c r="S86" i="1"/>
  <c r="X86" i="1"/>
  <c r="AT86" i="1"/>
  <c r="W269" i="1"/>
  <c r="S269" i="1"/>
  <c r="X269" i="1"/>
  <c r="AT269" i="1"/>
  <c r="W333" i="1"/>
  <c r="S333" i="1"/>
  <c r="X333" i="1"/>
  <c r="AT333" i="1"/>
  <c r="W310" i="1"/>
  <c r="S310" i="1"/>
  <c r="X310" i="1"/>
  <c r="AT310" i="1"/>
  <c r="W36" i="1"/>
  <c r="S36" i="1"/>
  <c r="X36" i="1"/>
  <c r="AT36" i="1"/>
  <c r="W193" i="1"/>
  <c r="S193" i="1"/>
  <c r="X193" i="1"/>
  <c r="AT193" i="1"/>
  <c r="W167" i="1"/>
  <c r="S167" i="1"/>
  <c r="X167" i="1"/>
  <c r="AT167" i="1"/>
  <c r="W238" i="1"/>
  <c r="S238" i="1"/>
  <c r="X238" i="1"/>
  <c r="AT238" i="1"/>
  <c r="W216" i="1"/>
  <c r="S216" i="1"/>
  <c r="X216" i="1"/>
  <c r="AT216" i="1"/>
  <c r="W34" i="1"/>
  <c r="S34" i="1"/>
  <c r="X34" i="1"/>
  <c r="AT34" i="1"/>
  <c r="W121" i="1"/>
  <c r="S121" i="1"/>
  <c r="X121" i="1"/>
  <c r="AT121" i="1"/>
  <c r="W68" i="1"/>
  <c r="S68" i="1"/>
  <c r="X68" i="1"/>
  <c r="AT68" i="1"/>
  <c r="W335" i="1"/>
  <c r="S335" i="1"/>
  <c r="X335" i="1"/>
  <c r="AT335" i="1"/>
  <c r="W372" i="1"/>
  <c r="S372" i="1"/>
  <c r="X372" i="1"/>
  <c r="AT372" i="1"/>
  <c r="W323" i="1"/>
  <c r="S323" i="1"/>
  <c r="X323" i="1"/>
  <c r="AT323" i="1"/>
  <c r="W225" i="1"/>
  <c r="S225" i="1"/>
  <c r="X225" i="1"/>
  <c r="AT225" i="1"/>
  <c r="W134" i="1"/>
  <c r="S134" i="1"/>
  <c r="X134" i="1"/>
  <c r="AT134" i="1"/>
  <c r="W128" i="1"/>
  <c r="S128" i="1"/>
  <c r="X128" i="1"/>
  <c r="AT128" i="1"/>
  <c r="W364" i="1"/>
  <c r="S364" i="1"/>
  <c r="X364" i="1"/>
  <c r="AT364" i="1"/>
  <c r="W336" i="1"/>
  <c r="S336" i="1"/>
  <c r="X336" i="1"/>
  <c r="AT336" i="1"/>
  <c r="W330" i="1"/>
  <c r="S330" i="1"/>
  <c r="X330" i="1"/>
  <c r="AT330" i="1"/>
  <c r="W37" i="1"/>
  <c r="S37" i="1"/>
  <c r="X37" i="1"/>
  <c r="AT37" i="1"/>
  <c r="W341" i="1"/>
  <c r="S341" i="1"/>
  <c r="X341" i="1"/>
  <c r="AT341" i="1"/>
  <c r="W260" i="1"/>
  <c r="S260" i="1"/>
  <c r="X260" i="1"/>
  <c r="AT260" i="1"/>
  <c r="W219" i="1"/>
  <c r="S219" i="1"/>
  <c r="X219" i="1"/>
  <c r="AT219" i="1"/>
  <c r="W278" i="1"/>
  <c r="S278" i="1"/>
  <c r="X278" i="1"/>
  <c r="AT278" i="1"/>
  <c r="W289" i="1"/>
  <c r="S289" i="1"/>
  <c r="X289" i="1"/>
  <c r="AT289" i="1"/>
  <c r="W99" i="1"/>
  <c r="S99" i="1"/>
  <c r="X99" i="1"/>
  <c r="AT99" i="1"/>
  <c r="W125" i="1"/>
  <c r="S125" i="1"/>
  <c r="X125" i="1"/>
  <c r="AT125" i="1"/>
  <c r="W296" i="1"/>
  <c r="S296" i="1"/>
  <c r="X296" i="1"/>
  <c r="AT296" i="1"/>
  <c r="W156" i="1"/>
  <c r="S156" i="1"/>
  <c r="X156" i="1"/>
  <c r="AT156" i="1"/>
  <c r="W23" i="1"/>
  <c r="S23" i="1"/>
  <c r="X23" i="1"/>
  <c r="AT23" i="1"/>
  <c r="W35" i="1"/>
  <c r="S35" i="1"/>
  <c r="X35" i="1"/>
  <c r="AT35" i="1"/>
  <c r="W294" i="1"/>
  <c r="S294" i="1"/>
  <c r="X294" i="1"/>
  <c r="AT294" i="1"/>
  <c r="W340" i="1"/>
  <c r="S340" i="1"/>
  <c r="X340" i="1"/>
  <c r="AT340" i="1"/>
  <c r="W14" i="1"/>
  <c r="S14" i="1"/>
  <c r="X14" i="1"/>
  <c r="AT14" i="1"/>
  <c r="W116" i="1"/>
  <c r="S116" i="1"/>
  <c r="X116" i="1"/>
  <c r="AT116" i="1"/>
  <c r="W297" i="1"/>
  <c r="S297" i="1"/>
  <c r="X297" i="1"/>
  <c r="AT297" i="1"/>
  <c r="W363" i="1"/>
  <c r="S363" i="1"/>
  <c r="X363" i="1"/>
  <c r="AT363" i="1"/>
  <c r="W66" i="1"/>
  <c r="S66" i="1"/>
  <c r="X66" i="1"/>
  <c r="AT66" i="1"/>
  <c r="W191" i="1"/>
  <c r="S191" i="1"/>
  <c r="X191" i="1"/>
  <c r="AT191" i="1"/>
  <c r="W56" i="1"/>
  <c r="S56" i="1"/>
  <c r="X56" i="1"/>
  <c r="AT56" i="1"/>
  <c r="W81" i="1"/>
  <c r="S81" i="1"/>
  <c r="X81" i="1"/>
  <c r="AT81" i="1"/>
  <c r="W203" i="1"/>
  <c r="S203" i="1"/>
  <c r="X203" i="1"/>
  <c r="AT203" i="1"/>
  <c r="W70" i="1"/>
  <c r="S70" i="1"/>
  <c r="X70" i="1"/>
  <c r="AT70" i="1"/>
  <c r="W31" i="1"/>
  <c r="S31" i="1"/>
  <c r="X31" i="1"/>
  <c r="AT31" i="1"/>
  <c r="W44" i="1"/>
  <c r="S44" i="1"/>
  <c r="X44" i="1"/>
  <c r="AT44" i="1"/>
  <c r="W153" i="1"/>
  <c r="S153" i="1"/>
  <c r="X153" i="1"/>
  <c r="AT153" i="1"/>
  <c r="W376" i="1"/>
  <c r="S376" i="1"/>
  <c r="X376" i="1"/>
  <c r="AT376" i="1"/>
  <c r="W373" i="1"/>
  <c r="S373" i="1"/>
  <c r="X373" i="1"/>
  <c r="AT373" i="1"/>
  <c r="W209" i="1"/>
  <c r="S209" i="1"/>
  <c r="X209" i="1"/>
  <c r="AT209" i="1"/>
  <c r="W114" i="1"/>
  <c r="S114" i="1"/>
  <c r="X114" i="1"/>
  <c r="AT114" i="1"/>
  <c r="W130" i="1"/>
  <c r="S130" i="1"/>
  <c r="X130" i="1"/>
  <c r="AT130" i="1"/>
  <c r="W235" i="1"/>
  <c r="S235" i="1"/>
  <c r="X235" i="1"/>
  <c r="AT235" i="1"/>
  <c r="W377" i="1"/>
  <c r="S377" i="1"/>
  <c r="X377" i="1"/>
  <c r="AT377" i="1"/>
  <c r="W155" i="1"/>
  <c r="S155" i="1"/>
  <c r="X155" i="1"/>
  <c r="AT155" i="1"/>
  <c r="W344" i="1"/>
  <c r="S344" i="1"/>
  <c r="X344" i="1"/>
  <c r="AT344" i="1"/>
  <c r="W303" i="1"/>
  <c r="S303" i="1"/>
  <c r="X303" i="1"/>
  <c r="AT303" i="1"/>
  <c r="W286" i="1"/>
  <c r="S286" i="1"/>
  <c r="X286" i="1"/>
  <c r="AT286" i="1"/>
  <c r="W84" i="1"/>
  <c r="S84" i="1"/>
  <c r="X84" i="1"/>
  <c r="AT84" i="1"/>
  <c r="W142" i="1"/>
  <c r="S142" i="1"/>
  <c r="X142" i="1"/>
  <c r="AT142" i="1"/>
  <c r="W283" i="1"/>
  <c r="S283" i="1"/>
  <c r="X283" i="1"/>
  <c r="AT283" i="1"/>
  <c r="W157" i="1"/>
  <c r="S157" i="1"/>
  <c r="X157" i="1"/>
  <c r="AT157" i="1"/>
  <c r="W141" i="1"/>
  <c r="S141" i="1"/>
  <c r="X141" i="1"/>
  <c r="AT141" i="1"/>
  <c r="W311" i="1"/>
  <c r="S311" i="1"/>
  <c r="X311" i="1"/>
  <c r="AT311" i="1"/>
  <c r="W204" i="1"/>
  <c r="S204" i="1"/>
  <c r="X204" i="1"/>
  <c r="AT204" i="1"/>
  <c r="W279" i="1"/>
  <c r="S279" i="1"/>
  <c r="X279" i="1"/>
  <c r="AT279" i="1"/>
  <c r="W352" i="1"/>
  <c r="S352" i="1"/>
  <c r="X352" i="1"/>
  <c r="AT352" i="1"/>
  <c r="W280" i="1"/>
  <c r="S280" i="1"/>
  <c r="X280" i="1"/>
  <c r="AT280" i="1"/>
  <c r="W274" i="1"/>
  <c r="S274" i="1"/>
  <c r="X274" i="1"/>
  <c r="AT274" i="1"/>
  <c r="W378" i="1"/>
  <c r="S378" i="1"/>
  <c r="X378" i="1"/>
  <c r="AT378" i="1"/>
  <c r="W110" i="1"/>
  <c r="S110" i="1"/>
  <c r="X110" i="1"/>
  <c r="AT110" i="1"/>
  <c r="W350" i="1"/>
  <c r="S350" i="1"/>
  <c r="X350" i="1"/>
  <c r="AT350" i="1"/>
  <c r="W152" i="1"/>
  <c r="S152" i="1"/>
  <c r="X152" i="1"/>
  <c r="AT152" i="1"/>
  <c r="W213" i="1"/>
  <c r="S213" i="1"/>
  <c r="X213" i="1"/>
  <c r="AT213" i="1"/>
  <c r="W284" i="1"/>
  <c r="S284" i="1"/>
  <c r="X284" i="1"/>
  <c r="AT284" i="1"/>
  <c r="W359" i="1"/>
  <c r="S359" i="1"/>
  <c r="X359" i="1"/>
  <c r="AT359" i="1"/>
  <c r="W331" i="1"/>
  <c r="S331" i="1"/>
  <c r="X331" i="1"/>
  <c r="AT331" i="1"/>
  <c r="W262" i="1"/>
  <c r="S262" i="1"/>
  <c r="X262" i="1"/>
  <c r="AT262" i="1"/>
  <c r="W10" i="1"/>
  <c r="S10" i="1"/>
  <c r="X10" i="1"/>
  <c r="AT10" i="1"/>
  <c r="W187" i="1"/>
  <c r="S187" i="1"/>
  <c r="X187" i="1"/>
  <c r="AT187" i="1"/>
  <c r="W319" i="1"/>
  <c r="S319" i="1"/>
  <c r="X319" i="1"/>
  <c r="AT319" i="1"/>
  <c r="W314" i="1"/>
  <c r="S314" i="1"/>
  <c r="X314" i="1"/>
  <c r="AT314" i="1"/>
  <c r="W207" i="1"/>
  <c r="S207" i="1"/>
  <c r="X207" i="1"/>
  <c r="AT207" i="1"/>
  <c r="W367" i="1"/>
  <c r="S367" i="1"/>
  <c r="X367" i="1"/>
  <c r="AT367" i="1"/>
  <c r="W326" i="1"/>
  <c r="S326" i="1"/>
  <c r="X326" i="1"/>
  <c r="AT326" i="1"/>
  <c r="W171" i="1"/>
  <c r="S171" i="1"/>
  <c r="X171" i="1"/>
  <c r="AT171" i="1"/>
  <c r="W371" i="1"/>
  <c r="S371" i="1"/>
  <c r="X371" i="1"/>
  <c r="AT371" i="1"/>
  <c r="W342" i="1"/>
  <c r="S342" i="1"/>
  <c r="X342" i="1"/>
  <c r="AT342" i="1"/>
  <c r="W276" i="1"/>
  <c r="S276" i="1"/>
  <c r="X276" i="1"/>
  <c r="AT276" i="1"/>
  <c r="W28" i="1"/>
  <c r="S28" i="1"/>
  <c r="X28" i="1"/>
  <c r="AT28" i="1"/>
  <c r="W212" i="1"/>
  <c r="S212" i="1"/>
  <c r="X212" i="1"/>
  <c r="AT212" i="1"/>
  <c r="W172" i="1"/>
  <c r="S172" i="1"/>
  <c r="X172" i="1"/>
  <c r="AT172" i="1"/>
  <c r="W199" i="1"/>
  <c r="S199" i="1"/>
  <c r="X199" i="1"/>
  <c r="AT199" i="1"/>
  <c r="W67" i="1"/>
  <c r="S67" i="1"/>
  <c r="X67" i="1"/>
  <c r="AT67" i="1"/>
  <c r="W96" i="1"/>
  <c r="S96" i="1"/>
  <c r="X96" i="1"/>
  <c r="AT96" i="1"/>
  <c r="W77" i="1"/>
  <c r="S77" i="1"/>
  <c r="X77" i="1"/>
  <c r="AT77" i="1"/>
  <c r="W293" i="1"/>
  <c r="S293" i="1"/>
  <c r="X293" i="1"/>
  <c r="AT293" i="1"/>
  <c r="W230" i="1"/>
  <c r="S230" i="1"/>
  <c r="X230" i="1"/>
  <c r="AT230" i="1"/>
  <c r="W26" i="1"/>
  <c r="S26" i="1"/>
  <c r="X26" i="1"/>
  <c r="AT26" i="1"/>
  <c r="W76" i="1"/>
  <c r="S76" i="1"/>
  <c r="X76" i="1"/>
  <c r="AT76" i="1"/>
  <c r="W50" i="1"/>
  <c r="S50" i="1"/>
  <c r="X50" i="1"/>
  <c r="AT50" i="1"/>
  <c r="W15" i="1"/>
  <c r="S15" i="1"/>
  <c r="X15" i="1"/>
  <c r="AT15" i="1"/>
  <c r="W379" i="1"/>
  <c r="S379" i="1"/>
  <c r="X379" i="1"/>
  <c r="AT379" i="1"/>
  <c r="W245" i="1"/>
  <c r="S245" i="1"/>
  <c r="X245" i="1"/>
  <c r="AT245" i="1"/>
  <c r="W320" i="1"/>
  <c r="S320" i="1"/>
  <c r="X320" i="1"/>
  <c r="AT320" i="1"/>
  <c r="W174" i="1"/>
  <c r="S174" i="1"/>
  <c r="X174" i="1"/>
  <c r="AT174" i="1"/>
  <c r="W255" i="1"/>
  <c r="S255" i="1"/>
  <c r="X255" i="1"/>
  <c r="AT255" i="1"/>
  <c r="W43" i="1"/>
  <c r="S43" i="1"/>
  <c r="X43" i="1"/>
  <c r="AT43" i="1"/>
  <c r="W115" i="1"/>
  <c r="S115" i="1"/>
  <c r="X115" i="1"/>
  <c r="AT115" i="1"/>
  <c r="W253" i="1"/>
  <c r="S253" i="1"/>
  <c r="X253" i="1"/>
  <c r="AT253" i="1"/>
  <c r="W197" i="1"/>
  <c r="S197" i="1"/>
  <c r="X197" i="1"/>
  <c r="AT197" i="1"/>
  <c r="W27" i="1"/>
  <c r="S27" i="1"/>
  <c r="X27" i="1"/>
  <c r="AT27" i="1"/>
  <c r="W160" i="1"/>
  <c r="S160" i="1"/>
  <c r="X160" i="1"/>
  <c r="AT160" i="1"/>
  <c r="W82" i="1"/>
  <c r="S82" i="1"/>
  <c r="X82" i="1"/>
  <c r="AT82" i="1"/>
  <c r="W356" i="1"/>
  <c r="S356" i="1"/>
  <c r="X356" i="1"/>
  <c r="AT356" i="1"/>
  <c r="W365" i="1"/>
  <c r="S365" i="1"/>
  <c r="X365" i="1"/>
  <c r="AT365" i="1"/>
  <c r="W58" i="1"/>
  <c r="S58" i="1"/>
  <c r="X58" i="1"/>
  <c r="AT58" i="1"/>
  <c r="W162" i="1"/>
  <c r="S162" i="1"/>
  <c r="X162" i="1"/>
  <c r="AT162" i="1"/>
  <c r="W102" i="1"/>
  <c r="S102" i="1"/>
  <c r="X102" i="1"/>
  <c r="AT102" i="1"/>
  <c r="W317" i="1"/>
  <c r="S317" i="1"/>
  <c r="X317" i="1"/>
  <c r="AT317" i="1"/>
  <c r="W189" i="1"/>
  <c r="S189" i="1"/>
  <c r="X189" i="1"/>
  <c r="AT189" i="1"/>
  <c r="W224" i="1"/>
  <c r="S224" i="1"/>
  <c r="X224" i="1"/>
  <c r="AT224" i="1"/>
  <c r="W332" i="1"/>
  <c r="S332" i="1"/>
  <c r="X332" i="1"/>
  <c r="AT332" i="1"/>
  <c r="W73" i="1"/>
  <c r="S73" i="1"/>
  <c r="X73" i="1"/>
  <c r="AT73" i="1"/>
  <c r="W237" i="1"/>
  <c r="S237" i="1"/>
  <c r="X237" i="1"/>
  <c r="AT237" i="1"/>
  <c r="W170" i="1"/>
  <c r="S170" i="1"/>
  <c r="X170" i="1"/>
  <c r="AT170" i="1"/>
  <c r="W215" i="1"/>
  <c r="S215" i="1"/>
  <c r="X215" i="1"/>
  <c r="AT215" i="1"/>
  <c r="W180" i="1"/>
  <c r="S180" i="1"/>
  <c r="X180" i="1"/>
  <c r="AT180" i="1"/>
  <c r="W298" i="1"/>
  <c r="S298" i="1"/>
  <c r="X298" i="1"/>
  <c r="AT298" i="1"/>
  <c r="W288" i="1"/>
  <c r="S288" i="1"/>
  <c r="X288" i="1"/>
  <c r="AT288" i="1"/>
  <c r="W119" i="1"/>
  <c r="S119" i="1"/>
  <c r="X119" i="1"/>
  <c r="AT119" i="1"/>
  <c r="W384" i="1"/>
  <c r="S384" i="1"/>
  <c r="X384" i="1"/>
  <c r="AT384" i="1"/>
  <c r="W188" i="1"/>
  <c r="S188" i="1"/>
  <c r="X188" i="1"/>
  <c r="AT188" i="1"/>
  <c r="W79" i="1"/>
  <c r="S79" i="1"/>
  <c r="X79" i="1"/>
  <c r="AT79" i="1"/>
  <c r="W257" i="1"/>
  <c r="S257" i="1"/>
  <c r="X257" i="1"/>
  <c r="AT257" i="1"/>
  <c r="W337" i="1"/>
  <c r="S337" i="1"/>
  <c r="X337" i="1"/>
  <c r="AT337" i="1"/>
  <c r="W101" i="1"/>
  <c r="S101" i="1"/>
  <c r="X101" i="1"/>
  <c r="AT101" i="1"/>
  <c r="W290" i="1"/>
  <c r="S290" i="1"/>
  <c r="X290" i="1"/>
  <c r="AT290" i="1"/>
  <c r="W281" i="1"/>
  <c r="S281" i="1"/>
  <c r="X281" i="1"/>
  <c r="AT281" i="1"/>
  <c r="W304" i="1"/>
  <c r="S304" i="1"/>
  <c r="X304" i="1"/>
  <c r="AT304" i="1"/>
  <c r="W267" i="1"/>
  <c r="S267" i="1"/>
  <c r="X267" i="1"/>
  <c r="AT267" i="1"/>
  <c r="W154" i="1"/>
  <c r="S154" i="1"/>
  <c r="X154" i="1"/>
  <c r="AT154" i="1"/>
  <c r="W143" i="1"/>
  <c r="S143" i="1"/>
  <c r="X143" i="1"/>
  <c r="AT143" i="1"/>
  <c r="W200" i="1"/>
  <c r="S200" i="1"/>
  <c r="X200" i="1"/>
  <c r="AT200" i="1"/>
  <c r="W273" i="1"/>
  <c r="S273" i="1"/>
  <c r="X273" i="1"/>
  <c r="AT273" i="1"/>
  <c r="W374" i="1"/>
  <c r="S374" i="1"/>
  <c r="X374" i="1"/>
  <c r="AT374" i="1"/>
  <c r="W308" i="1"/>
  <c r="S308" i="1"/>
  <c r="X308" i="1"/>
  <c r="AT308" i="1"/>
  <c r="W357" i="1"/>
  <c r="S357" i="1"/>
  <c r="X357" i="1"/>
  <c r="AT357" i="1"/>
  <c r="W381" i="1"/>
  <c r="S381" i="1"/>
  <c r="X381" i="1"/>
  <c r="AT381" i="1"/>
  <c r="W229" i="1"/>
  <c r="S229" i="1"/>
  <c r="X229" i="1"/>
  <c r="AT229" i="1"/>
  <c r="W165" i="1"/>
  <c r="S165" i="1"/>
  <c r="X165" i="1"/>
  <c r="AT165" i="1"/>
  <c r="W181" i="1"/>
  <c r="S181" i="1"/>
  <c r="X181" i="1"/>
  <c r="AT181" i="1"/>
  <c r="W38" i="1"/>
  <c r="S38" i="1"/>
  <c r="X38" i="1"/>
  <c r="AT38" i="1"/>
  <c r="W133" i="1"/>
  <c r="S133" i="1"/>
  <c r="X133" i="1"/>
  <c r="AT133" i="1"/>
  <c r="W100" i="1"/>
  <c r="S100" i="1"/>
  <c r="X100" i="1"/>
  <c r="AT100" i="1"/>
  <c r="W360" i="1"/>
  <c r="S360" i="1"/>
  <c r="X360" i="1"/>
  <c r="AT360" i="1"/>
  <c r="W234" i="1"/>
  <c r="S234" i="1"/>
  <c r="X234" i="1"/>
  <c r="AT234" i="1"/>
  <c r="W123" i="1"/>
  <c r="S123" i="1"/>
  <c r="X123" i="1"/>
  <c r="AT123" i="1"/>
  <c r="W19" i="1"/>
  <c r="S19" i="1"/>
  <c r="X19" i="1"/>
  <c r="AT19" i="1"/>
  <c r="W241" i="1"/>
  <c r="S241" i="1"/>
  <c r="X241" i="1"/>
  <c r="AT241" i="1"/>
  <c r="B280" i="3" a="1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AS8" i="1"/>
  <c r="AS2" i="1"/>
  <c r="AS334" i="1"/>
  <c r="AS104" i="1"/>
  <c r="AS343" i="1"/>
  <c r="AS346" i="1"/>
  <c r="AS388" i="1"/>
  <c r="AS355" i="1"/>
  <c r="AS369" i="1"/>
  <c r="AS103" i="1"/>
  <c r="AS150" i="1"/>
  <c r="AS85" i="1"/>
  <c r="AS45" i="1"/>
  <c r="AS263" i="1"/>
  <c r="AS138" i="1"/>
  <c r="AS87" i="1"/>
  <c r="AS259" i="1"/>
  <c r="AS61" i="1"/>
  <c r="AS22" i="1"/>
  <c r="AS222" i="1"/>
  <c r="AS53" i="1"/>
  <c r="AS277" i="1"/>
  <c r="AS113" i="1"/>
  <c r="AS313" i="1"/>
  <c r="AS246" i="1"/>
  <c r="AS386" i="1"/>
  <c r="AS161" i="1"/>
  <c r="AS149" i="1"/>
  <c r="AS324" i="1"/>
  <c r="AS312" i="1"/>
  <c r="AS88" i="1"/>
  <c r="AS387" i="1"/>
  <c r="AS250" i="1"/>
  <c r="AS164" i="1"/>
  <c r="AS251" i="1"/>
  <c r="AS179" i="1"/>
  <c r="AS228" i="1"/>
  <c r="AS353" i="1"/>
  <c r="AS98" i="1"/>
  <c r="AS282" i="1"/>
  <c r="AS321" i="1"/>
  <c r="AS97" i="1"/>
  <c r="AS368" i="1"/>
  <c r="AS385" i="1"/>
  <c r="AS223" i="1"/>
  <c r="AS242" i="1"/>
  <c r="AS185" i="1"/>
  <c r="AS108" i="1"/>
  <c r="AS227" i="1"/>
  <c r="AS91" i="1"/>
  <c r="AS271" i="1"/>
  <c r="AS301" i="1"/>
  <c r="AS13" i="1"/>
  <c r="AS208" i="1"/>
  <c r="AS147" i="1"/>
  <c r="AS12" i="1"/>
  <c r="AS201" i="1"/>
  <c r="AS118" i="1"/>
  <c r="AS20" i="1"/>
  <c r="AS176" i="1"/>
  <c r="AS168" i="1"/>
  <c r="AS122" i="1"/>
  <c r="AS117" i="1"/>
  <c r="AS124" i="1"/>
  <c r="AS126" i="1"/>
  <c r="AS244" i="1"/>
  <c r="AS158" i="1"/>
  <c r="AS166" i="1"/>
  <c r="AS46" i="1"/>
  <c r="AS159" i="1"/>
  <c r="AS64" i="1"/>
  <c r="AS318" i="1"/>
  <c r="AS95" i="1"/>
  <c r="AS106" i="1"/>
  <c r="AS18" i="1"/>
  <c r="AS137" i="1"/>
  <c r="AS169" i="1"/>
  <c r="AS370" i="1"/>
  <c r="AS83" i="1"/>
  <c r="AS105" i="1"/>
  <c r="AS325" i="1"/>
  <c r="AS93" i="1"/>
  <c r="AS145" i="1"/>
  <c r="AS178" i="1"/>
  <c r="AS163" i="1"/>
  <c r="AS307" i="1"/>
  <c r="AS247" i="1"/>
  <c r="AS252" i="1"/>
  <c r="AS92" i="1"/>
  <c r="AS266" i="1"/>
  <c r="AS202" i="1"/>
  <c r="AS309" i="1"/>
  <c r="AS74" i="1"/>
  <c r="AS63" i="1"/>
  <c r="AS226" i="1"/>
  <c r="AS32" i="1"/>
  <c r="AS21" i="1"/>
  <c r="AS11" i="1"/>
  <c r="AS214" i="1"/>
  <c r="AS48" i="1"/>
  <c r="AS29" i="1"/>
  <c r="AS109" i="1"/>
  <c r="AS129" i="1"/>
  <c r="AS194" i="1"/>
  <c r="AS148" i="1"/>
  <c r="AS190" i="1"/>
  <c r="AS69" i="1"/>
  <c r="AS322" i="1"/>
  <c r="AS380" i="1"/>
  <c r="AS291" i="1"/>
  <c r="AS210" i="1"/>
  <c r="AS89" i="1"/>
  <c r="AS54" i="1"/>
  <c r="AS144" i="1"/>
  <c r="AS300" i="1"/>
  <c r="AS80" i="1"/>
  <c r="AS211" i="1"/>
  <c r="AS268" i="1"/>
  <c r="AS206" i="1"/>
  <c r="AS205" i="1"/>
  <c r="AS348" i="1"/>
  <c r="AS17" i="1"/>
  <c r="AS111" i="1"/>
  <c r="AS265" i="1"/>
  <c r="AS261" i="1"/>
  <c r="AS112" i="1"/>
  <c r="AS9" i="1"/>
  <c r="AS72" i="1"/>
  <c r="AS217" i="1"/>
  <c r="AS57" i="1"/>
  <c r="AS221" i="1"/>
  <c r="AS140" i="1"/>
  <c r="AS239" i="1"/>
  <c r="AS192" i="1"/>
  <c r="AS327" i="1"/>
  <c r="AS233" i="1"/>
  <c r="AS362" i="1"/>
  <c r="AS345" i="1"/>
  <c r="AS366" i="1"/>
  <c r="AS139" i="1"/>
  <c r="AS71" i="1"/>
  <c r="AS256" i="1"/>
  <c r="AS236" i="1"/>
  <c r="AS270" i="1"/>
  <c r="AS136" i="1"/>
  <c r="AS135" i="1"/>
  <c r="AS186" i="1"/>
  <c r="AS240" i="1"/>
  <c r="AS275" i="1"/>
  <c r="AS107" i="1"/>
  <c r="AS131" i="1"/>
  <c r="AS59" i="1"/>
  <c r="AS315" i="1"/>
  <c r="AS183" i="1"/>
  <c r="AS316" i="1"/>
  <c r="AS243" i="1"/>
  <c r="AS182" i="1"/>
  <c r="AS94" i="1"/>
  <c r="AS196" i="1"/>
  <c r="AS218" i="1"/>
  <c r="AS249" i="1"/>
  <c r="AS339" i="1"/>
  <c r="AS184" i="1"/>
  <c r="AS302" i="1"/>
  <c r="AS151" i="1"/>
  <c r="AS272" i="1"/>
  <c r="AS285" i="1"/>
  <c r="AS90" i="1"/>
  <c r="AS173" i="1"/>
  <c r="AS49" i="1"/>
  <c r="AS382" i="1"/>
  <c r="AS40" i="1"/>
  <c r="AS258" i="1"/>
  <c r="AS127" i="1"/>
  <c r="AS65" i="1"/>
  <c r="AS347" i="1"/>
  <c r="AS41" i="1"/>
  <c r="AS39" i="1"/>
  <c r="AS287" i="1"/>
  <c r="AS361" i="1"/>
  <c r="AS248" i="1"/>
  <c r="AS24" i="1"/>
  <c r="AS33" i="1"/>
  <c r="AS195" i="1"/>
  <c r="AS338" i="1"/>
  <c r="AS351" i="1"/>
  <c r="AS220" i="1"/>
  <c r="AS292" i="1"/>
  <c r="AS254" i="1"/>
  <c r="AS42" i="1"/>
  <c r="AS60" i="1"/>
  <c r="AS305" i="1"/>
  <c r="AS358" i="1"/>
  <c r="AS232" i="1"/>
  <c r="AS264" i="1"/>
  <c r="AS47" i="1"/>
  <c r="AS146" i="1"/>
  <c r="AS349" i="1"/>
  <c r="AS132" i="1"/>
  <c r="AS383" i="1"/>
  <c r="AS55" i="1"/>
  <c r="AS78" i="1"/>
  <c r="AS177" i="1"/>
  <c r="AS62" i="1"/>
  <c r="AS30" i="1"/>
  <c r="AS306" i="1"/>
  <c r="AS75" i="1"/>
  <c r="AS231" i="1"/>
  <c r="AS295" i="1"/>
  <c r="AS329" i="1"/>
  <c r="AS52" i="1"/>
  <c r="AS299" i="1"/>
  <c r="AS354" i="1"/>
  <c r="AS120" i="1"/>
  <c r="AS198" i="1"/>
  <c r="AS25" i="1"/>
  <c r="AS175" i="1"/>
  <c r="AS375" i="1"/>
  <c r="AS16" i="1"/>
  <c r="AS328" i="1"/>
  <c r="AS51" i="1"/>
  <c r="AS86" i="1"/>
  <c r="AS269" i="1"/>
  <c r="AS333" i="1"/>
  <c r="AS310" i="1"/>
  <c r="AS36" i="1"/>
  <c r="AS193" i="1"/>
  <c r="AS167" i="1"/>
  <c r="AS238" i="1"/>
  <c r="AS216" i="1"/>
  <c r="AS34" i="1"/>
  <c r="AS121" i="1"/>
  <c r="AS68" i="1"/>
  <c r="AS335" i="1"/>
  <c r="AS372" i="1"/>
  <c r="AS323" i="1"/>
  <c r="AS225" i="1"/>
  <c r="AS134" i="1"/>
  <c r="AS128" i="1"/>
  <c r="AS364" i="1"/>
  <c r="AS336" i="1"/>
  <c r="AS330" i="1"/>
  <c r="AS37" i="1"/>
  <c r="AS341" i="1"/>
  <c r="AS260" i="1"/>
  <c r="AS219" i="1"/>
  <c r="AS278" i="1"/>
  <c r="AS289" i="1"/>
  <c r="AS99" i="1"/>
  <c r="AS125" i="1"/>
  <c r="AS296" i="1"/>
  <c r="AS156" i="1"/>
  <c r="AS23" i="1"/>
  <c r="AS35" i="1"/>
  <c r="AS294" i="1"/>
  <c r="AS340" i="1"/>
  <c r="AS14" i="1"/>
  <c r="AS116" i="1"/>
  <c r="AS297" i="1"/>
  <c r="AS363" i="1"/>
  <c r="AS66" i="1"/>
  <c r="AS191" i="1"/>
  <c r="AS56" i="1"/>
  <c r="AS81" i="1"/>
  <c r="AS203" i="1"/>
  <c r="AS70" i="1"/>
  <c r="AS31" i="1"/>
  <c r="AS44" i="1"/>
  <c r="AS153" i="1"/>
  <c r="AS376" i="1"/>
  <c r="AS373" i="1"/>
  <c r="AS209" i="1"/>
  <c r="AS114" i="1"/>
  <c r="AS130" i="1"/>
  <c r="AS235" i="1"/>
  <c r="AS377" i="1"/>
  <c r="AS155" i="1"/>
  <c r="AS344" i="1"/>
  <c r="AS303" i="1"/>
  <c r="AS286" i="1"/>
  <c r="AS84" i="1"/>
  <c r="AS142" i="1"/>
  <c r="AS283" i="1"/>
  <c r="AS157" i="1"/>
  <c r="AS141" i="1"/>
  <c r="AS311" i="1"/>
  <c r="AS204" i="1"/>
  <c r="AS279" i="1"/>
  <c r="AS352" i="1"/>
  <c r="AS280" i="1"/>
  <c r="AS274" i="1"/>
  <c r="AS378" i="1"/>
  <c r="AS110" i="1"/>
  <c r="AS350" i="1"/>
  <c r="AS152" i="1"/>
  <c r="AS213" i="1"/>
  <c r="AS284" i="1"/>
  <c r="AS359" i="1"/>
  <c r="AS331" i="1"/>
  <c r="AS262" i="1"/>
  <c r="AS10" i="1"/>
  <c r="AS187" i="1"/>
  <c r="AS319" i="1"/>
  <c r="AS314" i="1"/>
  <c r="AS207" i="1"/>
  <c r="AS367" i="1"/>
  <c r="AS326" i="1"/>
  <c r="AS171" i="1"/>
  <c r="AS371" i="1"/>
  <c r="AS342" i="1"/>
  <c r="AS276" i="1"/>
  <c r="AS28" i="1"/>
  <c r="AS212" i="1"/>
  <c r="AS172" i="1"/>
  <c r="AS199" i="1"/>
  <c r="AS67" i="1"/>
  <c r="AS96" i="1"/>
  <c r="AS77" i="1"/>
  <c r="AS293" i="1"/>
  <c r="AS230" i="1"/>
  <c r="AS26" i="1"/>
  <c r="AS76" i="1"/>
  <c r="AS50" i="1"/>
  <c r="AS15" i="1"/>
  <c r="AS379" i="1"/>
  <c r="AS245" i="1"/>
  <c r="AS320" i="1"/>
  <c r="AS174" i="1"/>
  <c r="AS255" i="1"/>
  <c r="AS43" i="1"/>
  <c r="AS115" i="1"/>
  <c r="AS253" i="1"/>
  <c r="AS197" i="1"/>
  <c r="AS27" i="1"/>
  <c r="AS160" i="1"/>
  <c r="AS82" i="1"/>
  <c r="AS356" i="1"/>
  <c r="AS365" i="1"/>
  <c r="AS58" i="1"/>
  <c r="AS162" i="1"/>
  <c r="AS102" i="1"/>
  <c r="AS317" i="1"/>
  <c r="AS189" i="1"/>
  <c r="AS224" i="1"/>
  <c r="AS332" i="1"/>
  <c r="AS73" i="1"/>
  <c r="AS237" i="1"/>
  <c r="AS170" i="1"/>
  <c r="AS215" i="1"/>
  <c r="AS180" i="1"/>
  <c r="AS298" i="1"/>
  <c r="AS288" i="1"/>
  <c r="AS119" i="1"/>
  <c r="AS384" i="1"/>
  <c r="AS188" i="1"/>
  <c r="AS79" i="1"/>
  <c r="AS257" i="1"/>
  <c r="AS337" i="1"/>
  <c r="AS101" i="1"/>
  <c r="AS290" i="1"/>
  <c r="AS281" i="1"/>
  <c r="AS304" i="1"/>
  <c r="AS267" i="1"/>
  <c r="AS154" i="1"/>
  <c r="AS143" i="1"/>
  <c r="AS200" i="1"/>
  <c r="AS273" i="1"/>
  <c r="AS374" i="1"/>
  <c r="AS308" i="1"/>
  <c r="AS357" i="1"/>
  <c r="AS381" i="1"/>
  <c r="AS229" i="1"/>
  <c r="AS165" i="1"/>
  <c r="AS181" i="1"/>
  <c r="AS38" i="1"/>
  <c r="AS133" i="1"/>
  <c r="AS100" i="1"/>
  <c r="AS360" i="1"/>
  <c r="AS234" i="1"/>
  <c r="AS123" i="1"/>
  <c r="AS19" i="1"/>
  <c r="AS241" i="1"/>
  <c r="B125" i="3" a="1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AR8" i="1"/>
  <c r="AR2" i="1"/>
  <c r="AR334" i="1"/>
  <c r="AR104" i="1"/>
  <c r="AR343" i="1"/>
  <c r="AR346" i="1"/>
  <c r="AR388" i="1"/>
  <c r="AR355" i="1"/>
  <c r="AR369" i="1"/>
  <c r="AR103" i="1"/>
  <c r="AR150" i="1"/>
  <c r="AR85" i="1"/>
  <c r="AR45" i="1"/>
  <c r="AR263" i="1"/>
  <c r="AR138" i="1"/>
  <c r="AR87" i="1"/>
  <c r="AR259" i="1"/>
  <c r="AR61" i="1"/>
  <c r="AR22" i="1"/>
  <c r="AR222" i="1"/>
  <c r="AR53" i="1"/>
  <c r="AR277" i="1"/>
  <c r="AR113" i="1"/>
  <c r="AR313" i="1"/>
  <c r="AR246" i="1"/>
  <c r="AR386" i="1"/>
  <c r="AR161" i="1"/>
  <c r="AR149" i="1"/>
  <c r="AR324" i="1"/>
  <c r="AR312" i="1"/>
  <c r="AR88" i="1"/>
  <c r="AR387" i="1"/>
  <c r="AR250" i="1"/>
  <c r="AR164" i="1"/>
  <c r="AR251" i="1"/>
  <c r="AR179" i="1"/>
  <c r="AR228" i="1"/>
  <c r="AR353" i="1"/>
  <c r="AR98" i="1"/>
  <c r="AR282" i="1"/>
  <c r="AR321" i="1"/>
  <c r="AR97" i="1"/>
  <c r="AR368" i="1"/>
  <c r="AR385" i="1"/>
  <c r="AR223" i="1"/>
  <c r="AR242" i="1"/>
  <c r="AR185" i="1"/>
  <c r="AR108" i="1"/>
  <c r="AR227" i="1"/>
  <c r="AR91" i="1"/>
  <c r="AR271" i="1"/>
  <c r="AR301" i="1"/>
  <c r="AR13" i="1"/>
  <c r="AR208" i="1"/>
  <c r="AR147" i="1"/>
  <c r="AR12" i="1"/>
  <c r="AR201" i="1"/>
  <c r="AR118" i="1"/>
  <c r="AR20" i="1"/>
  <c r="AR176" i="1"/>
  <c r="AR168" i="1"/>
  <c r="AR122" i="1"/>
  <c r="AR117" i="1"/>
  <c r="AR124" i="1"/>
  <c r="AR126" i="1"/>
  <c r="AR244" i="1"/>
  <c r="AR158" i="1"/>
  <c r="AR166" i="1"/>
  <c r="AR46" i="1"/>
  <c r="AR159" i="1"/>
  <c r="AR64" i="1"/>
  <c r="AR318" i="1"/>
  <c r="AR95" i="1"/>
  <c r="AR106" i="1"/>
  <c r="AR18" i="1"/>
  <c r="AR137" i="1"/>
  <c r="AR169" i="1"/>
  <c r="AR370" i="1"/>
  <c r="AR83" i="1"/>
  <c r="AR105" i="1"/>
  <c r="AR325" i="1"/>
  <c r="AR93" i="1"/>
  <c r="AR145" i="1"/>
  <c r="AR178" i="1"/>
  <c r="AR163" i="1"/>
  <c r="AR307" i="1"/>
  <c r="AR247" i="1"/>
  <c r="AR252" i="1"/>
  <c r="AR92" i="1"/>
  <c r="AR266" i="1"/>
  <c r="AR202" i="1"/>
  <c r="AR309" i="1"/>
  <c r="AR74" i="1"/>
  <c r="AR63" i="1"/>
  <c r="AR226" i="1"/>
  <c r="AR32" i="1"/>
  <c r="AR21" i="1"/>
  <c r="AR11" i="1"/>
  <c r="AR214" i="1"/>
  <c r="AR48" i="1"/>
  <c r="AR29" i="1"/>
  <c r="AR109" i="1"/>
  <c r="AR129" i="1"/>
  <c r="AR194" i="1"/>
  <c r="AR148" i="1"/>
  <c r="AR190" i="1"/>
  <c r="AR69" i="1"/>
  <c r="AR322" i="1"/>
  <c r="AR380" i="1"/>
  <c r="AR291" i="1"/>
  <c r="AR210" i="1"/>
  <c r="AR89" i="1"/>
  <c r="AR54" i="1"/>
  <c r="AR144" i="1"/>
  <c r="AR300" i="1"/>
  <c r="AR80" i="1"/>
  <c r="AR211" i="1"/>
  <c r="AR268" i="1"/>
  <c r="AR206" i="1"/>
  <c r="AR205" i="1"/>
  <c r="AR348" i="1"/>
  <c r="AR17" i="1"/>
  <c r="AR111" i="1"/>
  <c r="AR265" i="1"/>
  <c r="AR261" i="1"/>
  <c r="AR112" i="1"/>
  <c r="AR9" i="1"/>
  <c r="AR72" i="1"/>
  <c r="AR217" i="1"/>
  <c r="AR57" i="1"/>
  <c r="AR221" i="1"/>
  <c r="AR140" i="1"/>
  <c r="AR239" i="1"/>
  <c r="AR192" i="1"/>
  <c r="AR327" i="1"/>
  <c r="AR233" i="1"/>
  <c r="AR362" i="1"/>
  <c r="AR345" i="1"/>
  <c r="AR366" i="1"/>
  <c r="AR139" i="1"/>
  <c r="AR71" i="1"/>
  <c r="AR256" i="1"/>
  <c r="AR236" i="1"/>
  <c r="AR270" i="1"/>
  <c r="AR136" i="1"/>
  <c r="AR135" i="1"/>
  <c r="AR186" i="1"/>
  <c r="AR240" i="1"/>
  <c r="AR275" i="1"/>
  <c r="AR107" i="1"/>
  <c r="AR131" i="1"/>
  <c r="AR59" i="1"/>
  <c r="AR315" i="1"/>
  <c r="AR183" i="1"/>
  <c r="AR316" i="1"/>
  <c r="AR243" i="1"/>
  <c r="AR182" i="1"/>
  <c r="AR94" i="1"/>
  <c r="AR196" i="1"/>
  <c r="AR218" i="1"/>
  <c r="AR249" i="1"/>
  <c r="AR339" i="1"/>
  <c r="AR184" i="1"/>
  <c r="AR302" i="1"/>
  <c r="AR151" i="1"/>
  <c r="AR272" i="1"/>
  <c r="AR285" i="1"/>
  <c r="AR90" i="1"/>
  <c r="AR173" i="1"/>
  <c r="AR49" i="1"/>
  <c r="AR382" i="1"/>
  <c r="AR40" i="1"/>
  <c r="AR258" i="1"/>
  <c r="AR127" i="1"/>
  <c r="AR65" i="1"/>
  <c r="AR347" i="1"/>
  <c r="AR41" i="1"/>
  <c r="AR39" i="1"/>
  <c r="AR287" i="1"/>
  <c r="AR361" i="1"/>
  <c r="AR248" i="1"/>
  <c r="AR24" i="1"/>
  <c r="AR33" i="1"/>
  <c r="AR195" i="1"/>
  <c r="AR338" i="1"/>
  <c r="AR351" i="1"/>
  <c r="AR220" i="1"/>
  <c r="AR292" i="1"/>
  <c r="AR254" i="1"/>
  <c r="AR42" i="1"/>
  <c r="AR60" i="1"/>
  <c r="AR305" i="1"/>
  <c r="AR358" i="1"/>
  <c r="AR232" i="1"/>
  <c r="AR264" i="1"/>
  <c r="AR47" i="1"/>
  <c r="AR146" i="1"/>
  <c r="AR349" i="1"/>
  <c r="AR132" i="1"/>
  <c r="AR383" i="1"/>
  <c r="AR55" i="1"/>
  <c r="AR78" i="1"/>
  <c r="AR177" i="1"/>
  <c r="AR62" i="1"/>
  <c r="AR30" i="1"/>
  <c r="AR306" i="1"/>
  <c r="AR75" i="1"/>
  <c r="AR231" i="1"/>
  <c r="AR295" i="1"/>
  <c r="AR329" i="1"/>
  <c r="AR52" i="1"/>
  <c r="AR299" i="1"/>
  <c r="AR354" i="1"/>
  <c r="AR120" i="1"/>
  <c r="AR198" i="1"/>
  <c r="AR25" i="1"/>
  <c r="AR175" i="1"/>
  <c r="AR375" i="1"/>
  <c r="AR16" i="1"/>
  <c r="AR328" i="1"/>
  <c r="AR51" i="1"/>
  <c r="AR86" i="1"/>
  <c r="AR269" i="1"/>
  <c r="AR333" i="1"/>
  <c r="AR310" i="1"/>
  <c r="AR36" i="1"/>
  <c r="AR193" i="1"/>
  <c r="AR167" i="1"/>
  <c r="AR238" i="1"/>
  <c r="AR216" i="1"/>
  <c r="AR34" i="1"/>
  <c r="AR121" i="1"/>
  <c r="AR68" i="1"/>
  <c r="AR335" i="1"/>
  <c r="AR372" i="1"/>
  <c r="AR323" i="1"/>
  <c r="AR225" i="1"/>
  <c r="AR134" i="1"/>
  <c r="AR128" i="1"/>
  <c r="AR364" i="1"/>
  <c r="AR336" i="1"/>
  <c r="AR330" i="1"/>
  <c r="AR37" i="1"/>
  <c r="AR341" i="1"/>
  <c r="AR260" i="1"/>
  <c r="AR219" i="1"/>
  <c r="AR278" i="1"/>
  <c r="AR289" i="1"/>
  <c r="AR99" i="1"/>
  <c r="AR125" i="1"/>
  <c r="AR296" i="1"/>
  <c r="AR156" i="1"/>
  <c r="AR23" i="1"/>
  <c r="AR35" i="1"/>
  <c r="AR294" i="1"/>
  <c r="AR340" i="1"/>
  <c r="AR14" i="1"/>
  <c r="AR116" i="1"/>
  <c r="AR297" i="1"/>
  <c r="AR363" i="1"/>
  <c r="AR66" i="1"/>
  <c r="AR191" i="1"/>
  <c r="AR56" i="1"/>
  <c r="AR81" i="1"/>
  <c r="AR203" i="1"/>
  <c r="AR70" i="1"/>
  <c r="AR31" i="1"/>
  <c r="AR44" i="1"/>
  <c r="AR153" i="1"/>
  <c r="AR376" i="1"/>
  <c r="AR373" i="1"/>
  <c r="AR209" i="1"/>
  <c r="AR114" i="1"/>
  <c r="AR130" i="1"/>
  <c r="AR235" i="1"/>
  <c r="AR377" i="1"/>
  <c r="AR155" i="1"/>
  <c r="AR344" i="1"/>
  <c r="AR303" i="1"/>
  <c r="AR286" i="1"/>
  <c r="AR84" i="1"/>
  <c r="AR142" i="1"/>
  <c r="AR283" i="1"/>
  <c r="AR157" i="1"/>
  <c r="AR141" i="1"/>
  <c r="AR311" i="1"/>
  <c r="AR204" i="1"/>
  <c r="AR279" i="1"/>
  <c r="AR352" i="1"/>
  <c r="AR280" i="1"/>
  <c r="AR274" i="1"/>
  <c r="AR378" i="1"/>
  <c r="AR110" i="1"/>
  <c r="AR350" i="1"/>
  <c r="AR152" i="1"/>
  <c r="AR213" i="1"/>
  <c r="AR284" i="1"/>
  <c r="AR359" i="1"/>
  <c r="AR331" i="1"/>
  <c r="AR262" i="1"/>
  <c r="AR10" i="1"/>
  <c r="AR187" i="1"/>
  <c r="AR319" i="1"/>
  <c r="AR314" i="1"/>
  <c r="AR207" i="1"/>
  <c r="AR367" i="1"/>
  <c r="AR326" i="1"/>
  <c r="AR171" i="1"/>
  <c r="AR371" i="1"/>
  <c r="AR342" i="1"/>
  <c r="AR276" i="1"/>
  <c r="AR28" i="1"/>
  <c r="AR212" i="1"/>
  <c r="AR172" i="1"/>
  <c r="AR199" i="1"/>
  <c r="AR67" i="1"/>
  <c r="AR96" i="1"/>
  <c r="AR77" i="1"/>
  <c r="AR293" i="1"/>
  <c r="AR230" i="1"/>
  <c r="AR26" i="1"/>
  <c r="AR76" i="1"/>
  <c r="AR50" i="1"/>
  <c r="AR15" i="1"/>
  <c r="AR379" i="1"/>
  <c r="AR245" i="1"/>
  <c r="AR320" i="1"/>
  <c r="AR174" i="1"/>
  <c r="AR255" i="1"/>
  <c r="AR43" i="1"/>
  <c r="AR115" i="1"/>
  <c r="AR253" i="1"/>
  <c r="AR197" i="1"/>
  <c r="AR27" i="1"/>
  <c r="AR160" i="1"/>
  <c r="AR82" i="1"/>
  <c r="AR356" i="1"/>
  <c r="AR365" i="1"/>
  <c r="AR58" i="1"/>
  <c r="AR162" i="1"/>
  <c r="AR102" i="1"/>
  <c r="AR317" i="1"/>
  <c r="AR189" i="1"/>
  <c r="AR224" i="1"/>
  <c r="AR332" i="1"/>
  <c r="AR73" i="1"/>
  <c r="AR237" i="1"/>
  <c r="AR170" i="1"/>
  <c r="AR215" i="1"/>
  <c r="AR180" i="1"/>
  <c r="AR298" i="1"/>
  <c r="AR288" i="1"/>
  <c r="AR119" i="1"/>
  <c r="AR384" i="1"/>
  <c r="AR188" i="1"/>
  <c r="AR79" i="1"/>
  <c r="AR257" i="1"/>
  <c r="AR337" i="1"/>
  <c r="AR101" i="1"/>
  <c r="AR290" i="1"/>
  <c r="AR281" i="1"/>
  <c r="AR304" i="1"/>
  <c r="AR267" i="1"/>
  <c r="AR154" i="1"/>
  <c r="AR143" i="1"/>
  <c r="AR200" i="1"/>
  <c r="AR273" i="1"/>
  <c r="AR374" i="1"/>
  <c r="AR308" i="1"/>
  <c r="AR357" i="1"/>
  <c r="AR381" i="1"/>
  <c r="AR229" i="1"/>
  <c r="AR165" i="1"/>
  <c r="AR181" i="1"/>
  <c r="AR38" i="1"/>
  <c r="AR133" i="1"/>
  <c r="AR100" i="1"/>
  <c r="AR360" i="1"/>
  <c r="AR234" i="1"/>
  <c r="AR123" i="1"/>
  <c r="AR19" i="1"/>
  <c r="AR241" i="1"/>
  <c r="B94" i="3" a="1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T5" i="1"/>
  <c r="T7" i="1"/>
  <c r="O5" i="1"/>
  <c r="O7" i="1"/>
  <c r="O3" i="1"/>
  <c r="O4" i="1"/>
  <c r="O6" i="1"/>
  <c r="O8" i="1"/>
  <c r="I5" i="1"/>
  <c r="I7" i="1"/>
  <c r="I6" i="1"/>
  <c r="I8" i="1"/>
  <c r="V241" i="1"/>
  <c r="U241" i="1"/>
  <c r="V19" i="1"/>
  <c r="U19" i="1"/>
  <c r="V123" i="1"/>
  <c r="U123" i="1"/>
  <c r="V234" i="1"/>
  <c r="U234" i="1"/>
  <c r="V360" i="1"/>
  <c r="U360" i="1"/>
  <c r="V100" i="1"/>
  <c r="U100" i="1"/>
  <c r="V133" i="1"/>
  <c r="U133" i="1"/>
  <c r="V38" i="1"/>
  <c r="U38" i="1"/>
  <c r="V181" i="1"/>
  <c r="U181" i="1"/>
  <c r="V165" i="1"/>
  <c r="U165" i="1"/>
  <c r="V229" i="1"/>
  <c r="U229" i="1"/>
  <c r="V381" i="1"/>
  <c r="U381" i="1"/>
  <c r="V357" i="1"/>
  <c r="U357" i="1"/>
  <c r="V308" i="1"/>
  <c r="U308" i="1"/>
  <c r="V374" i="1"/>
  <c r="U374" i="1"/>
  <c r="V273" i="1"/>
  <c r="U273" i="1"/>
  <c r="V200" i="1"/>
  <c r="U200" i="1"/>
  <c r="V143" i="1"/>
  <c r="U143" i="1"/>
  <c r="V154" i="1"/>
  <c r="U154" i="1"/>
  <c r="V267" i="1"/>
  <c r="U267" i="1"/>
  <c r="V304" i="1"/>
  <c r="U304" i="1"/>
  <c r="V281" i="1"/>
  <c r="U281" i="1"/>
  <c r="V290" i="1"/>
  <c r="U290" i="1"/>
  <c r="V101" i="1"/>
  <c r="U101" i="1"/>
  <c r="V337" i="1"/>
  <c r="U337" i="1"/>
  <c r="V257" i="1"/>
  <c r="U257" i="1"/>
  <c r="V79" i="1"/>
  <c r="U79" i="1"/>
  <c r="V188" i="1"/>
  <c r="U188" i="1"/>
  <c r="V384" i="1"/>
  <c r="U384" i="1"/>
  <c r="V119" i="1"/>
  <c r="U119" i="1"/>
  <c r="V288" i="1"/>
  <c r="U288" i="1"/>
  <c r="V298" i="1"/>
  <c r="U298" i="1"/>
  <c r="V180" i="1"/>
  <c r="U180" i="1"/>
  <c r="V215" i="1"/>
  <c r="U215" i="1"/>
  <c r="V170" i="1"/>
  <c r="U170" i="1"/>
  <c r="V237" i="1"/>
  <c r="U237" i="1"/>
  <c r="V73" i="1"/>
  <c r="U73" i="1"/>
  <c r="V332" i="1"/>
  <c r="U332" i="1"/>
  <c r="V224" i="1"/>
  <c r="U224" i="1"/>
  <c r="V189" i="1"/>
  <c r="U189" i="1"/>
  <c r="V317" i="1"/>
  <c r="U317" i="1"/>
  <c r="V102" i="1"/>
  <c r="U102" i="1"/>
  <c r="V162" i="1"/>
  <c r="U162" i="1"/>
  <c r="V58" i="1"/>
  <c r="U58" i="1"/>
  <c r="V365" i="1"/>
  <c r="U365" i="1"/>
  <c r="V356" i="1"/>
  <c r="U356" i="1"/>
  <c r="V82" i="1"/>
  <c r="U82" i="1"/>
  <c r="V160" i="1"/>
  <c r="U160" i="1"/>
  <c r="V27" i="1"/>
  <c r="U27" i="1"/>
  <c r="V197" i="1"/>
  <c r="U197" i="1"/>
  <c r="V253" i="1"/>
  <c r="U253" i="1"/>
  <c r="V115" i="1"/>
  <c r="U115" i="1"/>
  <c r="V43" i="1"/>
  <c r="U43" i="1"/>
  <c r="V255" i="1"/>
  <c r="U255" i="1"/>
  <c r="V174" i="1"/>
  <c r="U174" i="1"/>
  <c r="V320" i="1"/>
  <c r="U320" i="1"/>
  <c r="V245" i="1"/>
  <c r="U245" i="1"/>
  <c r="V379" i="1"/>
  <c r="U379" i="1"/>
  <c r="V15" i="1"/>
  <c r="U15" i="1"/>
  <c r="V50" i="1"/>
  <c r="U50" i="1"/>
  <c r="V76" i="1"/>
  <c r="U76" i="1"/>
  <c r="V26" i="1"/>
  <c r="U26" i="1"/>
  <c r="V230" i="1"/>
  <c r="U230" i="1"/>
  <c r="V293" i="1"/>
  <c r="U293" i="1"/>
  <c r="V77" i="1"/>
  <c r="U77" i="1"/>
  <c r="V96" i="1"/>
  <c r="U96" i="1"/>
  <c r="V67" i="1"/>
  <c r="U67" i="1"/>
  <c r="V199" i="1"/>
  <c r="U199" i="1"/>
  <c r="V172" i="1"/>
  <c r="U172" i="1"/>
  <c r="V212" i="1"/>
  <c r="U212" i="1"/>
  <c r="V28" i="1"/>
  <c r="U28" i="1"/>
  <c r="V276" i="1"/>
  <c r="U276" i="1"/>
  <c r="V342" i="1"/>
  <c r="U342" i="1"/>
  <c r="V371" i="1"/>
  <c r="U371" i="1"/>
  <c r="V171" i="1"/>
  <c r="U171" i="1"/>
  <c r="V326" i="1"/>
  <c r="U326" i="1"/>
  <c r="V367" i="1"/>
  <c r="U367" i="1"/>
  <c r="V207" i="1"/>
  <c r="U207" i="1"/>
  <c r="V314" i="1"/>
  <c r="U314" i="1"/>
  <c r="V319" i="1"/>
  <c r="U319" i="1"/>
  <c r="V187" i="1"/>
  <c r="U187" i="1"/>
  <c r="V10" i="1"/>
  <c r="U10" i="1"/>
  <c r="V262" i="1"/>
  <c r="U262" i="1"/>
  <c r="V331" i="1"/>
  <c r="U331" i="1"/>
  <c r="V359" i="1"/>
  <c r="U359" i="1"/>
  <c r="V284" i="1"/>
  <c r="U284" i="1"/>
  <c r="V213" i="1"/>
  <c r="U213" i="1"/>
  <c r="V152" i="1"/>
  <c r="U152" i="1"/>
  <c r="V350" i="1"/>
  <c r="U350" i="1"/>
  <c r="V110" i="1"/>
  <c r="U110" i="1"/>
  <c r="V378" i="1"/>
  <c r="U378" i="1"/>
  <c r="V274" i="1"/>
  <c r="U274" i="1"/>
  <c r="V280" i="1"/>
  <c r="U280" i="1"/>
  <c r="V352" i="1"/>
  <c r="U352" i="1"/>
  <c r="V279" i="1"/>
  <c r="U279" i="1"/>
  <c r="V204" i="1"/>
  <c r="U204" i="1"/>
  <c r="V311" i="1"/>
  <c r="U311" i="1"/>
  <c r="V141" i="1"/>
  <c r="U141" i="1"/>
  <c r="V157" i="1"/>
  <c r="U157" i="1"/>
  <c r="V283" i="1"/>
  <c r="U283" i="1"/>
  <c r="V142" i="1"/>
  <c r="U142" i="1"/>
  <c r="V84" i="1"/>
  <c r="U84" i="1"/>
  <c r="V286" i="1"/>
  <c r="U286" i="1"/>
  <c r="V303" i="1"/>
  <c r="U303" i="1"/>
  <c r="V344" i="1"/>
  <c r="U344" i="1"/>
  <c r="V155" i="1"/>
  <c r="U155" i="1"/>
  <c r="V377" i="1"/>
  <c r="U377" i="1"/>
  <c r="V235" i="1"/>
  <c r="U235" i="1"/>
  <c r="V130" i="1"/>
  <c r="U130" i="1"/>
  <c r="V114" i="1"/>
  <c r="U114" i="1"/>
  <c r="V209" i="1"/>
  <c r="U209" i="1"/>
  <c r="V373" i="1"/>
  <c r="U373" i="1"/>
  <c r="V376" i="1"/>
  <c r="U376" i="1"/>
  <c r="V153" i="1"/>
  <c r="U153" i="1"/>
  <c r="V44" i="1"/>
  <c r="U44" i="1"/>
  <c r="V31" i="1"/>
  <c r="U31" i="1"/>
  <c r="V70" i="1"/>
  <c r="U70" i="1"/>
  <c r="V203" i="1"/>
  <c r="U203" i="1"/>
  <c r="V81" i="1"/>
  <c r="U81" i="1"/>
  <c r="V56" i="1"/>
  <c r="U56" i="1"/>
  <c r="V191" i="1"/>
  <c r="U191" i="1"/>
  <c r="V66" i="1"/>
  <c r="U66" i="1"/>
  <c r="V363" i="1"/>
  <c r="U363" i="1"/>
  <c r="V297" i="1"/>
  <c r="U297" i="1"/>
  <c r="V116" i="1"/>
  <c r="U116" i="1"/>
  <c r="V14" i="1"/>
  <c r="U14" i="1"/>
  <c r="V340" i="1"/>
  <c r="U340" i="1"/>
  <c r="V294" i="1"/>
  <c r="U294" i="1"/>
  <c r="V35" i="1"/>
  <c r="U35" i="1"/>
  <c r="V23" i="1"/>
  <c r="U23" i="1"/>
  <c r="V156" i="1"/>
  <c r="U156" i="1"/>
  <c r="V296" i="1"/>
  <c r="U296" i="1"/>
  <c r="V125" i="1"/>
  <c r="U125" i="1"/>
  <c r="V99" i="1"/>
  <c r="U99" i="1"/>
  <c r="V289" i="1"/>
  <c r="U289" i="1"/>
  <c r="V278" i="1"/>
  <c r="U278" i="1"/>
  <c r="V219" i="1"/>
  <c r="U219" i="1"/>
  <c r="V260" i="1"/>
  <c r="U260" i="1"/>
  <c r="V341" i="1"/>
  <c r="U341" i="1"/>
  <c r="V37" i="1"/>
  <c r="U37" i="1"/>
  <c r="V330" i="1"/>
  <c r="U330" i="1"/>
  <c r="V336" i="1"/>
  <c r="U336" i="1"/>
  <c r="V364" i="1"/>
  <c r="U364" i="1"/>
  <c r="V128" i="1"/>
  <c r="U128" i="1"/>
  <c r="V134" i="1"/>
  <c r="U134" i="1"/>
  <c r="V225" i="1"/>
  <c r="U225" i="1"/>
  <c r="V323" i="1"/>
  <c r="U323" i="1"/>
  <c r="V372" i="1"/>
  <c r="U372" i="1"/>
  <c r="V335" i="1"/>
  <c r="U335" i="1"/>
  <c r="V68" i="1"/>
  <c r="U68" i="1"/>
  <c r="V121" i="1"/>
  <c r="U121" i="1"/>
  <c r="V34" i="1"/>
  <c r="U34" i="1"/>
  <c r="V216" i="1"/>
  <c r="U216" i="1"/>
  <c r="V238" i="1"/>
  <c r="U238" i="1"/>
  <c r="V167" i="1"/>
  <c r="U167" i="1"/>
  <c r="V193" i="1"/>
  <c r="U193" i="1"/>
  <c r="V36" i="1"/>
  <c r="U36" i="1"/>
  <c r="V310" i="1"/>
  <c r="U310" i="1"/>
  <c r="V333" i="1"/>
  <c r="U333" i="1"/>
  <c r="V269" i="1"/>
  <c r="U269" i="1"/>
  <c r="V86" i="1"/>
  <c r="U86" i="1"/>
  <c r="V51" i="1"/>
  <c r="U51" i="1"/>
  <c r="V328" i="1"/>
  <c r="U328" i="1"/>
  <c r="V16" i="1"/>
  <c r="U16" i="1"/>
  <c r="V375" i="1"/>
  <c r="U375" i="1"/>
  <c r="V175" i="1"/>
  <c r="U175" i="1"/>
  <c r="V25" i="1"/>
  <c r="U25" i="1"/>
  <c r="V198" i="1"/>
  <c r="U198" i="1"/>
  <c r="V120" i="1"/>
  <c r="U120" i="1"/>
  <c r="V354" i="1"/>
  <c r="U354" i="1"/>
  <c r="V299" i="1"/>
  <c r="U299" i="1"/>
  <c r="V52" i="1"/>
  <c r="U52" i="1"/>
  <c r="V329" i="1"/>
  <c r="U329" i="1"/>
  <c r="V295" i="1"/>
  <c r="U295" i="1"/>
  <c r="V231" i="1"/>
  <c r="U231" i="1"/>
  <c r="V75" i="1"/>
  <c r="U75" i="1"/>
  <c r="V306" i="1"/>
  <c r="U306" i="1"/>
  <c r="V30" i="1"/>
  <c r="U30" i="1"/>
  <c r="V62" i="1"/>
  <c r="U62" i="1"/>
  <c r="V177" i="1"/>
  <c r="U177" i="1"/>
  <c r="V78" i="1"/>
  <c r="U78" i="1"/>
  <c r="V55" i="1"/>
  <c r="U55" i="1"/>
  <c r="V383" i="1"/>
  <c r="U383" i="1"/>
  <c r="V132" i="1"/>
  <c r="U132" i="1"/>
  <c r="V349" i="1"/>
  <c r="U349" i="1"/>
  <c r="V146" i="1"/>
  <c r="U146" i="1"/>
  <c r="V47" i="1"/>
  <c r="U47" i="1"/>
  <c r="V264" i="1"/>
  <c r="U264" i="1"/>
  <c r="V232" i="1"/>
  <c r="U232" i="1"/>
  <c r="V358" i="1"/>
  <c r="U358" i="1"/>
  <c r="V305" i="1"/>
  <c r="U305" i="1"/>
  <c r="V60" i="1"/>
  <c r="U60" i="1"/>
  <c r="V42" i="1"/>
  <c r="U42" i="1"/>
  <c r="V254" i="1"/>
  <c r="U254" i="1"/>
  <c r="V292" i="1"/>
  <c r="U292" i="1"/>
  <c r="V220" i="1"/>
  <c r="U220" i="1"/>
  <c r="V351" i="1"/>
  <c r="U351" i="1"/>
  <c r="V338" i="1"/>
  <c r="U338" i="1"/>
  <c r="V195" i="1"/>
  <c r="U195" i="1"/>
  <c r="V33" i="1"/>
  <c r="U33" i="1"/>
  <c r="V24" i="1"/>
  <c r="U24" i="1"/>
  <c r="V248" i="1"/>
  <c r="U248" i="1"/>
  <c r="V361" i="1"/>
  <c r="U361" i="1"/>
  <c r="V287" i="1"/>
  <c r="U287" i="1"/>
  <c r="V39" i="1"/>
  <c r="U39" i="1"/>
  <c r="V41" i="1"/>
  <c r="U41" i="1"/>
  <c r="V347" i="1"/>
  <c r="U347" i="1"/>
  <c r="V65" i="1"/>
  <c r="U65" i="1"/>
  <c r="V127" i="1"/>
  <c r="U127" i="1"/>
  <c r="V258" i="1"/>
  <c r="U258" i="1"/>
  <c r="V40" i="1"/>
  <c r="U40" i="1"/>
  <c r="V382" i="1"/>
  <c r="U382" i="1"/>
  <c r="V49" i="1"/>
  <c r="U49" i="1"/>
  <c r="V173" i="1"/>
  <c r="U173" i="1"/>
  <c r="V90" i="1"/>
  <c r="U90" i="1"/>
  <c r="V285" i="1"/>
  <c r="U285" i="1"/>
  <c r="V272" i="1"/>
  <c r="U272" i="1"/>
  <c r="V151" i="1"/>
  <c r="U151" i="1"/>
  <c r="V302" i="1"/>
  <c r="U302" i="1"/>
  <c r="V184" i="1"/>
  <c r="U184" i="1"/>
  <c r="V339" i="1"/>
  <c r="U339" i="1"/>
  <c r="V249" i="1"/>
  <c r="U249" i="1"/>
  <c r="V218" i="1"/>
  <c r="U218" i="1"/>
  <c r="V196" i="1"/>
  <c r="U196" i="1"/>
  <c r="V94" i="1"/>
  <c r="U94" i="1"/>
  <c r="V182" i="1"/>
  <c r="U182" i="1"/>
  <c r="V243" i="1"/>
  <c r="U243" i="1"/>
  <c r="V316" i="1"/>
  <c r="U316" i="1"/>
  <c r="V183" i="1"/>
  <c r="U183" i="1"/>
  <c r="V315" i="1"/>
  <c r="U315" i="1"/>
  <c r="V59" i="1"/>
  <c r="U59" i="1"/>
  <c r="V131" i="1"/>
  <c r="U131" i="1"/>
  <c r="V107" i="1"/>
  <c r="U107" i="1"/>
  <c r="V275" i="1"/>
  <c r="U275" i="1"/>
  <c r="V240" i="1"/>
  <c r="U240" i="1"/>
  <c r="V186" i="1"/>
  <c r="U186" i="1"/>
  <c r="V135" i="1"/>
  <c r="U135" i="1"/>
  <c r="V136" i="1"/>
  <c r="U136" i="1"/>
  <c r="V270" i="1"/>
  <c r="U270" i="1"/>
  <c r="V236" i="1"/>
  <c r="U236" i="1"/>
  <c r="V256" i="1"/>
  <c r="U256" i="1"/>
  <c r="V71" i="1"/>
  <c r="U71" i="1"/>
  <c r="V139" i="1"/>
  <c r="U139" i="1"/>
  <c r="V366" i="1"/>
  <c r="U366" i="1"/>
  <c r="V345" i="1"/>
  <c r="U345" i="1"/>
  <c r="V362" i="1"/>
  <c r="U362" i="1"/>
  <c r="V233" i="1"/>
  <c r="U233" i="1"/>
  <c r="V327" i="1"/>
  <c r="U327" i="1"/>
  <c r="V192" i="1"/>
  <c r="U192" i="1"/>
  <c r="V239" i="1"/>
  <c r="U239" i="1"/>
  <c r="V140" i="1"/>
  <c r="U140" i="1"/>
  <c r="V221" i="1"/>
  <c r="U221" i="1"/>
  <c r="V57" i="1"/>
  <c r="U57" i="1"/>
  <c r="V217" i="1"/>
  <c r="U217" i="1"/>
  <c r="V72" i="1"/>
  <c r="U72" i="1"/>
  <c r="V9" i="1"/>
  <c r="U9" i="1"/>
  <c r="V112" i="1"/>
  <c r="U112" i="1"/>
  <c r="V261" i="1"/>
  <c r="U261" i="1"/>
  <c r="V265" i="1"/>
  <c r="U265" i="1"/>
  <c r="V111" i="1"/>
  <c r="U111" i="1"/>
  <c r="V17" i="1"/>
  <c r="U17" i="1"/>
  <c r="V348" i="1"/>
  <c r="U348" i="1"/>
  <c r="V205" i="1"/>
  <c r="U205" i="1"/>
  <c r="V206" i="1"/>
  <c r="U206" i="1"/>
  <c r="V268" i="1"/>
  <c r="U268" i="1"/>
  <c r="V211" i="1"/>
  <c r="U211" i="1"/>
  <c r="V80" i="1"/>
  <c r="U80" i="1"/>
  <c r="V300" i="1"/>
  <c r="U300" i="1"/>
  <c r="V144" i="1"/>
  <c r="U144" i="1"/>
  <c r="V54" i="1"/>
  <c r="U54" i="1"/>
  <c r="V89" i="1"/>
  <c r="U89" i="1"/>
  <c r="V210" i="1"/>
  <c r="U210" i="1"/>
  <c r="V291" i="1"/>
  <c r="U291" i="1"/>
  <c r="V380" i="1"/>
  <c r="U380" i="1"/>
  <c r="V322" i="1"/>
  <c r="U322" i="1"/>
  <c r="V69" i="1"/>
  <c r="U69" i="1"/>
  <c r="V190" i="1"/>
  <c r="U190" i="1"/>
  <c r="V148" i="1"/>
  <c r="U148" i="1"/>
  <c r="V194" i="1"/>
  <c r="U194" i="1"/>
  <c r="V129" i="1"/>
  <c r="U129" i="1"/>
  <c r="V109" i="1"/>
  <c r="U109" i="1"/>
  <c r="V29" i="1"/>
  <c r="U29" i="1"/>
  <c r="V48" i="1"/>
  <c r="U48" i="1"/>
  <c r="V214" i="1"/>
  <c r="U214" i="1"/>
  <c r="V11" i="1"/>
  <c r="U11" i="1"/>
  <c r="V21" i="1"/>
  <c r="U21" i="1"/>
  <c r="V32" i="1"/>
  <c r="U32" i="1"/>
  <c r="V226" i="1"/>
  <c r="U226" i="1"/>
  <c r="V63" i="1"/>
  <c r="U63" i="1"/>
  <c r="V74" i="1"/>
  <c r="U74" i="1"/>
  <c r="V309" i="1"/>
  <c r="U309" i="1"/>
  <c r="V202" i="1"/>
  <c r="U202" i="1"/>
  <c r="V266" i="1"/>
  <c r="U266" i="1"/>
  <c r="V92" i="1"/>
  <c r="U92" i="1"/>
  <c r="V252" i="1"/>
  <c r="U252" i="1"/>
  <c r="V247" i="1"/>
  <c r="U247" i="1"/>
  <c r="V307" i="1"/>
  <c r="U307" i="1"/>
  <c r="V163" i="1"/>
  <c r="U163" i="1"/>
  <c r="V178" i="1"/>
  <c r="U178" i="1"/>
  <c r="V145" i="1"/>
  <c r="U145" i="1"/>
  <c r="V93" i="1"/>
  <c r="U93" i="1"/>
  <c r="V325" i="1"/>
  <c r="U325" i="1"/>
  <c r="V105" i="1"/>
  <c r="U105" i="1"/>
  <c r="V83" i="1"/>
  <c r="U83" i="1"/>
  <c r="V370" i="1"/>
  <c r="U370" i="1"/>
  <c r="V169" i="1"/>
  <c r="U169" i="1"/>
  <c r="V137" i="1"/>
  <c r="U137" i="1"/>
  <c r="V18" i="1"/>
  <c r="U18" i="1"/>
  <c r="V106" i="1"/>
  <c r="U106" i="1"/>
  <c r="V95" i="1"/>
  <c r="U95" i="1"/>
  <c r="V318" i="1"/>
  <c r="U318" i="1"/>
  <c r="V64" i="1"/>
  <c r="U64" i="1"/>
  <c r="V159" i="1"/>
  <c r="U159" i="1"/>
  <c r="V46" i="1"/>
  <c r="U46" i="1"/>
  <c r="V166" i="1"/>
  <c r="U166" i="1"/>
  <c r="V158" i="1"/>
  <c r="U158" i="1"/>
  <c r="V244" i="1"/>
  <c r="U244" i="1"/>
  <c r="V126" i="1"/>
  <c r="U126" i="1"/>
  <c r="V124" i="1"/>
  <c r="U124" i="1"/>
  <c r="V117" i="1"/>
  <c r="U117" i="1"/>
  <c r="V122" i="1"/>
  <c r="U122" i="1"/>
  <c r="V168" i="1"/>
  <c r="U168" i="1"/>
  <c r="V176" i="1"/>
  <c r="U176" i="1"/>
  <c r="V20" i="1"/>
  <c r="U20" i="1"/>
  <c r="V118" i="1"/>
  <c r="U118" i="1"/>
  <c r="V201" i="1"/>
  <c r="U201" i="1"/>
  <c r="V12" i="1"/>
  <c r="U12" i="1"/>
  <c r="V147" i="1"/>
  <c r="U147" i="1"/>
  <c r="V208" i="1"/>
  <c r="U208" i="1"/>
  <c r="V13" i="1"/>
  <c r="U13" i="1"/>
  <c r="V301" i="1"/>
  <c r="U301" i="1"/>
  <c r="V271" i="1"/>
  <c r="U271" i="1"/>
  <c r="V91" i="1"/>
  <c r="U91" i="1"/>
  <c r="V227" i="1"/>
  <c r="U227" i="1"/>
  <c r="V108" i="1"/>
  <c r="U108" i="1"/>
  <c r="V185" i="1"/>
  <c r="U185" i="1"/>
  <c r="V242" i="1"/>
  <c r="U242" i="1"/>
  <c r="V223" i="1"/>
  <c r="U223" i="1"/>
  <c r="V385" i="1"/>
  <c r="U385" i="1"/>
  <c r="V368" i="1"/>
  <c r="U368" i="1"/>
  <c r="V97" i="1"/>
  <c r="U97" i="1"/>
  <c r="V321" i="1"/>
  <c r="U321" i="1"/>
  <c r="V282" i="1"/>
  <c r="U282" i="1"/>
  <c r="V98" i="1"/>
  <c r="U98" i="1"/>
  <c r="V353" i="1"/>
  <c r="U353" i="1"/>
  <c r="V228" i="1"/>
  <c r="U228" i="1"/>
  <c r="V179" i="1"/>
  <c r="U179" i="1"/>
  <c r="V251" i="1"/>
  <c r="U251" i="1"/>
  <c r="V164" i="1"/>
  <c r="U164" i="1"/>
  <c r="V250" i="1"/>
  <c r="U250" i="1"/>
  <c r="V387" i="1"/>
  <c r="U387" i="1"/>
  <c r="V88" i="1"/>
  <c r="U88" i="1"/>
  <c r="V312" i="1"/>
  <c r="U312" i="1"/>
  <c r="V324" i="1"/>
  <c r="U324" i="1"/>
  <c r="V149" i="1"/>
  <c r="U149" i="1"/>
  <c r="V161" i="1"/>
  <c r="U161" i="1"/>
  <c r="V386" i="1"/>
  <c r="U386" i="1"/>
  <c r="V246" i="1"/>
  <c r="U246" i="1"/>
  <c r="V313" i="1"/>
  <c r="U313" i="1"/>
  <c r="V113" i="1"/>
  <c r="U113" i="1"/>
  <c r="V277" i="1"/>
  <c r="U277" i="1"/>
  <c r="V53" i="1"/>
  <c r="U53" i="1"/>
  <c r="V222" i="1"/>
  <c r="U222" i="1"/>
  <c r="V22" i="1"/>
  <c r="U22" i="1"/>
  <c r="V61" i="1"/>
  <c r="U61" i="1"/>
  <c r="V259" i="1"/>
  <c r="U259" i="1"/>
  <c r="V87" i="1"/>
  <c r="U87" i="1"/>
  <c r="V138" i="1"/>
  <c r="U138" i="1"/>
  <c r="V263" i="1"/>
  <c r="U263" i="1"/>
  <c r="V45" i="1"/>
  <c r="U45" i="1"/>
  <c r="V85" i="1"/>
  <c r="U85" i="1"/>
  <c r="V150" i="1"/>
  <c r="U150" i="1"/>
  <c r="V103" i="1"/>
  <c r="U103" i="1"/>
  <c r="V369" i="1"/>
  <c r="U369" i="1"/>
  <c r="V355" i="1"/>
  <c r="U355" i="1"/>
  <c r="V388" i="1"/>
  <c r="U388" i="1"/>
  <c r="V346" i="1"/>
  <c r="U346" i="1"/>
  <c r="V343" i="1"/>
  <c r="U343" i="1"/>
  <c r="V104" i="1"/>
  <c r="U104" i="1"/>
  <c r="AO140" i="1"/>
  <c r="AN140" i="1"/>
  <c r="AQ140" i="1"/>
  <c r="H5" i="1"/>
  <c r="H7" i="1"/>
  <c r="H6" i="1"/>
  <c r="H8" i="1"/>
  <c r="N5" i="1"/>
  <c r="N7" i="1"/>
  <c r="N3" i="1"/>
  <c r="N4" i="1"/>
  <c r="N6" i="1"/>
  <c r="N8" i="1"/>
  <c r="G6" i="1"/>
  <c r="G8" i="1"/>
  <c r="G5" i="1"/>
  <c r="G7" i="1"/>
  <c r="F5" i="1"/>
  <c r="F7" i="1"/>
  <c r="F6" i="1"/>
  <c r="F8" i="1"/>
  <c r="M5" i="1"/>
  <c r="M7" i="1"/>
  <c r="M3" i="1"/>
  <c r="M4" i="1"/>
  <c r="M6" i="1"/>
  <c r="M8" i="1"/>
  <c r="Z241" i="1"/>
  <c r="Z19" i="1"/>
  <c r="Z123" i="1"/>
  <c r="Z234" i="1"/>
  <c r="Z133" i="1"/>
  <c r="Z38" i="1"/>
  <c r="Z181" i="1"/>
  <c r="Z165" i="1"/>
  <c r="Z381" i="1"/>
  <c r="Z374" i="1"/>
  <c r="Z273" i="1"/>
  <c r="Z200" i="1"/>
  <c r="Z143" i="1"/>
  <c r="Z154" i="1"/>
  <c r="Z290" i="1"/>
  <c r="Z101" i="1"/>
  <c r="Z337" i="1"/>
  <c r="Z257" i="1"/>
  <c r="Z79" i="1"/>
  <c r="Z384" i="1"/>
  <c r="Z288" i="1"/>
  <c r="Z298" i="1"/>
  <c r="Z180" i="1"/>
  <c r="Z215" i="1"/>
  <c r="Z170" i="1"/>
  <c r="Z224" i="1"/>
  <c r="Z189" i="1"/>
  <c r="Z317" i="1"/>
  <c r="Z102" i="1"/>
  <c r="Z162" i="1"/>
  <c r="Z58" i="1"/>
  <c r="Z82" i="1"/>
  <c r="Z160" i="1"/>
  <c r="Z27" i="1"/>
  <c r="Z197" i="1"/>
  <c r="Z253" i="1"/>
  <c r="Z115" i="1"/>
  <c r="Z174" i="1"/>
  <c r="Z320" i="1"/>
  <c r="Z245" i="1"/>
  <c r="Z379" i="1"/>
  <c r="Z15" i="1"/>
  <c r="Z230" i="1"/>
  <c r="Z293" i="1"/>
  <c r="Z77" i="1"/>
  <c r="Z96" i="1"/>
  <c r="Z28" i="1"/>
  <c r="Z276" i="1"/>
  <c r="Z342" i="1"/>
  <c r="Z371" i="1"/>
  <c r="Z171" i="1"/>
  <c r="Z326" i="1"/>
  <c r="Z314" i="1"/>
  <c r="Z319" i="1"/>
  <c r="Z187" i="1"/>
  <c r="Z10" i="1"/>
  <c r="Z262" i="1"/>
  <c r="Z331" i="1"/>
  <c r="Z284" i="1"/>
  <c r="Z213" i="1"/>
  <c r="Z152" i="1"/>
  <c r="Z350" i="1"/>
  <c r="Z110" i="1"/>
  <c r="Z378" i="1"/>
  <c r="Z274" i="1"/>
  <c r="Z279" i="1"/>
  <c r="Z204" i="1"/>
  <c r="Z311" i="1"/>
  <c r="Z141" i="1"/>
  <c r="Z157" i="1"/>
  <c r="Z283" i="1"/>
  <c r="Z286" i="1"/>
  <c r="Z303" i="1"/>
  <c r="Z344" i="1"/>
  <c r="Z155" i="1"/>
  <c r="Z377" i="1"/>
  <c r="Z209" i="1"/>
  <c r="Z373" i="1"/>
  <c r="Z376" i="1"/>
  <c r="Z153" i="1"/>
  <c r="Z44" i="1"/>
  <c r="Z31" i="1"/>
  <c r="Z81" i="1"/>
  <c r="Z56" i="1"/>
  <c r="Z191" i="1"/>
  <c r="Z66" i="1"/>
  <c r="Z363" i="1"/>
  <c r="Z297" i="1"/>
  <c r="Z340" i="1"/>
  <c r="Z294" i="1"/>
  <c r="Z35" i="1"/>
  <c r="Z23" i="1"/>
  <c r="Z296" i="1"/>
  <c r="Z289" i="1"/>
  <c r="Z278" i="1"/>
  <c r="Z219" i="1"/>
  <c r="Z260" i="1"/>
  <c r="Z341" i="1"/>
  <c r="Z364" i="1"/>
  <c r="Z128" i="1"/>
  <c r="Z134" i="1"/>
  <c r="Z225" i="1"/>
  <c r="Z323" i="1"/>
  <c r="Z372" i="1"/>
  <c r="Z121" i="1"/>
  <c r="Z34" i="1"/>
  <c r="Z216" i="1"/>
  <c r="Z238" i="1"/>
  <c r="Z167" i="1"/>
  <c r="Z333" i="1"/>
  <c r="Z269" i="1"/>
  <c r="Z86" i="1"/>
  <c r="Z51" i="1"/>
  <c r="Z328" i="1"/>
  <c r="Z16" i="1"/>
  <c r="Z25" i="1"/>
  <c r="Z198" i="1"/>
  <c r="Z120" i="1"/>
  <c r="Z354" i="1"/>
  <c r="Z299" i="1"/>
  <c r="Z52" i="1"/>
  <c r="Z231" i="1"/>
  <c r="Z75" i="1"/>
  <c r="Z306" i="1"/>
  <c r="Z30" i="1"/>
  <c r="Z177" i="1"/>
  <c r="Z383" i="1"/>
  <c r="Z132" i="1"/>
  <c r="Z349" i="1"/>
  <c r="Z146" i="1"/>
  <c r="Z47" i="1"/>
  <c r="Z264" i="1"/>
  <c r="Z305" i="1"/>
  <c r="Z60" i="1"/>
  <c r="Z42" i="1"/>
  <c r="Z254" i="1"/>
  <c r="Z292" i="1"/>
  <c r="Z195" i="1"/>
  <c r="Z33" i="1"/>
  <c r="Z24" i="1"/>
  <c r="Z248" i="1"/>
  <c r="Z361" i="1"/>
  <c r="Z287" i="1"/>
  <c r="Z39" i="1"/>
  <c r="Z347" i="1"/>
  <c r="Z65" i="1"/>
  <c r="Z127" i="1"/>
  <c r="Z258" i="1"/>
  <c r="Z40" i="1"/>
  <c r="Z90" i="1"/>
  <c r="Z285" i="1"/>
  <c r="Z272" i="1"/>
  <c r="Z151" i="1"/>
  <c r="Z302" i="1"/>
  <c r="Z184" i="1"/>
  <c r="Z218" i="1"/>
  <c r="Z196" i="1"/>
  <c r="Z94" i="1"/>
  <c r="Z182" i="1"/>
  <c r="Z243" i="1"/>
  <c r="Z59" i="1"/>
  <c r="Z131" i="1"/>
  <c r="Z107" i="1"/>
  <c r="Z275" i="1"/>
  <c r="Z240" i="1"/>
  <c r="Z186" i="1"/>
  <c r="Z270" i="1"/>
  <c r="Z236" i="1"/>
  <c r="Z256" i="1"/>
  <c r="Z71" i="1"/>
  <c r="Z139" i="1"/>
  <c r="Z366" i="1"/>
  <c r="Z233" i="1"/>
  <c r="Z327" i="1"/>
  <c r="Z192" i="1"/>
  <c r="Z239" i="1"/>
  <c r="Z221" i="1"/>
  <c r="Z72" i="1"/>
  <c r="Z9" i="1"/>
  <c r="Z112" i="1"/>
  <c r="Z261" i="1"/>
  <c r="Z265" i="1"/>
  <c r="Z111" i="1"/>
  <c r="Z205" i="1"/>
  <c r="Z206" i="1"/>
  <c r="Z268" i="1"/>
  <c r="Z211" i="1"/>
  <c r="Z80" i="1"/>
  <c r="Z300" i="1"/>
  <c r="Z89" i="1"/>
  <c r="Z210" i="1"/>
  <c r="Z291" i="1"/>
  <c r="Z380" i="1"/>
  <c r="Z322" i="1"/>
  <c r="Z69" i="1"/>
  <c r="Z194" i="1"/>
  <c r="Z129" i="1"/>
  <c r="Z109" i="1"/>
  <c r="Z29" i="1"/>
  <c r="Z48" i="1"/>
  <c r="Z214" i="1"/>
  <c r="Z32" i="1"/>
  <c r="Z226" i="1"/>
  <c r="Z63" i="1"/>
  <c r="Z74" i="1"/>
  <c r="Z309" i="1"/>
  <c r="Z252" i="1"/>
  <c r="Z247" i="1"/>
  <c r="Z307" i="1"/>
  <c r="Z163" i="1"/>
  <c r="Z178" i="1"/>
  <c r="Z145" i="1"/>
  <c r="Z105" i="1"/>
  <c r="Z83" i="1"/>
  <c r="Z370" i="1"/>
  <c r="Z169" i="1"/>
  <c r="Z137" i="1"/>
  <c r="Z18" i="1"/>
  <c r="Z318" i="1"/>
  <c r="Z64" i="1"/>
  <c r="Z159" i="1"/>
  <c r="Z46" i="1"/>
  <c r="Z166" i="1"/>
  <c r="Z158" i="1"/>
  <c r="Z124" i="1"/>
  <c r="Z117" i="1"/>
  <c r="Z122" i="1"/>
  <c r="Z168" i="1"/>
  <c r="Z176" i="1"/>
  <c r="Z20" i="1"/>
  <c r="Z12" i="1"/>
  <c r="Z147" i="1"/>
  <c r="Z208" i="1"/>
  <c r="Z13" i="1"/>
  <c r="Z301" i="1"/>
  <c r="Z271" i="1"/>
  <c r="Z91" i="1"/>
  <c r="Z108" i="1"/>
  <c r="Z185" i="1"/>
  <c r="Z242" i="1"/>
  <c r="Z223" i="1"/>
  <c r="Z385" i="1"/>
  <c r="Z368" i="1"/>
  <c r="Z282" i="1"/>
  <c r="Z98" i="1"/>
  <c r="Z353" i="1"/>
  <c r="Z228" i="1"/>
  <c r="Z179" i="1"/>
  <c r="Z251" i="1"/>
  <c r="Z387" i="1"/>
  <c r="Z88" i="1"/>
  <c r="Z312" i="1"/>
  <c r="Z324" i="1"/>
  <c r="Z149" i="1"/>
  <c r="Z313" i="1"/>
  <c r="Z113" i="1"/>
  <c r="Z277" i="1"/>
  <c r="Z53" i="1"/>
  <c r="Z222" i="1"/>
  <c r="Z22" i="1"/>
  <c r="Z61" i="1"/>
  <c r="Z87" i="1"/>
  <c r="Z138" i="1"/>
  <c r="Z263" i="1"/>
  <c r="Z45" i="1"/>
  <c r="Z85" i="1"/>
  <c r="Z150" i="1"/>
  <c r="Z103" i="1"/>
  <c r="Z355" i="1"/>
  <c r="Z388" i="1"/>
  <c r="Z346" i="1"/>
  <c r="Z343" i="1"/>
  <c r="Z104" i="1"/>
  <c r="R5" i="1"/>
  <c r="R7" i="1"/>
  <c r="E6" i="1"/>
  <c r="E8" i="1"/>
  <c r="E5" i="1"/>
  <c r="E7" i="1"/>
  <c r="L3" i="1"/>
  <c r="L4" i="1"/>
  <c r="L6" i="1"/>
  <c r="L8" i="1"/>
  <c r="L5" i="1"/>
  <c r="L7" i="1"/>
  <c r="D5" i="1"/>
  <c r="D7" i="1"/>
  <c r="D6" i="1"/>
  <c r="D8" i="1"/>
  <c r="C5" i="1"/>
  <c r="C7" i="1"/>
  <c r="C6" i="1"/>
  <c r="C8" i="1"/>
  <c r="K5" i="1"/>
  <c r="K7" i="1"/>
  <c r="K3" i="1"/>
  <c r="K4" i="1"/>
  <c r="K6" i="1"/>
  <c r="K8" i="1"/>
  <c r="AO56" i="1"/>
  <c r="B6" i="1"/>
  <c r="B8" i="1"/>
  <c r="AO241" i="1"/>
  <c r="AQ129" i="1"/>
  <c r="AQ351" i="1"/>
  <c r="AQ383" i="1"/>
  <c r="AL76" i="1"/>
  <c r="AQ76" i="1"/>
  <c r="U334" i="1"/>
  <c r="V334" i="1"/>
  <c r="W5" i="1"/>
  <c r="AO19" i="1"/>
  <c r="AO123" i="1"/>
  <c r="AO234" i="1"/>
  <c r="AO360" i="1"/>
  <c r="AO100" i="1"/>
  <c r="AO133" i="1"/>
  <c r="AO38" i="1"/>
  <c r="AO181" i="1"/>
  <c r="AO165" i="1"/>
  <c r="AO229" i="1"/>
  <c r="AO381" i="1"/>
  <c r="AO357" i="1"/>
  <c r="AO308" i="1"/>
  <c r="AO374" i="1"/>
  <c r="AO273" i="1"/>
  <c r="AO200" i="1"/>
  <c r="AO143" i="1"/>
  <c r="AO154" i="1"/>
  <c r="AO267" i="1"/>
  <c r="AO304" i="1"/>
  <c r="AO281" i="1"/>
  <c r="AO290" i="1"/>
  <c r="AO101" i="1"/>
  <c r="AO337" i="1"/>
  <c r="AO257" i="1"/>
  <c r="AO79" i="1"/>
  <c r="AO188" i="1"/>
  <c r="AO384" i="1"/>
  <c r="AO119" i="1"/>
  <c r="AO288" i="1"/>
  <c r="AO298" i="1"/>
  <c r="AO180" i="1"/>
  <c r="AO215" i="1"/>
  <c r="AO170" i="1"/>
  <c r="AO237" i="1"/>
  <c r="AO73" i="1"/>
  <c r="AO332" i="1"/>
  <c r="AO224" i="1"/>
  <c r="AO189" i="1"/>
  <c r="AO317" i="1"/>
  <c r="AO102" i="1"/>
  <c r="AO162" i="1"/>
  <c r="AO58" i="1"/>
  <c r="AO365" i="1"/>
  <c r="AO356" i="1"/>
  <c r="AO82" i="1"/>
  <c r="AO160" i="1"/>
  <c r="AO27" i="1"/>
  <c r="AO197" i="1"/>
  <c r="AO253" i="1"/>
  <c r="AO115" i="1"/>
  <c r="AO43" i="1"/>
  <c r="AO255" i="1"/>
  <c r="AO174" i="1"/>
  <c r="AO320" i="1"/>
  <c r="AO245" i="1"/>
  <c r="AO379" i="1"/>
  <c r="AO15" i="1"/>
  <c r="AO50" i="1"/>
  <c r="AO76" i="1"/>
  <c r="AO26" i="1"/>
  <c r="AO230" i="1"/>
  <c r="AO293" i="1"/>
  <c r="AO77" i="1"/>
  <c r="AO96" i="1"/>
  <c r="AO67" i="1"/>
  <c r="AO199" i="1"/>
  <c r="AO172" i="1"/>
  <c r="AO212" i="1"/>
  <c r="AO28" i="1"/>
  <c r="AO276" i="1"/>
  <c r="AO342" i="1"/>
  <c r="AO371" i="1"/>
  <c r="AO171" i="1"/>
  <c r="AO326" i="1"/>
  <c r="AO367" i="1"/>
  <c r="AO207" i="1"/>
  <c r="AO314" i="1"/>
  <c r="AO319" i="1"/>
  <c r="AO187" i="1"/>
  <c r="AO10" i="1"/>
  <c r="AO262" i="1"/>
  <c r="AO331" i="1"/>
  <c r="AO359" i="1"/>
  <c r="AO284" i="1"/>
  <c r="AO213" i="1"/>
  <c r="AO152" i="1"/>
  <c r="AO350" i="1"/>
  <c r="AO110" i="1"/>
  <c r="AO378" i="1"/>
  <c r="AO274" i="1"/>
  <c r="AO280" i="1"/>
  <c r="AO352" i="1"/>
  <c r="AO279" i="1"/>
  <c r="AO204" i="1"/>
  <c r="AO311" i="1"/>
  <c r="AO141" i="1"/>
  <c r="AO157" i="1"/>
  <c r="AO283" i="1"/>
  <c r="AO142" i="1"/>
  <c r="AO84" i="1"/>
  <c r="AO286" i="1"/>
  <c r="AO303" i="1"/>
  <c r="AO344" i="1"/>
  <c r="AO155" i="1"/>
  <c r="AO377" i="1"/>
  <c r="AO235" i="1"/>
  <c r="AO130" i="1"/>
  <c r="AO114" i="1"/>
  <c r="AO209" i="1"/>
  <c r="AO373" i="1"/>
  <c r="AO376" i="1"/>
  <c r="AO153" i="1"/>
  <c r="AO44" i="1"/>
  <c r="AO31" i="1"/>
  <c r="AO70" i="1"/>
  <c r="AO203" i="1"/>
  <c r="AO81" i="1"/>
  <c r="AO191" i="1"/>
  <c r="AO66" i="1"/>
  <c r="AO363" i="1"/>
  <c r="AO297" i="1"/>
  <c r="AO116" i="1"/>
  <c r="AO14" i="1"/>
  <c r="AO340" i="1"/>
  <c r="AO294" i="1"/>
  <c r="AO35" i="1"/>
  <c r="AO23" i="1"/>
  <c r="AO156" i="1"/>
  <c r="AO296" i="1"/>
  <c r="AO125" i="1"/>
  <c r="AO99" i="1"/>
  <c r="AO289" i="1"/>
  <c r="AO278" i="1"/>
  <c r="AO219" i="1"/>
  <c r="AO260" i="1"/>
  <c r="AO341" i="1"/>
  <c r="AO37" i="1"/>
  <c r="AO330" i="1"/>
  <c r="AO336" i="1"/>
  <c r="AO364" i="1"/>
  <c r="AO128" i="1"/>
  <c r="AO134" i="1"/>
  <c r="AO225" i="1"/>
  <c r="AO323" i="1"/>
  <c r="AO372" i="1"/>
  <c r="AO335" i="1"/>
  <c r="AO68" i="1"/>
  <c r="AO121" i="1"/>
  <c r="AO34" i="1"/>
  <c r="AO216" i="1"/>
  <c r="AO238" i="1"/>
  <c r="AO167" i="1"/>
  <c r="AO193" i="1"/>
  <c r="AO36" i="1"/>
  <c r="AO310" i="1"/>
  <c r="AO333" i="1"/>
  <c r="AO269" i="1"/>
  <c r="AO86" i="1"/>
  <c r="AO51" i="1"/>
  <c r="AO328" i="1"/>
  <c r="AO16" i="1"/>
  <c r="AO375" i="1"/>
  <c r="AO175" i="1"/>
  <c r="AO25" i="1"/>
  <c r="AO198" i="1"/>
  <c r="AO120" i="1"/>
  <c r="AO354" i="1"/>
  <c r="AO299" i="1"/>
  <c r="AO52" i="1"/>
  <c r="AO329" i="1"/>
  <c r="AO295" i="1"/>
  <c r="AO231" i="1"/>
  <c r="AO75" i="1"/>
  <c r="AO306" i="1"/>
  <c r="AO30" i="1"/>
  <c r="AO62" i="1"/>
  <c r="AO177" i="1"/>
  <c r="AO78" i="1"/>
  <c r="AO55" i="1"/>
  <c r="AO383" i="1"/>
  <c r="AO132" i="1"/>
  <c r="AO349" i="1"/>
  <c r="AO146" i="1"/>
  <c r="AO47" i="1"/>
  <c r="AO264" i="1"/>
  <c r="AO232" i="1"/>
  <c r="AO358" i="1"/>
  <c r="AO305" i="1"/>
  <c r="AO60" i="1"/>
  <c r="AO42" i="1"/>
  <c r="AO254" i="1"/>
  <c r="AO292" i="1"/>
  <c r="AO220" i="1"/>
  <c r="AO351" i="1"/>
  <c r="AO338" i="1"/>
  <c r="AO195" i="1"/>
  <c r="AO33" i="1"/>
  <c r="AO24" i="1"/>
  <c r="AO248" i="1"/>
  <c r="AO361" i="1"/>
  <c r="AO287" i="1"/>
  <c r="AO39" i="1"/>
  <c r="AO41" i="1"/>
  <c r="AO347" i="1"/>
  <c r="AO65" i="1"/>
  <c r="AO127" i="1"/>
  <c r="AO258" i="1"/>
  <c r="AO40" i="1"/>
  <c r="AO382" i="1"/>
  <c r="AO49" i="1"/>
  <c r="AO173" i="1"/>
  <c r="AO90" i="1"/>
  <c r="AO285" i="1"/>
  <c r="AO272" i="1"/>
  <c r="AO151" i="1"/>
  <c r="AO302" i="1"/>
  <c r="AO184" i="1"/>
  <c r="AO339" i="1"/>
  <c r="AO249" i="1"/>
  <c r="AO218" i="1"/>
  <c r="AO196" i="1"/>
  <c r="AO94" i="1"/>
  <c r="AO182" i="1"/>
  <c r="AO243" i="1"/>
  <c r="AO316" i="1"/>
  <c r="AO183" i="1"/>
  <c r="AO315" i="1"/>
  <c r="AO59" i="1"/>
  <c r="AO131" i="1"/>
  <c r="AO107" i="1"/>
  <c r="AO275" i="1"/>
  <c r="AO240" i="1"/>
  <c r="AO186" i="1"/>
  <c r="AO135" i="1"/>
  <c r="AO136" i="1"/>
  <c r="AO270" i="1"/>
  <c r="AO236" i="1"/>
  <c r="AO256" i="1"/>
  <c r="AO71" i="1"/>
  <c r="AO139" i="1"/>
  <c r="AO366" i="1"/>
  <c r="AO345" i="1"/>
  <c r="AO362" i="1"/>
  <c r="AO233" i="1"/>
  <c r="AO327" i="1"/>
  <c r="AO192" i="1"/>
  <c r="AO239" i="1"/>
  <c r="AO221" i="1"/>
  <c r="AO57" i="1"/>
  <c r="AO217" i="1"/>
  <c r="AO72" i="1"/>
  <c r="AO9" i="1"/>
  <c r="AO112" i="1"/>
  <c r="AO261" i="1"/>
  <c r="AO265" i="1"/>
  <c r="AO111" i="1"/>
  <c r="AO17" i="1"/>
  <c r="AO348" i="1"/>
  <c r="AO205" i="1"/>
  <c r="AO206" i="1"/>
  <c r="AO268" i="1"/>
  <c r="AO211" i="1"/>
  <c r="AO80" i="1"/>
  <c r="AO300" i="1"/>
  <c r="AO144" i="1"/>
  <c r="AO54" i="1"/>
  <c r="AO89" i="1"/>
  <c r="AO210" i="1"/>
  <c r="AO291" i="1"/>
  <c r="AO380" i="1"/>
  <c r="AO322" i="1"/>
  <c r="AO69" i="1"/>
  <c r="AO190" i="1"/>
  <c r="AO148" i="1"/>
  <c r="AO194" i="1"/>
  <c r="AO129" i="1"/>
  <c r="AO109" i="1"/>
  <c r="AO29" i="1"/>
  <c r="AO48" i="1"/>
  <c r="AO214" i="1"/>
  <c r="AO11" i="1"/>
  <c r="AO21" i="1"/>
  <c r="AO32" i="1"/>
  <c r="AO226" i="1"/>
  <c r="AO63" i="1"/>
  <c r="AO74" i="1"/>
  <c r="AO309" i="1"/>
  <c r="AO202" i="1"/>
  <c r="AO266" i="1"/>
  <c r="AO92" i="1"/>
  <c r="AO252" i="1"/>
  <c r="AO247" i="1"/>
  <c r="AO307" i="1"/>
  <c r="AO163" i="1"/>
  <c r="AO178" i="1"/>
  <c r="AO145" i="1"/>
  <c r="AO93" i="1"/>
  <c r="AO325" i="1"/>
  <c r="AO105" i="1"/>
  <c r="AO83" i="1"/>
  <c r="AO370" i="1"/>
  <c r="AO169" i="1"/>
  <c r="AO137" i="1"/>
  <c r="AO18" i="1"/>
  <c r="AO106" i="1"/>
  <c r="AO95" i="1"/>
  <c r="AO318" i="1"/>
  <c r="AO64" i="1"/>
  <c r="AO159" i="1"/>
  <c r="AO46" i="1"/>
  <c r="AO166" i="1"/>
  <c r="AO158" i="1"/>
  <c r="AO244" i="1"/>
  <c r="AO126" i="1"/>
  <c r="AO124" i="1"/>
  <c r="AO117" i="1"/>
  <c r="AO122" i="1"/>
  <c r="AO168" i="1"/>
  <c r="AO176" i="1"/>
  <c r="AO20" i="1"/>
  <c r="AO118" i="1"/>
  <c r="AO201" i="1"/>
  <c r="AO12" i="1"/>
  <c r="AO147" i="1"/>
  <c r="AO208" i="1"/>
  <c r="AO13" i="1"/>
  <c r="AO301" i="1"/>
  <c r="AO271" i="1"/>
  <c r="AO91" i="1"/>
  <c r="AO227" i="1"/>
  <c r="AO108" i="1"/>
  <c r="AO185" i="1"/>
  <c r="AO242" i="1"/>
  <c r="AO223" i="1"/>
  <c r="AO385" i="1"/>
  <c r="AO368" i="1"/>
  <c r="AO97" i="1"/>
  <c r="AO321" i="1"/>
  <c r="AO282" i="1"/>
  <c r="AO98" i="1"/>
  <c r="AO353" i="1"/>
  <c r="AO228" i="1"/>
  <c r="AO179" i="1"/>
  <c r="AO251" i="1"/>
  <c r="AO164" i="1"/>
  <c r="AO250" i="1"/>
  <c r="AO387" i="1"/>
  <c r="AO88" i="1"/>
  <c r="AN88" i="1"/>
  <c r="AO312" i="1"/>
  <c r="AO324" i="1"/>
  <c r="AO149" i="1"/>
  <c r="AO161" i="1"/>
  <c r="AO386" i="1"/>
  <c r="AO246" i="1"/>
  <c r="AO313" i="1"/>
  <c r="AO113" i="1"/>
  <c r="AO277" i="1"/>
  <c r="AO53" i="1"/>
  <c r="AO222" i="1"/>
  <c r="AO22" i="1"/>
  <c r="AO61" i="1"/>
  <c r="AO259" i="1"/>
  <c r="AO87" i="1"/>
  <c r="AO138" i="1"/>
  <c r="AO263" i="1"/>
  <c r="AO45" i="1"/>
  <c r="AO85" i="1"/>
  <c r="AO150" i="1"/>
  <c r="AO103" i="1"/>
  <c r="AO369" i="1"/>
  <c r="AO355" i="1"/>
  <c r="AO388" i="1"/>
  <c r="AO346" i="1"/>
  <c r="AO343" i="1"/>
  <c r="AO104" i="1"/>
  <c r="U2" i="1"/>
  <c r="V2" i="1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P2" i="1"/>
  <c r="Y3" i="1"/>
  <c r="Y4" i="1"/>
  <c r="B5" i="1"/>
  <c r="B7" i="1"/>
  <c r="AQ8" i="1"/>
  <c r="AO8" i="1"/>
  <c r="AO2" i="1"/>
  <c r="AN8" i="1"/>
  <c r="AN2" i="1"/>
  <c r="AN104" i="1"/>
  <c r="AO334" i="1"/>
  <c r="AN334" i="1"/>
  <c r="AN343" i="1"/>
  <c r="AN346" i="1"/>
  <c r="AN388" i="1"/>
  <c r="AN355" i="1"/>
  <c r="AN369" i="1"/>
  <c r="AN103" i="1"/>
  <c r="AN150" i="1"/>
  <c r="AN85" i="1"/>
  <c r="AN45" i="1"/>
  <c r="AN263" i="1"/>
  <c r="AN138" i="1"/>
  <c r="AN87" i="1"/>
  <c r="AN259" i="1"/>
  <c r="AN61" i="1"/>
  <c r="AN22" i="1"/>
  <c r="AN222" i="1"/>
  <c r="AN53" i="1"/>
  <c r="AN277" i="1"/>
  <c r="AN113" i="1"/>
  <c r="AN313" i="1"/>
  <c r="AN246" i="1"/>
  <c r="AN386" i="1"/>
  <c r="AN161" i="1"/>
  <c r="AN149" i="1"/>
  <c r="AN324" i="1"/>
  <c r="AN312" i="1"/>
  <c r="AN387" i="1"/>
  <c r="AN250" i="1"/>
  <c r="AN164" i="1"/>
  <c r="AN251" i="1"/>
  <c r="AN179" i="1"/>
  <c r="AN228" i="1"/>
  <c r="AN353" i="1"/>
  <c r="AN98" i="1"/>
  <c r="AN282" i="1"/>
  <c r="AN321" i="1"/>
  <c r="AN97" i="1"/>
  <c r="AN368" i="1"/>
  <c r="AN385" i="1"/>
  <c r="AN223" i="1"/>
  <c r="AN242" i="1"/>
  <c r="AN185" i="1"/>
  <c r="AN108" i="1"/>
  <c r="AN227" i="1"/>
  <c r="AN91" i="1"/>
  <c r="AN271" i="1"/>
  <c r="AN301" i="1"/>
  <c r="AN13" i="1"/>
  <c r="AN208" i="1"/>
  <c r="AN147" i="1"/>
  <c r="AN12" i="1"/>
  <c r="AN201" i="1"/>
  <c r="AN118" i="1"/>
  <c r="AN20" i="1"/>
  <c r="AN176" i="1"/>
  <c r="AN168" i="1"/>
  <c r="AN122" i="1"/>
  <c r="AN117" i="1"/>
  <c r="AN124" i="1"/>
  <c r="AN126" i="1"/>
  <c r="AN244" i="1"/>
  <c r="AN158" i="1"/>
  <c r="AN166" i="1"/>
  <c r="AN46" i="1"/>
  <c r="AN159" i="1"/>
  <c r="AN64" i="1"/>
  <c r="AN318" i="1"/>
  <c r="AN95" i="1"/>
  <c r="AN106" i="1"/>
  <c r="AN18" i="1"/>
  <c r="AN137" i="1"/>
  <c r="AN169" i="1"/>
  <c r="AN370" i="1"/>
  <c r="AN83" i="1"/>
  <c r="AN105" i="1"/>
  <c r="AN325" i="1"/>
  <c r="AN93" i="1"/>
  <c r="AN145" i="1"/>
  <c r="AN178" i="1"/>
  <c r="AN163" i="1"/>
  <c r="AN307" i="1"/>
  <c r="AN247" i="1"/>
  <c r="AN252" i="1"/>
  <c r="AN92" i="1"/>
  <c r="AN266" i="1"/>
  <c r="AN202" i="1"/>
  <c r="AN309" i="1"/>
  <c r="AN74" i="1"/>
  <c r="AN63" i="1"/>
  <c r="AN226" i="1"/>
  <c r="AN32" i="1"/>
  <c r="AN21" i="1"/>
  <c r="AN11" i="1"/>
  <c r="AN214" i="1"/>
  <c r="AN48" i="1"/>
  <c r="AN29" i="1"/>
  <c r="AN109" i="1"/>
  <c r="AN129" i="1"/>
  <c r="AN194" i="1"/>
  <c r="AN148" i="1"/>
  <c r="AN190" i="1"/>
  <c r="AN69" i="1"/>
  <c r="AN322" i="1"/>
  <c r="AN380" i="1"/>
  <c r="AN291" i="1"/>
  <c r="AN210" i="1"/>
  <c r="AN89" i="1"/>
  <c r="AN54" i="1"/>
  <c r="AN144" i="1"/>
  <c r="AN300" i="1"/>
  <c r="AN80" i="1"/>
  <c r="AN211" i="1"/>
  <c r="AN268" i="1"/>
  <c r="AN206" i="1"/>
  <c r="AN205" i="1"/>
  <c r="AN348" i="1"/>
  <c r="AN17" i="1"/>
  <c r="AN111" i="1"/>
  <c r="AN265" i="1"/>
  <c r="AN261" i="1"/>
  <c r="AN112" i="1"/>
  <c r="AN9" i="1"/>
  <c r="AN72" i="1"/>
  <c r="AN217" i="1"/>
  <c r="AN57" i="1"/>
  <c r="AN221" i="1"/>
  <c r="AN239" i="1"/>
  <c r="AN192" i="1"/>
  <c r="AN327" i="1"/>
  <c r="AN233" i="1"/>
  <c r="AN362" i="1"/>
  <c r="AN345" i="1"/>
  <c r="AN366" i="1"/>
  <c r="AN139" i="1"/>
  <c r="AN71" i="1"/>
  <c r="AN256" i="1"/>
  <c r="AN236" i="1"/>
  <c r="AN270" i="1"/>
  <c r="AN136" i="1"/>
  <c r="AN135" i="1"/>
  <c r="AN186" i="1"/>
  <c r="AN240" i="1"/>
  <c r="AN275" i="1"/>
  <c r="AN107" i="1"/>
  <c r="AN131" i="1"/>
  <c r="AN59" i="1"/>
  <c r="AN315" i="1"/>
  <c r="AN183" i="1"/>
  <c r="AN316" i="1"/>
  <c r="AN243" i="1"/>
  <c r="AN182" i="1"/>
  <c r="AN94" i="1"/>
  <c r="AN196" i="1"/>
  <c r="AN218" i="1"/>
  <c r="AN249" i="1"/>
  <c r="AN339" i="1"/>
  <c r="AN184" i="1"/>
  <c r="AN302" i="1"/>
  <c r="AN151" i="1"/>
  <c r="AN272" i="1"/>
  <c r="AN285" i="1"/>
  <c r="AN90" i="1"/>
  <c r="AN173" i="1"/>
  <c r="AN49" i="1"/>
  <c r="AN382" i="1"/>
  <c r="AN40" i="1"/>
  <c r="AN258" i="1"/>
  <c r="AN127" i="1"/>
  <c r="AN65" i="1"/>
  <c r="AN347" i="1"/>
  <c r="AN41" i="1"/>
  <c r="AN39" i="1"/>
  <c r="AN287" i="1"/>
  <c r="AN361" i="1"/>
  <c r="AN248" i="1"/>
  <c r="AN24" i="1"/>
  <c r="AN33" i="1"/>
  <c r="AN195" i="1"/>
  <c r="AN338" i="1"/>
  <c r="AN351" i="1"/>
  <c r="AN220" i="1"/>
  <c r="AN292" i="1"/>
  <c r="AN254" i="1"/>
  <c r="AN42" i="1"/>
  <c r="AN60" i="1"/>
  <c r="AN305" i="1"/>
  <c r="AN358" i="1"/>
  <c r="AN232" i="1"/>
  <c r="AN264" i="1"/>
  <c r="AN47" i="1"/>
  <c r="AN146" i="1"/>
  <c r="AN349" i="1"/>
  <c r="AN132" i="1"/>
  <c r="AN383" i="1"/>
  <c r="AN55" i="1"/>
  <c r="AN78" i="1"/>
  <c r="AN177" i="1"/>
  <c r="AN62" i="1"/>
  <c r="AN30" i="1"/>
  <c r="AN306" i="1"/>
  <c r="AN75" i="1"/>
  <c r="AN231" i="1"/>
  <c r="AN295" i="1"/>
  <c r="AN329" i="1"/>
  <c r="AN52" i="1"/>
  <c r="AN299" i="1"/>
  <c r="AN354" i="1"/>
  <c r="AN120" i="1"/>
  <c r="AN198" i="1"/>
  <c r="AN25" i="1"/>
  <c r="AN175" i="1"/>
  <c r="AN375" i="1"/>
  <c r="AN16" i="1"/>
  <c r="AN328" i="1"/>
  <c r="AN51" i="1"/>
  <c r="AN86" i="1"/>
  <c r="AN269" i="1"/>
  <c r="AN333" i="1"/>
  <c r="AN310" i="1"/>
  <c r="AN36" i="1"/>
  <c r="AN193" i="1"/>
  <c r="AN167" i="1"/>
  <c r="AN238" i="1"/>
  <c r="AN216" i="1"/>
  <c r="AN34" i="1"/>
  <c r="AN121" i="1"/>
  <c r="AN68" i="1"/>
  <c r="AN335" i="1"/>
  <c r="AN372" i="1"/>
  <c r="AN323" i="1"/>
  <c r="AN225" i="1"/>
  <c r="AN134" i="1"/>
  <c r="AN128" i="1"/>
  <c r="AN364" i="1"/>
  <c r="AN336" i="1"/>
  <c r="AN330" i="1"/>
  <c r="AN37" i="1"/>
  <c r="AN341" i="1"/>
  <c r="AN260" i="1"/>
  <c r="AN219" i="1"/>
  <c r="AN278" i="1"/>
  <c r="AN289" i="1"/>
  <c r="AN99" i="1"/>
  <c r="AN125" i="1"/>
  <c r="AN296" i="1"/>
  <c r="AN156" i="1"/>
  <c r="AN23" i="1"/>
  <c r="AN35" i="1"/>
  <c r="AN294" i="1"/>
  <c r="AN340" i="1"/>
  <c r="AN14" i="1"/>
  <c r="AN116" i="1"/>
  <c r="AN297" i="1"/>
  <c r="AN363" i="1"/>
  <c r="AN66" i="1"/>
  <c r="AN191" i="1"/>
  <c r="AN56" i="1"/>
  <c r="AN81" i="1"/>
  <c r="AN203" i="1"/>
  <c r="AN70" i="1"/>
  <c r="AN31" i="1"/>
  <c r="AN44" i="1"/>
  <c r="AN153" i="1"/>
  <c r="AN376" i="1"/>
  <c r="AN373" i="1"/>
  <c r="AN209" i="1"/>
  <c r="AN114" i="1"/>
  <c r="AN130" i="1"/>
  <c r="AN235" i="1"/>
  <c r="AN377" i="1"/>
  <c r="AN155" i="1"/>
  <c r="AN344" i="1"/>
  <c r="AN303" i="1"/>
  <c r="AN286" i="1"/>
  <c r="AN84" i="1"/>
  <c r="AN142" i="1"/>
  <c r="AN283" i="1"/>
  <c r="AN157" i="1"/>
  <c r="AN141" i="1"/>
  <c r="AN311" i="1"/>
  <c r="AN204" i="1"/>
  <c r="AN279" i="1"/>
  <c r="AN352" i="1"/>
  <c r="AN280" i="1"/>
  <c r="AN274" i="1"/>
  <c r="AN378" i="1"/>
  <c r="AN110" i="1"/>
  <c r="AN350" i="1"/>
  <c r="AN152" i="1"/>
  <c r="AN213" i="1"/>
  <c r="AN284" i="1"/>
  <c r="AN359" i="1"/>
  <c r="AN331" i="1"/>
  <c r="AN262" i="1"/>
  <c r="AN10" i="1"/>
  <c r="AN187" i="1"/>
  <c r="AN319" i="1"/>
  <c r="AN314" i="1"/>
  <c r="AN207" i="1"/>
  <c r="AN367" i="1"/>
  <c r="AN326" i="1"/>
  <c r="AN171" i="1"/>
  <c r="AN371" i="1"/>
  <c r="AN342" i="1"/>
  <c r="AN276" i="1"/>
  <c r="AN28" i="1"/>
  <c r="AN212" i="1"/>
  <c r="AN172" i="1"/>
  <c r="AN199" i="1"/>
  <c r="AN67" i="1"/>
  <c r="AN96" i="1"/>
  <c r="AN77" i="1"/>
  <c r="AN293" i="1"/>
  <c r="AN230" i="1"/>
  <c r="AN26" i="1"/>
  <c r="AN76" i="1"/>
  <c r="AN50" i="1"/>
  <c r="AN15" i="1"/>
  <c r="AN379" i="1"/>
  <c r="AN245" i="1"/>
  <c r="AN320" i="1"/>
  <c r="AN174" i="1"/>
  <c r="AN255" i="1"/>
  <c r="AN43" i="1"/>
  <c r="AN115" i="1"/>
  <c r="AN253" i="1"/>
  <c r="AN197" i="1"/>
  <c r="AN27" i="1"/>
  <c r="AN160" i="1"/>
  <c r="AN82" i="1"/>
  <c r="AN356" i="1"/>
  <c r="AN365" i="1"/>
  <c r="AN58" i="1"/>
  <c r="AN162" i="1"/>
  <c r="AN102" i="1"/>
  <c r="AN317" i="1"/>
  <c r="AN189" i="1"/>
  <c r="AN224" i="1"/>
  <c r="AN332" i="1"/>
  <c r="AN73" i="1"/>
  <c r="AN237" i="1"/>
  <c r="AN170" i="1"/>
  <c r="AN215" i="1"/>
  <c r="AN180" i="1"/>
  <c r="AN298" i="1"/>
  <c r="AN288" i="1"/>
  <c r="AN119" i="1"/>
  <c r="AN384" i="1"/>
  <c r="AN188" i="1"/>
  <c r="AN79" i="1"/>
  <c r="AN257" i="1"/>
  <c r="AN337" i="1"/>
  <c r="AN101" i="1"/>
  <c r="AN290" i="1"/>
  <c r="AN281" i="1"/>
  <c r="AN304" i="1"/>
  <c r="AN267" i="1"/>
  <c r="AN154" i="1"/>
  <c r="AN143" i="1"/>
  <c r="AN200" i="1"/>
  <c r="AN273" i="1"/>
  <c r="AN374" i="1"/>
  <c r="AN308" i="1"/>
  <c r="AN357" i="1"/>
  <c r="AN381" i="1"/>
  <c r="AN229" i="1"/>
  <c r="AN165" i="1"/>
  <c r="AN181" i="1"/>
  <c r="AN38" i="1"/>
  <c r="AN133" i="1"/>
  <c r="AN100" i="1"/>
  <c r="AN360" i="1"/>
  <c r="AN234" i="1"/>
  <c r="AN123" i="1"/>
  <c r="AN19" i="1"/>
  <c r="AN241" i="1"/>
  <c r="B178" i="3"/>
  <c r="B27" i="3"/>
  <c r="B26" i="3"/>
  <c r="B25" i="3"/>
  <c r="B24" i="3"/>
  <c r="B57" i="3"/>
  <c r="B56" i="3"/>
  <c r="B55" i="3"/>
  <c r="B54" i="3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B212" i="3"/>
  <c r="B211" i="3"/>
  <c r="B210" i="3"/>
  <c r="B209" i="3"/>
  <c r="B119" i="3"/>
  <c r="B118" i="3"/>
  <c r="B117" i="3"/>
  <c r="B116" i="3"/>
  <c r="B138" i="4" a="1"/>
  <c r="B140" i="4"/>
  <c r="B104" i="4" a="1"/>
  <c r="B115" i="4"/>
  <c r="B70" i="4" a="1"/>
  <c r="B89" i="4"/>
  <c r="A173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A3" i="4"/>
  <c r="A4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B200" i="4"/>
  <c r="B199" i="4"/>
  <c r="B198" i="4"/>
  <c r="B197" i="4"/>
  <c r="B166" i="4"/>
  <c r="B165" i="4"/>
  <c r="B164" i="4"/>
  <c r="B163" i="4"/>
  <c r="B132" i="4"/>
  <c r="B131" i="4"/>
  <c r="B130" i="4"/>
  <c r="B129" i="4"/>
  <c r="B98" i="4"/>
  <c r="B97" i="4"/>
  <c r="B96" i="4"/>
  <c r="B95" i="4"/>
  <c r="B64" i="4"/>
  <c r="B63" i="4"/>
  <c r="B62" i="4"/>
  <c r="B61" i="4"/>
  <c r="B30" i="4"/>
  <c r="B29" i="4"/>
  <c r="B28" i="4"/>
  <c r="B27" i="4"/>
  <c r="B293" i="2"/>
  <c r="B292" i="2"/>
  <c r="B291" i="2"/>
  <c r="B290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A263" i="2"/>
  <c r="B256" i="2"/>
  <c r="B255" i="2"/>
  <c r="B254" i="2"/>
  <c r="B253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B218" i="2"/>
  <c r="B217" i="2"/>
  <c r="B216" i="2"/>
  <c r="B215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A188" i="2"/>
  <c r="B181" i="2"/>
  <c r="B180" i="2"/>
  <c r="B179" i="2"/>
  <c r="B178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A151" i="2"/>
  <c r="A152" i="2"/>
  <c r="A153" i="2"/>
  <c r="A154" i="2"/>
  <c r="B144" i="2"/>
  <c r="B143" i="2"/>
  <c r="B142" i="2"/>
  <c r="B141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B107" i="2"/>
  <c r="B106" i="2"/>
  <c r="B105" i="2"/>
  <c r="B104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A77" i="2"/>
  <c r="A78" i="2"/>
  <c r="B70" i="2"/>
  <c r="B69" i="2"/>
  <c r="B68" i="2"/>
  <c r="B67" i="2"/>
  <c r="B33" i="2"/>
  <c r="B32" i="2"/>
  <c r="B31" i="2"/>
  <c r="B30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Y2" i="1"/>
  <c r="Y5" i="1"/>
  <c r="B2" i="3" a="1"/>
  <c r="B20" i="3"/>
  <c r="B32" i="3" a="1"/>
  <c r="B43" i="3"/>
  <c r="B28" i="3"/>
  <c r="B58" i="3"/>
  <c r="B273" i="3"/>
  <c r="B249" i="3" a="1"/>
  <c r="B251" i="3"/>
  <c r="B271" i="3"/>
  <c r="B274" i="3"/>
  <c r="B275" i="3"/>
  <c r="B272" i="3"/>
  <c r="B340" i="3"/>
  <c r="A174" i="4"/>
  <c r="A175" i="4"/>
  <c r="A176" i="4"/>
  <c r="A177" i="4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Q81" i="1"/>
  <c r="AQ24" i="1"/>
  <c r="AQ52" i="1"/>
  <c r="AQ9" i="1"/>
  <c r="AQ74" i="1"/>
  <c r="AQ242" i="1"/>
  <c r="AQ53" i="1"/>
  <c r="AQ369" i="1"/>
  <c r="B49" i="3"/>
  <c r="B35" i="3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B150" i="2" a="1"/>
  <c r="B151" i="2"/>
  <c r="B262" i="2" a="1"/>
  <c r="B264" i="2"/>
  <c r="B39" i="2" a="1"/>
  <c r="B57" i="2"/>
  <c r="B224" i="2" a="1"/>
  <c r="B232" i="2"/>
  <c r="B113" i="2" a="1"/>
  <c r="B122" i="2"/>
  <c r="B2" i="2" a="1"/>
  <c r="B7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B187" i="2" a="1"/>
  <c r="B204" i="2"/>
  <c r="B36" i="4" a="1"/>
  <c r="B52" i="4"/>
  <c r="B172" i="4" a="1"/>
  <c r="B188" i="4"/>
  <c r="B253" i="3"/>
  <c r="B47" i="3"/>
  <c r="B48" i="3"/>
  <c r="B262" i="3"/>
  <c r="B40" i="3"/>
  <c r="B257" i="3"/>
  <c r="AQ334" i="1"/>
  <c r="B265" i="3"/>
  <c r="AQ276" i="1"/>
  <c r="AQ331" i="1"/>
  <c r="B21" i="3"/>
  <c r="B2" i="3"/>
  <c r="B18" i="3"/>
  <c r="B7" i="3"/>
  <c r="B15" i="3"/>
  <c r="B254" i="3"/>
  <c r="B261" i="3"/>
  <c r="B267" i="3"/>
  <c r="B252" i="3"/>
  <c r="B268" i="3"/>
  <c r="B266" i="3"/>
  <c r="B256" i="3"/>
  <c r="B260" i="3"/>
  <c r="B255" i="3"/>
  <c r="B258" i="3"/>
  <c r="B264" i="3"/>
  <c r="B259" i="3"/>
  <c r="B263" i="3"/>
  <c r="B250" i="3"/>
  <c r="AQ2" i="1"/>
  <c r="AQ142" i="1"/>
  <c r="B249" i="3"/>
  <c r="B269" i="3"/>
  <c r="W3" i="1"/>
  <c r="W4" i="1"/>
  <c r="AQ241" i="1"/>
  <c r="B42" i="3"/>
  <c r="AQ133" i="1"/>
  <c r="AQ381" i="1"/>
  <c r="AQ308" i="1"/>
  <c r="AQ228" i="1"/>
  <c r="AQ193" i="1"/>
  <c r="AQ359" i="1"/>
  <c r="AQ122" i="1"/>
  <c r="AQ31" i="1"/>
  <c r="AQ63" i="1"/>
  <c r="AQ283" i="1"/>
  <c r="AQ347" i="1"/>
  <c r="AQ293" i="1"/>
  <c r="AQ161" i="1"/>
  <c r="AQ370" i="1"/>
  <c r="AQ210" i="1"/>
  <c r="AQ260" i="1"/>
  <c r="AQ10" i="1"/>
  <c r="AQ18" i="1"/>
  <c r="AQ259" i="1"/>
  <c r="AQ107" i="1"/>
  <c r="AQ304" i="1"/>
  <c r="AQ73" i="1"/>
  <c r="AQ43" i="1"/>
  <c r="AQ28" i="1"/>
  <c r="AQ213" i="1"/>
  <c r="AQ286" i="1"/>
  <c r="AQ66" i="1"/>
  <c r="AQ165" i="1"/>
  <c r="AQ298" i="1"/>
  <c r="AQ197" i="1"/>
  <c r="AQ96" i="1"/>
  <c r="AQ284" i="1"/>
  <c r="AQ84" i="1"/>
  <c r="AQ203" i="1"/>
  <c r="AQ289" i="1"/>
  <c r="AQ121" i="1"/>
  <c r="AQ25" i="1"/>
  <c r="AQ349" i="1"/>
  <c r="AQ361" i="1"/>
  <c r="AQ37" i="1"/>
  <c r="AQ310" i="1"/>
  <c r="AQ295" i="1"/>
  <c r="AQ60" i="1"/>
  <c r="AQ65" i="1"/>
  <c r="AQ196" i="1"/>
  <c r="AQ256" i="1"/>
  <c r="AQ261" i="1"/>
  <c r="AQ380" i="1"/>
  <c r="AQ202" i="1"/>
  <c r="AQ127" i="1"/>
  <c r="AQ94" i="1"/>
  <c r="AQ71" i="1"/>
  <c r="AQ265" i="1"/>
  <c r="AQ322" i="1"/>
  <c r="AQ309" i="1"/>
  <c r="AQ137" i="1"/>
  <c r="AQ176" i="1"/>
  <c r="AQ385" i="1"/>
  <c r="AQ149" i="1"/>
  <c r="AQ85" i="1"/>
  <c r="AQ158" i="1"/>
  <c r="AQ271" i="1"/>
  <c r="AQ251" i="1"/>
  <c r="AQ22" i="1"/>
  <c r="AQ55" i="1"/>
  <c r="AQ200" i="1"/>
  <c r="AQ56" i="1"/>
  <c r="AQ230" i="1"/>
  <c r="AQ209" i="1"/>
  <c r="AQ101" i="1"/>
  <c r="AQ379" i="1"/>
  <c r="AQ114" i="1"/>
  <c r="AQ364" i="1"/>
  <c r="AQ42" i="1"/>
  <c r="AQ175" i="1"/>
  <c r="AQ285" i="1"/>
  <c r="AQ211" i="1"/>
  <c r="AQ272" i="1"/>
  <c r="AQ80" i="1"/>
  <c r="AQ166" i="1"/>
  <c r="AQ222" i="1"/>
  <c r="AQ20" i="1"/>
  <c r="AQ290" i="1"/>
  <c r="AQ224" i="1"/>
  <c r="AQ174" i="1"/>
  <c r="AQ342" i="1"/>
  <c r="AQ350" i="1"/>
  <c r="AQ344" i="1"/>
  <c r="AQ297" i="1"/>
  <c r="AQ273" i="1"/>
  <c r="AQ237" i="1"/>
  <c r="AQ115" i="1"/>
  <c r="AQ199" i="1"/>
  <c r="AQ152" i="1"/>
  <c r="AQ303" i="1"/>
  <c r="AQ191" i="1"/>
  <c r="AQ219" i="1"/>
  <c r="AQ216" i="1"/>
  <c r="AQ120" i="1"/>
  <c r="AQ47" i="1"/>
  <c r="AQ39" i="1"/>
  <c r="AQ336" i="1"/>
  <c r="AQ269" i="1"/>
  <c r="AQ75" i="1"/>
  <c r="AQ254" i="1"/>
  <c r="AQ258" i="1"/>
  <c r="AQ182" i="1"/>
  <c r="AQ139" i="1"/>
  <c r="AQ111" i="1"/>
  <c r="AQ69" i="1"/>
  <c r="AQ92" i="1"/>
  <c r="AQ40" i="1"/>
  <c r="AQ243" i="1"/>
  <c r="AQ366" i="1"/>
  <c r="AQ17" i="1"/>
  <c r="AQ190" i="1"/>
  <c r="AQ266" i="1"/>
  <c r="AQ106" i="1"/>
  <c r="AQ118" i="1"/>
  <c r="AQ97" i="1"/>
  <c r="AQ386" i="1"/>
  <c r="AQ103" i="1"/>
  <c r="AQ126" i="1"/>
  <c r="AQ227" i="1"/>
  <c r="AQ250" i="1"/>
  <c r="AQ138" i="1"/>
  <c r="AQ355" i="1"/>
  <c r="AQ181" i="1"/>
  <c r="AQ15" i="1"/>
  <c r="AQ280" i="1"/>
  <c r="AQ281" i="1"/>
  <c r="AQ189" i="1"/>
  <c r="AQ371" i="1"/>
  <c r="AQ235" i="1"/>
  <c r="AQ330" i="1"/>
  <c r="AQ329" i="1"/>
  <c r="AQ23" i="1"/>
  <c r="AQ16" i="1"/>
  <c r="AQ338" i="1"/>
  <c r="AQ315" i="1"/>
  <c r="AQ206" i="1"/>
  <c r="AQ163" i="1"/>
  <c r="AQ59" i="1"/>
  <c r="AQ268" i="1"/>
  <c r="AQ307" i="1"/>
  <c r="AQ208" i="1"/>
  <c r="AQ277" i="1"/>
  <c r="AQ168" i="1"/>
  <c r="AQ324" i="1"/>
  <c r="AQ267" i="1"/>
  <c r="AQ384" i="1"/>
  <c r="AQ279" i="1"/>
  <c r="AQ352" i="1"/>
  <c r="AQ231" i="1"/>
  <c r="AQ372" i="1"/>
  <c r="AQ33" i="1"/>
  <c r="AQ192" i="1"/>
  <c r="AQ145" i="1"/>
  <c r="AQ239" i="1"/>
  <c r="AQ178" i="1"/>
  <c r="AQ179" i="1"/>
  <c r="AQ368" i="1"/>
  <c r="AQ360" i="1"/>
  <c r="AQ337" i="1"/>
  <c r="AQ317" i="1"/>
  <c r="AQ245" i="1"/>
  <c r="AQ171" i="1"/>
  <c r="AQ378" i="1"/>
  <c r="AQ377" i="1"/>
  <c r="AQ14" i="1"/>
  <c r="AQ143" i="1"/>
  <c r="AQ332" i="1"/>
  <c r="AQ255" i="1"/>
  <c r="AQ212" i="1"/>
  <c r="AQ110" i="1"/>
  <c r="AQ155" i="1"/>
  <c r="AQ363" i="1"/>
  <c r="AQ341" i="1"/>
  <c r="AQ167" i="1"/>
  <c r="AQ299" i="1"/>
  <c r="AQ232" i="1"/>
  <c r="AQ294" i="1"/>
  <c r="AQ128" i="1"/>
  <c r="AQ51" i="1"/>
  <c r="AQ30" i="1"/>
  <c r="AQ220" i="1"/>
  <c r="AQ382" i="1"/>
  <c r="AQ316" i="1"/>
  <c r="AQ345" i="1"/>
  <c r="AQ348" i="1"/>
  <c r="AQ148" i="1"/>
  <c r="AQ247" i="1"/>
  <c r="AQ49" i="1"/>
  <c r="AQ183" i="1"/>
  <c r="AQ362" i="1"/>
  <c r="AQ205" i="1"/>
  <c r="AQ194" i="1"/>
  <c r="AQ252" i="1"/>
  <c r="AQ318" i="1"/>
  <c r="AQ12" i="1"/>
  <c r="AQ282" i="1"/>
  <c r="AQ313" i="1"/>
  <c r="AQ346" i="1"/>
  <c r="AQ117" i="1"/>
  <c r="AQ185" i="1"/>
  <c r="AQ88" i="1"/>
  <c r="AQ45" i="1"/>
  <c r="AQ70" i="1"/>
  <c r="AQ79" i="1"/>
  <c r="AQ162" i="1"/>
  <c r="AQ367" i="1"/>
  <c r="AQ130" i="1"/>
  <c r="AQ320" i="1"/>
  <c r="AQ274" i="1"/>
  <c r="AQ116" i="1"/>
  <c r="AQ36" i="1"/>
  <c r="AQ305" i="1"/>
  <c r="AQ225" i="1"/>
  <c r="AQ177" i="1"/>
  <c r="AQ173" i="1"/>
  <c r="AQ233" i="1"/>
  <c r="AQ29" i="1"/>
  <c r="AQ90" i="1"/>
  <c r="AQ327" i="1"/>
  <c r="AQ109" i="1"/>
  <c r="AQ159" i="1"/>
  <c r="AQ353" i="1"/>
  <c r="AQ104" i="1"/>
  <c r="AQ223" i="1"/>
  <c r="AQ150" i="1"/>
  <c r="AQ19" i="1"/>
  <c r="AQ229" i="1"/>
  <c r="AQ365" i="1"/>
  <c r="AQ314" i="1"/>
  <c r="AQ102" i="1"/>
  <c r="AQ326" i="1"/>
  <c r="AQ340" i="1"/>
  <c r="AQ333" i="1"/>
  <c r="AQ296" i="1"/>
  <c r="AQ132" i="1"/>
  <c r="AQ131" i="1"/>
  <c r="AQ214" i="1"/>
  <c r="AQ275" i="1"/>
  <c r="AQ48" i="1"/>
  <c r="AQ301" i="1"/>
  <c r="AQ169" i="1"/>
  <c r="AQ357" i="1"/>
  <c r="AQ288" i="1"/>
  <c r="AQ82" i="1"/>
  <c r="AQ77" i="1"/>
  <c r="AQ187" i="1"/>
  <c r="AQ311" i="1"/>
  <c r="AQ376" i="1"/>
  <c r="AQ234" i="1"/>
  <c r="AQ257" i="1"/>
  <c r="AQ58" i="1"/>
  <c r="AQ50" i="1"/>
  <c r="AQ207" i="1"/>
  <c r="AQ204" i="1"/>
  <c r="AQ373" i="1"/>
  <c r="AQ35" i="1"/>
  <c r="AQ134" i="1"/>
  <c r="AQ86" i="1"/>
  <c r="AQ306" i="1"/>
  <c r="AQ292" i="1"/>
  <c r="AQ99" i="1"/>
  <c r="AQ34" i="1"/>
  <c r="AQ198" i="1"/>
  <c r="AQ146" i="1"/>
  <c r="AQ248" i="1"/>
  <c r="AQ151" i="1"/>
  <c r="AQ240" i="1"/>
  <c r="AQ221" i="1"/>
  <c r="AQ300" i="1"/>
  <c r="AQ21" i="1"/>
  <c r="AQ325" i="1"/>
  <c r="AQ302" i="1"/>
  <c r="AQ186" i="1"/>
  <c r="AQ57" i="1"/>
  <c r="AQ144" i="1"/>
  <c r="AQ11" i="1"/>
  <c r="AQ93" i="1"/>
  <c r="AQ244" i="1"/>
  <c r="AQ91" i="1"/>
  <c r="AQ164" i="1"/>
  <c r="AQ61" i="1"/>
  <c r="AQ95" i="1"/>
  <c r="AQ201" i="1"/>
  <c r="AQ321" i="1"/>
  <c r="AQ246" i="1"/>
  <c r="AQ388" i="1"/>
  <c r="AQ68" i="1"/>
  <c r="AQ374" i="1"/>
  <c r="AQ180" i="1"/>
  <c r="AQ27" i="1"/>
  <c r="AQ67" i="1"/>
  <c r="AQ262" i="1"/>
  <c r="AQ157" i="1"/>
  <c r="AQ44" i="1"/>
  <c r="AQ100" i="1"/>
  <c r="AQ188" i="1"/>
  <c r="AQ356" i="1"/>
  <c r="AQ26" i="1"/>
  <c r="AQ319" i="1"/>
  <c r="AQ141" i="1"/>
  <c r="AQ153" i="1"/>
  <c r="AQ156" i="1"/>
  <c r="AQ323" i="1"/>
  <c r="AQ328" i="1"/>
  <c r="AQ62" i="1"/>
  <c r="AQ195" i="1"/>
  <c r="AQ278" i="1"/>
  <c r="AQ238" i="1"/>
  <c r="AQ354" i="1"/>
  <c r="AQ264" i="1"/>
  <c r="AQ287" i="1"/>
  <c r="AQ184" i="1"/>
  <c r="AQ135" i="1"/>
  <c r="AQ217" i="1"/>
  <c r="AQ54" i="1"/>
  <c r="AQ226" i="1"/>
  <c r="AQ83" i="1"/>
  <c r="AQ339" i="1"/>
  <c r="AQ136" i="1"/>
  <c r="AQ72" i="1"/>
  <c r="AQ89" i="1"/>
  <c r="AQ32" i="1"/>
  <c r="AQ105" i="1"/>
  <c r="AQ124" i="1"/>
  <c r="AQ108" i="1"/>
  <c r="AQ387" i="1"/>
  <c r="AQ87" i="1"/>
  <c r="AQ64" i="1"/>
  <c r="AQ147" i="1"/>
  <c r="AQ98" i="1"/>
  <c r="AQ113" i="1"/>
  <c r="AQ343" i="1"/>
  <c r="AQ291" i="1"/>
  <c r="AQ160" i="1"/>
  <c r="AQ46" i="1"/>
  <c r="AQ112" i="1"/>
  <c r="AQ249" i="1"/>
  <c r="AQ375" i="1"/>
  <c r="AQ119" i="1"/>
  <c r="AQ253" i="1"/>
  <c r="AQ13" i="1"/>
  <c r="AQ270" i="1"/>
  <c r="AQ78" i="1"/>
  <c r="AQ172" i="1"/>
  <c r="AQ123" i="1"/>
  <c r="AQ215" i="1"/>
  <c r="AQ263" i="1"/>
  <c r="AQ236" i="1"/>
  <c r="AQ41" i="1"/>
  <c r="AQ335" i="1"/>
  <c r="AQ38" i="1"/>
  <c r="AQ170" i="1"/>
  <c r="AQ312" i="1"/>
  <c r="AQ218" i="1"/>
  <c r="AQ358" i="1"/>
  <c r="AQ125" i="1"/>
  <c r="AQ154" i="1"/>
  <c r="B2" i="4" a="1"/>
  <c r="B17" i="4"/>
  <c r="B76" i="2" a="1"/>
  <c r="B78" i="2"/>
  <c r="B120" i="3" a="1"/>
  <c r="B201" i="4" a="1"/>
  <c r="H54" i="3" a="1"/>
  <c r="B133" i="4" a="1"/>
  <c r="B167" i="4" a="1"/>
  <c r="B7" i="4"/>
  <c r="B13" i="4"/>
  <c r="B8" i="4"/>
  <c r="H24" i="3" a="1"/>
  <c r="B219" i="2" a="1"/>
  <c r="B71" i="2" a="1"/>
  <c r="B99" i="4" a="1"/>
  <c r="B294" i="2" a="1"/>
  <c r="B65" i="4" a="1"/>
  <c r="Z201" i="1"/>
  <c r="U8" i="1"/>
  <c r="V8" i="1"/>
  <c r="Z8" i="1"/>
  <c r="Z2" i="1"/>
  <c r="AA201" i="1"/>
  <c r="AA206" i="1"/>
  <c r="AA24" i="1"/>
  <c r="AA302" i="1"/>
  <c r="AA279" i="1"/>
  <c r="Z336" i="1"/>
  <c r="AA336" i="1"/>
  <c r="AA197" i="1"/>
  <c r="Z330" i="1"/>
  <c r="AA330" i="1"/>
  <c r="AA319" i="1"/>
  <c r="Z244" i="1"/>
  <c r="AA244" i="1"/>
  <c r="AA182" i="1"/>
  <c r="AA381" i="1"/>
  <c r="AA27" i="1"/>
  <c r="AA10" i="1"/>
  <c r="Z76" i="1"/>
  <c r="AA76" i="1"/>
  <c r="AA157" i="1"/>
  <c r="AA176" i="1"/>
  <c r="AA263" i="1"/>
  <c r="Z126" i="1"/>
  <c r="AA126" i="1"/>
  <c r="AA179" i="1"/>
  <c r="B213" i="3" a="1"/>
  <c r="AA104" i="1"/>
  <c r="AA343" i="1"/>
  <c r="AA346" i="1"/>
  <c r="Z369" i="1"/>
  <c r="AA369" i="1"/>
  <c r="Z334" i="1"/>
  <c r="AA334" i="1"/>
  <c r="AA388" i="1"/>
  <c r="AA355" i="1"/>
  <c r="AA103" i="1"/>
  <c r="AA150" i="1"/>
  <c r="AA85" i="1"/>
  <c r="AA45" i="1"/>
  <c r="AA138" i="1"/>
  <c r="AA87" i="1"/>
  <c r="Z259" i="1"/>
  <c r="AA259" i="1"/>
  <c r="AA61" i="1"/>
  <c r="AA22" i="1"/>
  <c r="AA222" i="1"/>
  <c r="AA53" i="1"/>
  <c r="AA277" i="1"/>
  <c r="AA113" i="1"/>
  <c r="AA313" i="1"/>
  <c r="Z246" i="1"/>
  <c r="AA246" i="1"/>
  <c r="Z386" i="1"/>
  <c r="AA386" i="1"/>
  <c r="Z161" i="1"/>
  <c r="AA161" i="1"/>
  <c r="AA149" i="1"/>
  <c r="AA324" i="1"/>
  <c r="AA312" i="1"/>
  <c r="AA88" i="1"/>
  <c r="AA387" i="1"/>
  <c r="Z250" i="1"/>
  <c r="AA250" i="1"/>
  <c r="Z164" i="1"/>
  <c r="AA164" i="1"/>
  <c r="AA251" i="1"/>
  <c r="AA228" i="1"/>
  <c r="AA353" i="1"/>
  <c r="AA98" i="1"/>
  <c r="AA282" i="1"/>
  <c r="Z321" i="1"/>
  <c r="AA321" i="1"/>
  <c r="Z97" i="1"/>
  <c r="AA97" i="1"/>
  <c r="AA368" i="1"/>
  <c r="AA385" i="1"/>
  <c r="AA223" i="1"/>
  <c r="AA242" i="1"/>
  <c r="AA185" i="1"/>
  <c r="AA108" i="1"/>
  <c r="Z227" i="1"/>
  <c r="AA227" i="1"/>
  <c r="AA91" i="1"/>
  <c r="AA271" i="1"/>
  <c r="AA301" i="1"/>
  <c r="AA13" i="1"/>
  <c r="AA208" i="1"/>
  <c r="AA147" i="1"/>
  <c r="AA12" i="1"/>
  <c r="Z118" i="1"/>
  <c r="AA118" i="1"/>
  <c r="AA20" i="1"/>
  <c r="AA168" i="1"/>
  <c r="AA122" i="1"/>
  <c r="AA117" i="1"/>
  <c r="AA124" i="1"/>
  <c r="AA158" i="1"/>
  <c r="AA166" i="1"/>
  <c r="AA46" i="1"/>
  <c r="AA159" i="1"/>
  <c r="AA64" i="1"/>
  <c r="AA318" i="1"/>
  <c r="Z95" i="1"/>
  <c r="AA95" i="1"/>
  <c r="Z106" i="1"/>
  <c r="AA106" i="1"/>
  <c r="AA18" i="1"/>
  <c r="AA137" i="1"/>
  <c r="AA169" i="1"/>
  <c r="AA370" i="1"/>
  <c r="AA83" i="1"/>
  <c r="AA105" i="1"/>
  <c r="Z325" i="1"/>
  <c r="AA325" i="1"/>
  <c r="Z93" i="1"/>
  <c r="AA93" i="1"/>
  <c r="AA145" i="1"/>
  <c r="AA178" i="1"/>
  <c r="AA163" i="1"/>
  <c r="AA307" i="1"/>
  <c r="AA247" i="1"/>
  <c r="AA252" i="1"/>
  <c r="Z92" i="1"/>
  <c r="AA92" i="1"/>
  <c r="Z266" i="1"/>
  <c r="AA266" i="1"/>
  <c r="Z202" i="1"/>
  <c r="AA202" i="1"/>
  <c r="AA309" i="1"/>
  <c r="AA74" i="1"/>
  <c r="AA63" i="1"/>
  <c r="AA226" i="1"/>
  <c r="AA32" i="1"/>
  <c r="Z21" i="1"/>
  <c r="AA21" i="1"/>
  <c r="Z11" i="1"/>
  <c r="AA11" i="1"/>
  <c r="AA214" i="1"/>
  <c r="AA48" i="1"/>
  <c r="AA29" i="1"/>
  <c r="AA109" i="1"/>
  <c r="AA129" i="1"/>
  <c r="AA194" i="1"/>
  <c r="Z148" i="1"/>
  <c r="AA148" i="1"/>
  <c r="Z190" i="1"/>
  <c r="AA190" i="1"/>
  <c r="AA69" i="1"/>
  <c r="AA322" i="1"/>
  <c r="AA380" i="1"/>
  <c r="AA291" i="1"/>
  <c r="AA210" i="1"/>
  <c r="AA89" i="1"/>
  <c r="Z54" i="1"/>
  <c r="AA54" i="1"/>
  <c r="Z144" i="1"/>
  <c r="AA144" i="1"/>
  <c r="AA300" i="1"/>
  <c r="AA80" i="1"/>
  <c r="AA211" i="1"/>
  <c r="AA268" i="1"/>
  <c r="AA205" i="1"/>
  <c r="Z348" i="1"/>
  <c r="AA348" i="1"/>
  <c r="Z17" i="1"/>
  <c r="AA17" i="1"/>
  <c r="AA111" i="1"/>
  <c r="AA265" i="1"/>
  <c r="AA261" i="1"/>
  <c r="AA112" i="1"/>
  <c r="AA9" i="1"/>
  <c r="AA72" i="1"/>
  <c r="Z217" i="1"/>
  <c r="AA217" i="1"/>
  <c r="Z57" i="1"/>
  <c r="AA57" i="1"/>
  <c r="AA221" i="1"/>
  <c r="Z140" i="1"/>
  <c r="AA140" i="1"/>
  <c r="AA239" i="1"/>
  <c r="AA192" i="1"/>
  <c r="AA327" i="1"/>
  <c r="AA233" i="1"/>
  <c r="Z362" i="1"/>
  <c r="AA362" i="1"/>
  <c r="Z345" i="1"/>
  <c r="AA345" i="1"/>
  <c r="AA366" i="1"/>
  <c r="AA139" i="1"/>
  <c r="AA71" i="1"/>
  <c r="AA256" i="1"/>
  <c r="AA236" i="1"/>
  <c r="AA270" i="1"/>
  <c r="Z136" i="1"/>
  <c r="AA136" i="1"/>
  <c r="Z135" i="1"/>
  <c r="AA135" i="1"/>
  <c r="AA186" i="1"/>
  <c r="AA240" i="1"/>
  <c r="AA275" i="1"/>
  <c r="AA107" i="1"/>
  <c r="AA131" i="1"/>
  <c r="AA59" i="1"/>
  <c r="Z315" i="1"/>
  <c r="AA315" i="1"/>
  <c r="Z183" i="1"/>
  <c r="AA183" i="1"/>
  <c r="Z316" i="1"/>
  <c r="AA316" i="1"/>
  <c r="AA243" i="1"/>
  <c r="AA94" i="1"/>
  <c r="AA196" i="1"/>
  <c r="AA218" i="1"/>
  <c r="Z249" i="1"/>
  <c r="AA249" i="1"/>
  <c r="Z339" i="1"/>
  <c r="AA339" i="1"/>
  <c r="AA184" i="1"/>
  <c r="AA151" i="1"/>
  <c r="AA272" i="1"/>
  <c r="AA285" i="1"/>
  <c r="AA90" i="1"/>
  <c r="Z173" i="1"/>
  <c r="AA173" i="1"/>
  <c r="Z49" i="1"/>
  <c r="AA49" i="1"/>
  <c r="Z382" i="1"/>
  <c r="AA382" i="1"/>
  <c r="AA40" i="1"/>
  <c r="AA258" i="1"/>
  <c r="AA127" i="1"/>
  <c r="AA65" i="1"/>
  <c r="AA347" i="1"/>
  <c r="Z41" i="1"/>
  <c r="AA41" i="1"/>
  <c r="AA39" i="1"/>
  <c r="AA287" i="1"/>
  <c r="AA361" i="1"/>
  <c r="AA248" i="1"/>
  <c r="AA33" i="1"/>
  <c r="AA195" i="1"/>
  <c r="Z338" i="1"/>
  <c r="AA338" i="1"/>
  <c r="Z351" i="1"/>
  <c r="AA351" i="1"/>
  <c r="Z220" i="1"/>
  <c r="AA220" i="1"/>
  <c r="AA292" i="1"/>
  <c r="AA254" i="1"/>
  <c r="AA42" i="1"/>
  <c r="AA60" i="1"/>
  <c r="AA305" i="1"/>
  <c r="Z358" i="1"/>
  <c r="AA358" i="1"/>
  <c r="Z232" i="1"/>
  <c r="AA232" i="1"/>
  <c r="AA264" i="1"/>
  <c r="AA47" i="1"/>
  <c r="AA146" i="1"/>
  <c r="AA349" i="1"/>
  <c r="AA132" i="1"/>
  <c r="AA383" i="1"/>
  <c r="Z55" i="1"/>
  <c r="AA55" i="1"/>
  <c r="Z78" i="1"/>
  <c r="AA78" i="1"/>
  <c r="AA177" i="1"/>
  <c r="Z62" i="1"/>
  <c r="AA62" i="1"/>
  <c r="AA30" i="1"/>
  <c r="AA306" i="1"/>
  <c r="AA75" i="1"/>
  <c r="AA231" i="1"/>
  <c r="Z295" i="1"/>
  <c r="AA295" i="1"/>
  <c r="Z329" i="1"/>
  <c r="AA329" i="1"/>
  <c r="AA52" i="1"/>
  <c r="AA299" i="1"/>
  <c r="AA354" i="1"/>
  <c r="AA120" i="1"/>
  <c r="AA198" i="1"/>
  <c r="AA25" i="1"/>
  <c r="Z175" i="1"/>
  <c r="AA175" i="1"/>
  <c r="Z375" i="1"/>
  <c r="AA375" i="1"/>
  <c r="AA16" i="1"/>
  <c r="AA328" i="1"/>
  <c r="AA51" i="1"/>
  <c r="AA86" i="1"/>
  <c r="AA269" i="1"/>
  <c r="AA333" i="1"/>
  <c r="Z310" i="1"/>
  <c r="AA310" i="1"/>
  <c r="Z36" i="1"/>
  <c r="AA36" i="1"/>
  <c r="Z193" i="1"/>
  <c r="AA193" i="1"/>
  <c r="AA167" i="1"/>
  <c r="AA238" i="1"/>
  <c r="AA216" i="1"/>
  <c r="AA34" i="1"/>
  <c r="AA121" i="1"/>
  <c r="Z68" i="1"/>
  <c r="AA68" i="1"/>
  <c r="Z335" i="1"/>
  <c r="AA335" i="1"/>
  <c r="AA372" i="1"/>
  <c r="AA323" i="1"/>
  <c r="AA225" i="1"/>
  <c r="AA134" i="1"/>
  <c r="AA128" i="1"/>
  <c r="AA364" i="1"/>
  <c r="Z37" i="1"/>
  <c r="AA37" i="1"/>
  <c r="AA341" i="1"/>
  <c r="AA260" i="1"/>
  <c r="AA219" i="1"/>
  <c r="AA278" i="1"/>
  <c r="AA289" i="1"/>
  <c r="Z99" i="1"/>
  <c r="AA99" i="1"/>
  <c r="Z125" i="1"/>
  <c r="AA125" i="1"/>
  <c r="AA296" i="1"/>
  <c r="Z156" i="1"/>
  <c r="AA156" i="1"/>
  <c r="AA23" i="1"/>
  <c r="AA35" i="1"/>
  <c r="AA294" i="1"/>
  <c r="AA340" i="1"/>
  <c r="Z14" i="1"/>
  <c r="AA14" i="1"/>
  <c r="Z116" i="1"/>
  <c r="AA116" i="1"/>
  <c r="AA297" i="1"/>
  <c r="AA363" i="1"/>
  <c r="AA66" i="1"/>
  <c r="AA191" i="1"/>
  <c r="AA56" i="1"/>
  <c r="AA81" i="1"/>
  <c r="Z203" i="1"/>
  <c r="AA203" i="1"/>
  <c r="Z70" i="1"/>
  <c r="AA70" i="1"/>
  <c r="AA31" i="1"/>
  <c r="AA44" i="1"/>
  <c r="AA153" i="1"/>
  <c r="AA376" i="1"/>
  <c r="AA373" i="1"/>
  <c r="AA209" i="1"/>
  <c r="Z114" i="1"/>
  <c r="AA114" i="1"/>
  <c r="Z130" i="1"/>
  <c r="AA130" i="1"/>
  <c r="Z235" i="1"/>
  <c r="AA235" i="1"/>
  <c r="AA377" i="1"/>
  <c r="AA155" i="1"/>
  <c r="AA344" i="1"/>
  <c r="AA303" i="1"/>
  <c r="AA286" i="1"/>
  <c r="Z84" i="1"/>
  <c r="AA84" i="1"/>
  <c r="Z142" i="1"/>
  <c r="AA142" i="1"/>
  <c r="AA283" i="1"/>
  <c r="AA141" i="1"/>
  <c r="AA311" i="1"/>
  <c r="AA204" i="1"/>
  <c r="Z352" i="1"/>
  <c r="AA352" i="1"/>
  <c r="Z280" i="1"/>
  <c r="AA280" i="1"/>
  <c r="AA274" i="1"/>
  <c r="AA378" i="1"/>
  <c r="AA110" i="1"/>
  <c r="AA350" i="1"/>
  <c r="AA152" i="1"/>
  <c r="AA213" i="1"/>
  <c r="AA284" i="1"/>
  <c r="Z359" i="1"/>
  <c r="AA359" i="1"/>
  <c r="AA331" i="1"/>
  <c r="AA262" i="1"/>
  <c r="AA187" i="1"/>
  <c r="AA314" i="1"/>
  <c r="Z207" i="1"/>
  <c r="AA207" i="1"/>
  <c r="Z367" i="1"/>
  <c r="AA367" i="1"/>
  <c r="AA326" i="1"/>
  <c r="AA171" i="1"/>
  <c r="AA371" i="1"/>
  <c r="AA342" i="1"/>
  <c r="AA276" i="1"/>
  <c r="AA28" i="1"/>
  <c r="Z212" i="1"/>
  <c r="AA212" i="1"/>
  <c r="Z172" i="1"/>
  <c r="AA172" i="1"/>
  <c r="Z199" i="1"/>
  <c r="AA199" i="1"/>
  <c r="Z67" i="1"/>
  <c r="AA67" i="1"/>
  <c r="AA96" i="1"/>
  <c r="AA77" i="1"/>
  <c r="AA293" i="1"/>
  <c r="AA230" i="1"/>
  <c r="Z26" i="1"/>
  <c r="AA26" i="1"/>
  <c r="Z50" i="1"/>
  <c r="AA50" i="1"/>
  <c r="AA15" i="1"/>
  <c r="AA379" i="1"/>
  <c r="AA245" i="1"/>
  <c r="AA320" i="1"/>
  <c r="AA174" i="1"/>
  <c r="Z255" i="1"/>
  <c r="AA255" i="1"/>
  <c r="Z43" i="1"/>
  <c r="AA43" i="1"/>
  <c r="AA115" i="1"/>
  <c r="AA253" i="1"/>
  <c r="AA160" i="1"/>
  <c r="AA82" i="1"/>
  <c r="Z356" i="1"/>
  <c r="AA356" i="1"/>
  <c r="Z365" i="1"/>
  <c r="AA365" i="1"/>
  <c r="AA58" i="1"/>
  <c r="AA162" i="1"/>
  <c r="AA102" i="1"/>
  <c r="AA317" i="1"/>
  <c r="AA189" i="1"/>
  <c r="AA224" i="1"/>
  <c r="Z332" i="1"/>
  <c r="AA332" i="1"/>
  <c r="Z73" i="1"/>
  <c r="AA73" i="1"/>
  <c r="Z237" i="1"/>
  <c r="AA237" i="1"/>
  <c r="AA170" i="1"/>
  <c r="AA215" i="1"/>
  <c r="AA180" i="1"/>
  <c r="AA298" i="1"/>
  <c r="AA288" i="1"/>
  <c r="Z119" i="1"/>
  <c r="AA119" i="1"/>
  <c r="AA384" i="1"/>
  <c r="Z188" i="1"/>
  <c r="AA188" i="1"/>
  <c r="AA79" i="1"/>
  <c r="AA257" i="1"/>
  <c r="AA337" i="1"/>
  <c r="AA101" i="1"/>
  <c r="AA290" i="1"/>
  <c r="Z281" i="1"/>
  <c r="AA281" i="1"/>
  <c r="Z304" i="1"/>
  <c r="AA304" i="1"/>
  <c r="Z267" i="1"/>
  <c r="AA267" i="1"/>
  <c r="AA154" i="1"/>
  <c r="AA143" i="1"/>
  <c r="AA200" i="1"/>
  <c r="AA273" i="1"/>
  <c r="AA374" i="1"/>
  <c r="Z308" i="1"/>
  <c r="AA308" i="1"/>
  <c r="Z357" i="1"/>
  <c r="AA357" i="1"/>
  <c r="Z229" i="1"/>
  <c r="AA229" i="1"/>
  <c r="AA165" i="1"/>
  <c r="AA181" i="1"/>
  <c r="AA38" i="1"/>
  <c r="AA133" i="1"/>
  <c r="Z100" i="1"/>
  <c r="AA100" i="1"/>
  <c r="Z360" i="1"/>
  <c r="AA360" i="1"/>
  <c r="AA234" i="1"/>
  <c r="AA123" i="1"/>
  <c r="AA19" i="1"/>
  <c r="AA241" i="1"/>
  <c r="B145" i="2" a="1"/>
  <c r="B257" i="2" a="1"/>
  <c r="B182" i="2" a="1"/>
  <c r="B34" i="2" a="1"/>
  <c r="B182" i="3" a="1"/>
  <c r="B244" i="3" a="1"/>
  <c r="B31" i="4" a="1"/>
  <c r="B89" i="3" a="1"/>
  <c r="B151" i="3" a="1"/>
  <c r="B306" i="3" a="1"/>
  <c r="B108" i="2" a="1"/>
  <c r="B234" i="4" a="1"/>
  <c r="B327" i="2" a="1"/>
  <c r="B77" i="4"/>
  <c r="B78" i="4"/>
  <c r="B82" i="4"/>
  <c r="B85" i="4"/>
  <c r="B72" i="4"/>
  <c r="B75" i="4"/>
  <c r="B90" i="4"/>
  <c r="B76" i="4"/>
  <c r="B3" i="4"/>
  <c r="B19" i="3"/>
  <c r="AL2" i="1"/>
  <c r="B14" i="4"/>
  <c r="B18" i="4"/>
  <c r="B2" i="4"/>
  <c r="B21" i="4"/>
  <c r="B10" i="4"/>
  <c r="B5" i="4"/>
  <c r="B22" i="4"/>
  <c r="B42" i="4"/>
  <c r="B39" i="3"/>
  <c r="B70" i="4"/>
  <c r="B84" i="4"/>
  <c r="B9" i="3"/>
  <c r="B10" i="3"/>
  <c r="B41" i="3"/>
  <c r="W6" i="1"/>
  <c r="B86" i="4"/>
  <c r="B83" i="4"/>
  <c r="B80" i="4"/>
  <c r="B5" i="3"/>
  <c r="B12" i="3"/>
  <c r="B16" i="3"/>
  <c r="B79" i="4"/>
  <c r="B71" i="4"/>
  <c r="B87" i="4"/>
  <c r="B3" i="3"/>
  <c r="B6" i="3"/>
  <c r="W7" i="1"/>
  <c r="Y7" i="1"/>
  <c r="AO5" i="1"/>
  <c r="B8" i="3"/>
  <c r="B73" i="4"/>
  <c r="B81" i="4"/>
  <c r="B17" i="3"/>
  <c r="B14" i="3"/>
  <c r="B11" i="3"/>
  <c r="AR3" i="1"/>
  <c r="AR4" i="1"/>
  <c r="B12" i="4"/>
  <c r="B15" i="4"/>
  <c r="B54" i="4"/>
  <c r="B33" i="3"/>
  <c r="B88" i="4"/>
  <c r="B74" i="4"/>
  <c r="B4" i="3"/>
  <c r="B13" i="3"/>
  <c r="B50" i="3"/>
  <c r="AE290" i="1"/>
  <c r="AP8" i="1"/>
  <c r="AP35" i="1"/>
  <c r="AY35" i="1"/>
  <c r="AZ35" i="1"/>
  <c r="B45" i="3"/>
  <c r="B46" i="3"/>
  <c r="B36" i="3"/>
  <c r="B37" i="3"/>
  <c r="B44" i="3"/>
  <c r="B16" i="4"/>
  <c r="B34" i="3"/>
  <c r="B51" i="3"/>
  <c r="B32" i="3"/>
  <c r="B180" i="3"/>
  <c r="B38" i="3"/>
  <c r="AM2" i="1"/>
  <c r="B187" i="3" a="1"/>
  <c r="B187" i="3"/>
  <c r="AO3" i="1"/>
  <c r="AO4" i="1"/>
  <c r="AE201" i="1"/>
  <c r="AE54" i="1"/>
  <c r="B9" i="4"/>
  <c r="B20" i="4"/>
  <c r="B19" i="4"/>
  <c r="AA2" i="1"/>
  <c r="AE135" i="1"/>
  <c r="B6" i="4"/>
  <c r="B156" i="3" a="1"/>
  <c r="B181" i="3"/>
  <c r="B4" i="4"/>
  <c r="B11" i="4"/>
  <c r="B179" i="3"/>
  <c r="AN3" i="1"/>
  <c r="AN4" i="1"/>
  <c r="AN5" i="1"/>
  <c r="AP272" i="1"/>
  <c r="AY272" i="1"/>
  <c r="AZ272" i="1"/>
  <c r="AP297" i="1"/>
  <c r="AY297" i="1"/>
  <c r="AZ297" i="1"/>
  <c r="AP112" i="1"/>
  <c r="AY112" i="1"/>
  <c r="AZ112" i="1"/>
  <c r="AP213" i="1"/>
  <c r="AY213" i="1"/>
  <c r="AZ213" i="1"/>
  <c r="AP170" i="1"/>
  <c r="AY170" i="1"/>
  <c r="AZ170" i="1"/>
  <c r="AP146" i="1"/>
  <c r="AY146" i="1"/>
  <c r="AZ146" i="1"/>
  <c r="AP124" i="1"/>
  <c r="AY124" i="1"/>
  <c r="AZ124" i="1"/>
  <c r="AP282" i="1"/>
  <c r="AY282" i="1"/>
  <c r="AZ282" i="1"/>
  <c r="AP300" i="1"/>
  <c r="AY300" i="1"/>
  <c r="AZ300" i="1"/>
  <c r="AP41" i="1"/>
  <c r="AY41" i="1"/>
  <c r="AZ41" i="1"/>
  <c r="AP139" i="1"/>
  <c r="AY139" i="1"/>
  <c r="AZ139" i="1"/>
  <c r="AP51" i="1"/>
  <c r="AY51" i="1"/>
  <c r="AZ51" i="1"/>
  <c r="AP311" i="1"/>
  <c r="AY311" i="1"/>
  <c r="AZ311" i="1"/>
  <c r="AQ5" i="1"/>
  <c r="B241" i="3"/>
  <c r="B243" i="3"/>
  <c r="B218" i="3" a="1"/>
  <c r="B220" i="3"/>
  <c r="AQ4" i="1"/>
  <c r="B242" i="3"/>
  <c r="Y6" i="1"/>
  <c r="AQ3" i="1"/>
  <c r="B240" i="3"/>
  <c r="B202" i="3"/>
  <c r="B156" i="4"/>
  <c r="B142" i="4"/>
  <c r="B148" i="4"/>
  <c r="B146" i="4"/>
  <c r="B149" i="4"/>
  <c r="B152" i="4"/>
  <c r="B141" i="4"/>
  <c r="B55" i="4"/>
  <c r="B45" i="4"/>
  <c r="B56" i="4"/>
  <c r="B37" i="4"/>
  <c r="B40" i="4"/>
  <c r="B38" i="4"/>
  <c r="B49" i="4"/>
  <c r="B41" i="4"/>
  <c r="B39" i="4"/>
  <c r="B50" i="4"/>
  <c r="B48" i="4"/>
  <c r="B51" i="4"/>
  <c r="B46" i="4"/>
  <c r="B44" i="4"/>
  <c r="B53" i="4"/>
  <c r="B36" i="4"/>
  <c r="B43" i="4"/>
  <c r="B47" i="4"/>
  <c r="AM8" i="1"/>
  <c r="B145" i="4"/>
  <c r="B138" i="4"/>
  <c r="B151" i="4"/>
  <c r="B155" i="4"/>
  <c r="B150" i="4"/>
  <c r="B147" i="4"/>
  <c r="B153" i="4"/>
  <c r="B157" i="4"/>
  <c r="B139" i="4"/>
  <c r="B158" i="4"/>
  <c r="B143" i="4"/>
  <c r="B154" i="4"/>
  <c r="B144" i="4"/>
  <c r="AM50" i="1"/>
  <c r="B190" i="4"/>
  <c r="B182" i="4"/>
  <c r="B176" i="4"/>
  <c r="B179" i="4"/>
  <c r="B185" i="4"/>
  <c r="B180" i="4"/>
  <c r="B173" i="4"/>
  <c r="B184" i="4"/>
  <c r="B181" i="4"/>
  <c r="B172" i="4"/>
  <c r="B183" i="4"/>
  <c r="B187" i="4"/>
  <c r="B178" i="4"/>
  <c r="B186" i="4"/>
  <c r="B192" i="4"/>
  <c r="B174" i="4"/>
  <c r="B191" i="4"/>
  <c r="B177" i="4"/>
  <c r="B189" i="4"/>
  <c r="B175" i="4"/>
  <c r="B300" i="3"/>
  <c r="B192" i="2"/>
  <c r="AM76" i="1"/>
  <c r="AM96" i="1"/>
  <c r="AL8" i="1"/>
  <c r="U5" i="1"/>
  <c r="U7" i="1"/>
  <c r="B80" i="2"/>
  <c r="B79" i="2"/>
  <c r="B243" i="2"/>
  <c r="U3" i="1"/>
  <c r="U4" i="1"/>
  <c r="U6" i="1"/>
  <c r="B123" i="2"/>
  <c r="B119" i="2"/>
  <c r="B113" i="2"/>
  <c r="B129" i="2"/>
  <c r="B125" i="2"/>
  <c r="B163" i="2"/>
  <c r="B127" i="2"/>
  <c r="B114" i="2"/>
  <c r="B4" i="2"/>
  <c r="B117" i="2"/>
  <c r="B230" i="2"/>
  <c r="B118" i="2"/>
  <c r="B238" i="2"/>
  <c r="B228" i="2"/>
  <c r="B280" i="2"/>
  <c r="B85" i="2"/>
  <c r="B241" i="2"/>
  <c r="B47" i="2"/>
  <c r="B277" i="2"/>
  <c r="B233" i="2"/>
  <c r="B158" i="2"/>
  <c r="B235" i="2"/>
  <c r="B229" i="2"/>
  <c r="B224" i="2"/>
  <c r="B88" i="2"/>
  <c r="B236" i="2"/>
  <c r="B84" i="2"/>
  <c r="B76" i="2"/>
  <c r="B94" i="2"/>
  <c r="B197" i="2"/>
  <c r="B86" i="2"/>
  <c r="B91" i="2"/>
  <c r="B83" i="2"/>
  <c r="B77" i="2"/>
  <c r="B81" i="2"/>
  <c r="B95" i="2"/>
  <c r="B193" i="2"/>
  <c r="B92" i="2"/>
  <c r="B14" i="2"/>
  <c r="B82" i="2"/>
  <c r="B87" i="2"/>
  <c r="B93" i="2"/>
  <c r="B157" i="2"/>
  <c r="B89" i="2"/>
  <c r="B48" i="2"/>
  <c r="B201" i="2"/>
  <c r="B189" i="2"/>
  <c r="B90" i="2"/>
  <c r="B46" i="2"/>
  <c r="B187" i="2"/>
  <c r="B116" i="4"/>
  <c r="B108" i="4"/>
  <c r="V5" i="1"/>
  <c r="V7" i="1"/>
  <c r="B112" i="4"/>
  <c r="B104" i="4"/>
  <c r="B42" i="2"/>
  <c r="B45" i="2"/>
  <c r="B11" i="2"/>
  <c r="B239" i="2"/>
  <c r="B202" i="2"/>
  <c r="B242" i="2"/>
  <c r="B55" i="2"/>
  <c r="B116" i="2"/>
  <c r="B132" i="2"/>
  <c r="B240" i="2"/>
  <c r="B40" i="2"/>
  <c r="B130" i="2"/>
  <c r="B188" i="2"/>
  <c r="B114" i="3"/>
  <c r="B10" i="2"/>
  <c r="B227" i="2"/>
  <c r="B272" i="2"/>
  <c r="B155" i="2"/>
  <c r="B13" i="2"/>
  <c r="B200" i="2"/>
  <c r="B191" i="2"/>
  <c r="B54" i="2"/>
  <c r="B120" i="2"/>
  <c r="B58" i="2"/>
  <c r="B39" i="2"/>
  <c r="B115" i="2"/>
  <c r="B190" i="2"/>
  <c r="B21" i="2"/>
  <c r="B9" i="2"/>
  <c r="B234" i="2"/>
  <c r="B263" i="2"/>
  <c r="B150" i="2"/>
  <c r="B199" i="2"/>
  <c r="B203" i="2"/>
  <c r="B53" i="2"/>
  <c r="B41" i="2"/>
  <c r="B128" i="2"/>
  <c r="B19" i="2"/>
  <c r="B6" i="2"/>
  <c r="B237" i="2"/>
  <c r="B198" i="2"/>
  <c r="B225" i="2"/>
  <c r="B194" i="2"/>
  <c r="B52" i="2"/>
  <c r="B131" i="2"/>
  <c r="B121" i="2"/>
  <c r="B226" i="2"/>
  <c r="B44" i="2"/>
  <c r="B126" i="2"/>
  <c r="B205" i="2"/>
  <c r="B18" i="2"/>
  <c r="B5" i="2"/>
  <c r="B51" i="2"/>
  <c r="B166" i="2"/>
  <c r="B50" i="2"/>
  <c r="B56" i="2"/>
  <c r="B231" i="2"/>
  <c r="B195" i="2"/>
  <c r="B206" i="2"/>
  <c r="B196" i="2"/>
  <c r="B49" i="2"/>
  <c r="B124" i="2"/>
  <c r="B43" i="2"/>
  <c r="B17" i="2"/>
  <c r="B2" i="2"/>
  <c r="B165" i="2"/>
  <c r="B105" i="4"/>
  <c r="B124" i="4"/>
  <c r="B119" i="4"/>
  <c r="B113" i="4"/>
  <c r="B106" i="4"/>
  <c r="B120" i="4"/>
  <c r="V3" i="1"/>
  <c r="V4" i="1"/>
  <c r="V6" i="1"/>
  <c r="B110" i="4"/>
  <c r="B111" i="4"/>
  <c r="B107" i="4"/>
  <c r="B230" i="4"/>
  <c r="B232" i="4"/>
  <c r="B118" i="4"/>
  <c r="B123" i="4"/>
  <c r="B117" i="4"/>
  <c r="B109" i="4"/>
  <c r="B114" i="4"/>
  <c r="B231" i="4"/>
  <c r="B233" i="4"/>
  <c r="B121" i="4"/>
  <c r="B122" i="4"/>
  <c r="B279" i="2"/>
  <c r="B271" i="2"/>
  <c r="B262" i="2"/>
  <c r="B145" i="3"/>
  <c r="B20" i="2"/>
  <c r="B12" i="2"/>
  <c r="B3" i="2"/>
  <c r="B278" i="2"/>
  <c r="B269" i="2"/>
  <c r="B270" i="2"/>
  <c r="B164" i="2"/>
  <c r="B156" i="2"/>
  <c r="B275" i="2"/>
  <c r="B266" i="2"/>
  <c r="B169" i="2"/>
  <c r="B161" i="2"/>
  <c r="B153" i="2"/>
  <c r="B276" i="2"/>
  <c r="B267" i="2"/>
  <c r="B162" i="2"/>
  <c r="B154" i="2"/>
  <c r="B16" i="2"/>
  <c r="B8" i="2"/>
  <c r="B274" i="2"/>
  <c r="B265" i="2"/>
  <c r="B168" i="2"/>
  <c r="B160" i="2"/>
  <c r="B152" i="2"/>
  <c r="B268" i="2"/>
  <c r="B15" i="2"/>
  <c r="B281" i="2"/>
  <c r="B273" i="2"/>
  <c r="B167" i="2"/>
  <c r="B159" i="2"/>
  <c r="AL256" i="1"/>
  <c r="AL86" i="1"/>
  <c r="AL16" i="1"/>
  <c r="B195" i="3"/>
  <c r="AE11" i="1"/>
  <c r="B237" i="3"/>
  <c r="AE225" i="1"/>
  <c r="AF225" i="1"/>
  <c r="AE209" i="1"/>
  <c r="AE352" i="1"/>
  <c r="B229" i="3"/>
  <c r="AE308" i="1"/>
  <c r="AG308" i="1"/>
  <c r="AE63" i="1"/>
  <c r="B236" i="3"/>
  <c r="B235" i="3"/>
  <c r="AE44" i="1"/>
  <c r="AE363" i="1"/>
  <c r="B232" i="3"/>
  <c r="AE301" i="1"/>
  <c r="AF301" i="1"/>
  <c r="AE214" i="1"/>
  <c r="AF214" i="1"/>
  <c r="AE220" i="1"/>
  <c r="B22" i="3"/>
  <c r="B197" i="3"/>
  <c r="B201" i="3"/>
  <c r="AE91" i="1"/>
  <c r="AE377" i="1"/>
  <c r="AF377" i="1"/>
  <c r="AP164" i="1"/>
  <c r="AY164" i="1"/>
  <c r="AZ164" i="1"/>
  <c r="AP239" i="1"/>
  <c r="AY239" i="1"/>
  <c r="AZ239" i="1"/>
  <c r="AP77" i="1"/>
  <c r="AY77" i="1"/>
  <c r="AZ77" i="1"/>
  <c r="AP362" i="1"/>
  <c r="AY362" i="1"/>
  <c r="AZ362" i="1"/>
  <c r="AP266" i="1"/>
  <c r="AY266" i="1"/>
  <c r="AZ266" i="1"/>
  <c r="AE74" i="1"/>
  <c r="AE337" i="1"/>
  <c r="AE364" i="1"/>
  <c r="AF364" i="1"/>
  <c r="AL335" i="1"/>
  <c r="AL27" i="1"/>
  <c r="AL34" i="1"/>
  <c r="AL179" i="1"/>
  <c r="AP180" i="1"/>
  <c r="AY180" i="1"/>
  <c r="AZ180" i="1"/>
  <c r="AP48" i="1"/>
  <c r="AY48" i="1"/>
  <c r="AZ48" i="1"/>
  <c r="AP62" i="1"/>
  <c r="AY62" i="1"/>
  <c r="AZ62" i="1"/>
  <c r="AP346" i="1"/>
  <c r="AY346" i="1"/>
  <c r="AZ346" i="1"/>
  <c r="AP291" i="1"/>
  <c r="AY291" i="1"/>
  <c r="AZ291" i="1"/>
  <c r="AP18" i="1"/>
  <c r="AY18" i="1"/>
  <c r="AZ18" i="1"/>
  <c r="AE77" i="1"/>
  <c r="AE288" i="1"/>
  <c r="AE157" i="1"/>
  <c r="AG225" i="1"/>
  <c r="E25" i="3"/>
  <c r="E26" i="3"/>
  <c r="E27" i="3"/>
  <c r="AF11" i="1"/>
  <c r="AG11" i="1"/>
  <c r="AP378" i="1"/>
  <c r="AY378" i="1"/>
  <c r="AZ378" i="1"/>
  <c r="AP376" i="1"/>
  <c r="AY376" i="1"/>
  <c r="AZ376" i="1"/>
  <c r="AP85" i="1"/>
  <c r="AY85" i="1"/>
  <c r="AZ85" i="1"/>
  <c r="AP108" i="1"/>
  <c r="AY108" i="1"/>
  <c r="AZ108" i="1"/>
  <c r="AP285" i="1"/>
  <c r="AY285" i="1"/>
  <c r="AZ285" i="1"/>
  <c r="AP182" i="1"/>
  <c r="AY182" i="1"/>
  <c r="AZ182" i="1"/>
  <c r="AP45" i="1"/>
  <c r="AY45" i="1"/>
  <c r="AZ45" i="1"/>
  <c r="AP259" i="1"/>
  <c r="AY259" i="1"/>
  <c r="AZ259" i="1"/>
  <c r="AP341" i="1"/>
  <c r="AY341" i="1"/>
  <c r="AZ341" i="1"/>
  <c r="AP374" i="1"/>
  <c r="AY374" i="1"/>
  <c r="AZ374" i="1"/>
  <c r="AP304" i="1"/>
  <c r="AY304" i="1"/>
  <c r="AZ304" i="1"/>
  <c r="AP141" i="1"/>
  <c r="AY141" i="1"/>
  <c r="AZ141" i="1"/>
  <c r="AP84" i="1"/>
  <c r="AY84" i="1"/>
  <c r="AZ84" i="1"/>
  <c r="AP175" i="1"/>
  <c r="AY175" i="1"/>
  <c r="AZ175" i="1"/>
  <c r="AP329" i="1"/>
  <c r="AY329" i="1"/>
  <c r="AZ329" i="1"/>
  <c r="AP388" i="1"/>
  <c r="AY388" i="1"/>
  <c r="AZ388" i="1"/>
  <c r="AP315" i="1"/>
  <c r="AY315" i="1"/>
  <c r="AZ315" i="1"/>
  <c r="AP356" i="1"/>
  <c r="AY356" i="1"/>
  <c r="AZ356" i="1"/>
  <c r="AP299" i="1"/>
  <c r="AY299" i="1"/>
  <c r="AZ299" i="1"/>
  <c r="AP235" i="1"/>
  <c r="AY235" i="1"/>
  <c r="AZ235" i="1"/>
  <c r="AP208" i="1"/>
  <c r="AY208" i="1"/>
  <c r="AZ208" i="1"/>
  <c r="AP193" i="1"/>
  <c r="AY193" i="1"/>
  <c r="AZ193" i="1"/>
  <c r="AP252" i="1"/>
  <c r="AY252" i="1"/>
  <c r="AZ252" i="1"/>
  <c r="AP128" i="1"/>
  <c r="AY128" i="1"/>
  <c r="AZ128" i="1"/>
  <c r="AP292" i="1"/>
  <c r="AY292" i="1"/>
  <c r="AZ292" i="1"/>
  <c r="AP33" i="1"/>
  <c r="AY33" i="1"/>
  <c r="AZ33" i="1"/>
  <c r="AP313" i="1"/>
  <c r="AY313" i="1"/>
  <c r="AZ313" i="1"/>
  <c r="AP360" i="1"/>
  <c r="AY360" i="1"/>
  <c r="AZ360" i="1"/>
  <c r="AP74" i="1"/>
  <c r="AY74" i="1"/>
  <c r="AZ74" i="1"/>
  <c r="AP237" i="1"/>
  <c r="AY237" i="1"/>
  <c r="AZ237" i="1"/>
  <c r="AP140" i="1"/>
  <c r="AY140" i="1"/>
  <c r="AZ140" i="1"/>
  <c r="AP11" i="1"/>
  <c r="AY11" i="1"/>
  <c r="AZ11" i="1"/>
  <c r="AP93" i="1"/>
  <c r="AY93" i="1"/>
  <c r="AZ93" i="1"/>
  <c r="AP69" i="1"/>
  <c r="AY69" i="1"/>
  <c r="AZ69" i="1"/>
  <c r="AP196" i="1"/>
  <c r="AY196" i="1"/>
  <c r="AZ196" i="1"/>
  <c r="AP247" i="1"/>
  <c r="AY247" i="1"/>
  <c r="AZ247" i="1"/>
  <c r="AP9" i="1"/>
  <c r="AY9" i="1"/>
  <c r="AZ9" i="1"/>
  <c r="AP305" i="1"/>
  <c r="AY305" i="1"/>
  <c r="AZ305" i="1"/>
  <c r="AP251" i="1"/>
  <c r="AY251" i="1"/>
  <c r="AZ251" i="1"/>
  <c r="AP49" i="1"/>
  <c r="AY49" i="1"/>
  <c r="AZ49" i="1"/>
  <c r="AP286" i="1"/>
  <c r="AY286" i="1"/>
  <c r="AZ286" i="1"/>
  <c r="AP76" i="1"/>
  <c r="AY76" i="1"/>
  <c r="AZ76" i="1"/>
  <c r="AP46" i="1"/>
  <c r="AY46" i="1"/>
  <c r="AZ46" i="1"/>
  <c r="AP189" i="1"/>
  <c r="AY189" i="1"/>
  <c r="AZ189" i="1"/>
  <c r="AP216" i="1"/>
  <c r="AY216" i="1"/>
  <c r="AZ216" i="1"/>
  <c r="AP184" i="1"/>
  <c r="AY184" i="1"/>
  <c r="AZ184" i="1"/>
  <c r="AP366" i="1"/>
  <c r="AY366" i="1"/>
  <c r="AZ366" i="1"/>
  <c r="AP28" i="1"/>
  <c r="AY28" i="1"/>
  <c r="AZ28" i="1"/>
  <c r="AP298" i="1"/>
  <c r="AY298" i="1"/>
  <c r="AZ298" i="1"/>
  <c r="AP15" i="1"/>
  <c r="AY15" i="1"/>
  <c r="AZ15" i="1"/>
  <c r="AP148" i="1"/>
  <c r="AY148" i="1"/>
  <c r="AZ148" i="1"/>
  <c r="AP138" i="1"/>
  <c r="AY138" i="1"/>
  <c r="AZ138" i="1"/>
  <c r="AP114" i="1"/>
  <c r="AY114" i="1"/>
  <c r="AZ114" i="1"/>
  <c r="AP325" i="1"/>
  <c r="AY325" i="1"/>
  <c r="AZ325" i="1"/>
  <c r="AP36" i="1"/>
  <c r="AY36" i="1"/>
  <c r="AZ36" i="1"/>
  <c r="AP135" i="1"/>
  <c r="AY135" i="1"/>
  <c r="AZ135" i="1"/>
  <c r="AP334" i="1"/>
  <c r="AP71" i="1"/>
  <c r="AY71" i="1"/>
  <c r="AZ71" i="1"/>
  <c r="AP120" i="1"/>
  <c r="AY120" i="1"/>
  <c r="AZ120" i="1"/>
  <c r="AP102" i="1"/>
  <c r="AY102" i="1"/>
  <c r="AZ102" i="1"/>
  <c r="AP363" i="1"/>
  <c r="AY363" i="1"/>
  <c r="AZ363" i="1"/>
  <c r="AP12" i="1"/>
  <c r="AY12" i="1"/>
  <c r="AZ12" i="1"/>
  <c r="AP53" i="1"/>
  <c r="AY53" i="1"/>
  <c r="AZ53" i="1"/>
  <c r="AP333" i="1"/>
  <c r="AY333" i="1"/>
  <c r="AZ333" i="1"/>
  <c r="AP44" i="1"/>
  <c r="AY44" i="1"/>
  <c r="AZ44" i="1"/>
  <c r="AP371" i="1"/>
  <c r="AY371" i="1"/>
  <c r="AZ371" i="1"/>
  <c r="AP20" i="1"/>
  <c r="AY20" i="1"/>
  <c r="AZ20" i="1"/>
  <c r="AP352" i="1"/>
  <c r="AY352" i="1"/>
  <c r="AZ352" i="1"/>
  <c r="AP210" i="1"/>
  <c r="AY210" i="1"/>
  <c r="AZ210" i="1"/>
  <c r="AP115" i="1"/>
  <c r="AY115" i="1"/>
  <c r="AZ115" i="1"/>
  <c r="AP118" i="1"/>
  <c r="AY118" i="1"/>
  <c r="AZ118" i="1"/>
  <c r="AP372" i="1"/>
  <c r="AY372" i="1"/>
  <c r="AZ372" i="1"/>
  <c r="AP369" i="1"/>
  <c r="AY369" i="1"/>
  <c r="AZ369" i="1"/>
  <c r="AP158" i="1"/>
  <c r="AY158" i="1"/>
  <c r="AZ158" i="1"/>
  <c r="AP365" i="1"/>
  <c r="AY365" i="1"/>
  <c r="AZ365" i="1"/>
  <c r="AP287" i="1"/>
  <c r="AY287" i="1"/>
  <c r="AZ287" i="1"/>
  <c r="AP270" i="1"/>
  <c r="AY270" i="1"/>
  <c r="AZ270" i="1"/>
  <c r="AP129" i="1"/>
  <c r="AY129" i="1"/>
  <c r="AZ129" i="1"/>
  <c r="AP242" i="1"/>
  <c r="AY242" i="1"/>
  <c r="AZ242" i="1"/>
  <c r="AP58" i="1"/>
  <c r="AY58" i="1"/>
  <c r="AZ58" i="1"/>
  <c r="AP190" i="1"/>
  <c r="AY190" i="1"/>
  <c r="AZ190" i="1"/>
  <c r="AP63" i="1"/>
  <c r="AY63" i="1"/>
  <c r="AZ63" i="1"/>
  <c r="AP332" i="1"/>
  <c r="AY332" i="1"/>
  <c r="AZ332" i="1"/>
  <c r="AP353" i="1"/>
  <c r="AY353" i="1"/>
  <c r="AZ353" i="1"/>
  <c r="AP229" i="1"/>
  <c r="AY229" i="1"/>
  <c r="AZ229" i="1"/>
  <c r="AP59" i="1"/>
  <c r="AY59" i="1"/>
  <c r="AZ59" i="1"/>
  <c r="AP273" i="1"/>
  <c r="AY273" i="1"/>
  <c r="AZ273" i="1"/>
  <c r="AP168" i="1"/>
  <c r="AY168" i="1"/>
  <c r="AZ168" i="1"/>
  <c r="AP30" i="1"/>
  <c r="AY30" i="1"/>
  <c r="AZ30" i="1"/>
  <c r="AP312" i="1"/>
  <c r="AY312" i="1"/>
  <c r="AZ312" i="1"/>
  <c r="AP100" i="1"/>
  <c r="AY100" i="1"/>
  <c r="AZ100" i="1"/>
  <c r="AP192" i="1"/>
  <c r="AY192" i="1"/>
  <c r="AZ192" i="1"/>
  <c r="AP255" i="1"/>
  <c r="AY255" i="1"/>
  <c r="AZ255" i="1"/>
  <c r="AP199" i="1"/>
  <c r="AY199" i="1"/>
  <c r="AZ199" i="1"/>
  <c r="AP64" i="1"/>
  <c r="AY64" i="1"/>
  <c r="AZ64" i="1"/>
  <c r="AP380" i="1"/>
  <c r="AY380" i="1"/>
  <c r="AZ380" i="1"/>
  <c r="AP368" i="1"/>
  <c r="AY368" i="1"/>
  <c r="AZ368" i="1"/>
  <c r="AP197" i="1"/>
  <c r="AY197" i="1"/>
  <c r="AZ197" i="1"/>
  <c r="AP290" i="1"/>
  <c r="AY290" i="1"/>
  <c r="AZ290" i="1"/>
  <c r="AP90" i="1"/>
  <c r="AY90" i="1"/>
  <c r="AZ90" i="1"/>
  <c r="AP323" i="1"/>
  <c r="AY323" i="1"/>
  <c r="AZ323" i="1"/>
  <c r="AP171" i="1"/>
  <c r="AY171" i="1"/>
  <c r="AZ171" i="1"/>
  <c r="AP37" i="1"/>
  <c r="AY37" i="1"/>
  <c r="AZ37" i="1"/>
  <c r="AP218" i="1"/>
  <c r="AY218" i="1"/>
  <c r="AZ218" i="1"/>
  <c r="AP357" i="1"/>
  <c r="AY357" i="1"/>
  <c r="AZ357" i="1"/>
  <c r="AP32" i="1"/>
  <c r="AY32" i="1"/>
  <c r="AZ32" i="1"/>
  <c r="AP70" i="1"/>
  <c r="AY70" i="1"/>
  <c r="AZ70" i="1"/>
  <c r="AE121" i="1"/>
  <c r="AG121" i="1"/>
  <c r="AE282" i="1"/>
  <c r="AE348" i="1"/>
  <c r="AE249" i="1"/>
  <c r="AE105" i="1"/>
  <c r="AE355" i="1"/>
  <c r="AG355" i="1"/>
  <c r="AE328" i="1"/>
  <c r="AG328" i="1"/>
  <c r="AE247" i="1"/>
  <c r="AE323" i="1"/>
  <c r="AE12" i="1"/>
  <c r="AE270" i="1"/>
  <c r="AE53" i="1"/>
  <c r="AE344" i="1"/>
  <c r="AE294" i="1"/>
  <c r="AE368" i="1"/>
  <c r="AG368" i="1"/>
  <c r="AE366" i="1"/>
  <c r="AE234" i="1"/>
  <c r="AE96" i="1"/>
  <c r="AF96" i="1"/>
  <c r="AE200" i="1"/>
  <c r="AG200" i="1"/>
  <c r="AE351" i="1"/>
  <c r="AE190" i="1"/>
  <c r="AF190" i="1"/>
  <c r="AE183" i="1"/>
  <c r="AE43" i="1"/>
  <c r="AF43" i="1"/>
  <c r="AE80" i="1"/>
  <c r="AF80" i="1"/>
  <c r="AE384" i="1"/>
  <c r="AE250" i="1"/>
  <c r="AE325" i="1"/>
  <c r="AE203" i="1"/>
  <c r="AE78" i="1"/>
  <c r="AG78" i="1"/>
  <c r="AE265" i="1"/>
  <c r="AE318" i="1"/>
  <c r="AF318" i="1"/>
  <c r="AE59" i="1"/>
  <c r="AE147" i="1"/>
  <c r="AE320" i="1"/>
  <c r="AG320" i="1"/>
  <c r="AE359" i="1"/>
  <c r="AE362" i="1"/>
  <c r="AE68" i="1"/>
  <c r="AE255" i="1"/>
  <c r="AF255" i="1"/>
  <c r="AE253" i="1"/>
  <c r="AF253" i="1"/>
  <c r="AE279" i="1"/>
  <c r="AE18" i="1"/>
  <c r="AE278" i="1"/>
  <c r="AE168" i="1"/>
  <c r="AF168" i="1"/>
  <c r="AE131" i="1"/>
  <c r="AE20" i="1"/>
  <c r="AG20" i="1"/>
  <c r="AE178" i="1"/>
  <c r="AE177" i="1"/>
  <c r="AE146" i="1"/>
  <c r="AE108" i="1"/>
  <c r="AG108" i="1"/>
  <c r="AE29" i="1"/>
  <c r="AF29" i="1"/>
  <c r="AE379" i="1"/>
  <c r="AG379" i="1"/>
  <c r="AE267" i="1"/>
  <c r="AE387" i="1"/>
  <c r="AG387" i="1"/>
  <c r="AE317" i="1"/>
  <c r="AF317" i="1"/>
  <c r="AE307" i="1"/>
  <c r="AE93" i="1"/>
  <c r="AE49" i="1"/>
  <c r="AE375" i="1"/>
  <c r="AE367" i="1"/>
  <c r="AE205" i="1"/>
  <c r="AG205" i="1"/>
  <c r="AE145" i="1"/>
  <c r="AE233" i="1"/>
  <c r="AE75" i="1"/>
  <c r="AE289" i="1"/>
  <c r="AF289" i="1"/>
  <c r="AE241" i="1"/>
  <c r="AE65" i="1"/>
  <c r="AG65" i="1"/>
  <c r="AE228" i="1"/>
  <c r="AF228" i="1"/>
  <c r="AE221" i="1"/>
  <c r="AE195" i="1"/>
  <c r="AE287" i="1"/>
  <c r="AF287" i="1"/>
  <c r="AE297" i="1"/>
  <c r="AG297" i="1"/>
  <c r="AE104" i="1"/>
  <c r="AF104" i="1"/>
  <c r="AE202" i="1"/>
  <c r="AE276" i="1"/>
  <c r="AF276" i="1"/>
  <c r="AE34" i="1"/>
  <c r="AE173" i="1"/>
  <c r="AE303" i="1"/>
  <c r="AE386" i="1"/>
  <c r="AG386" i="1"/>
  <c r="AE144" i="1"/>
  <c r="AE116" i="1"/>
  <c r="AE140" i="1"/>
  <c r="AG140" i="1"/>
  <c r="AE73" i="1"/>
  <c r="AE378" i="1"/>
  <c r="AE50" i="1"/>
  <c r="AE107" i="1"/>
  <c r="AE245" i="1"/>
  <c r="AG245" i="1"/>
  <c r="AE163" i="1"/>
  <c r="AG163" i="1"/>
  <c r="AE235" i="1"/>
  <c r="AG235" i="1"/>
  <c r="AE112" i="1"/>
  <c r="AF112" i="1"/>
  <c r="AE31" i="1"/>
  <c r="AE89" i="1"/>
  <c r="AE340" i="1"/>
  <c r="AE109" i="1"/>
  <c r="AF109" i="1"/>
  <c r="AE316" i="1"/>
  <c r="AE274" i="1"/>
  <c r="AE17" i="1"/>
  <c r="AF17" i="1"/>
  <c r="AE252" i="1"/>
  <c r="AE246" i="1"/>
  <c r="AE14" i="1"/>
  <c r="AF14" i="1"/>
  <c r="AE207" i="1"/>
  <c r="AE133" i="1"/>
  <c r="AE346" i="1"/>
  <c r="AF346" i="1"/>
  <c r="AE110" i="1"/>
  <c r="AG110" i="1"/>
  <c r="AE322" i="1"/>
  <c r="AG322" i="1"/>
  <c r="AE218" i="1"/>
  <c r="AE151" i="1"/>
  <c r="AE229" i="1"/>
  <c r="AF229" i="1"/>
  <c r="AE51" i="1"/>
  <c r="AE88" i="1"/>
  <c r="AE211" i="1"/>
  <c r="AE365" i="1"/>
  <c r="AE66" i="1"/>
  <c r="AE361" i="1"/>
  <c r="AF361" i="1"/>
  <c r="AE238" i="1"/>
  <c r="AG238" i="1"/>
  <c r="AE284" i="1"/>
  <c r="AF284" i="1"/>
  <c r="AE232" i="1"/>
  <c r="AE280" i="1"/>
  <c r="AE40" i="1"/>
  <c r="AE271" i="1"/>
  <c r="AG271" i="1"/>
  <c r="AE180" i="1"/>
  <c r="AE10" i="1"/>
  <c r="AF10" i="1"/>
  <c r="AE161" i="1"/>
  <c r="AG161" i="1"/>
  <c r="AE61" i="1"/>
  <c r="AE27" i="1"/>
  <c r="AG27" i="1"/>
  <c r="AE162" i="1"/>
  <c r="AE299" i="1"/>
  <c r="AE197" i="1"/>
  <c r="AF197" i="1"/>
  <c r="AE122" i="1"/>
  <c r="AE56" i="1"/>
  <c r="AE236" i="1"/>
  <c r="AG236" i="1"/>
  <c r="AE206" i="1"/>
  <c r="AF206" i="1"/>
  <c r="AE175" i="1"/>
  <c r="B93" i="4"/>
  <c r="G98" i="4"/>
  <c r="AE97" i="1"/>
  <c r="AG97" i="1"/>
  <c r="AP145" i="1"/>
  <c r="AY145" i="1"/>
  <c r="AZ145" i="1"/>
  <c r="AP105" i="1"/>
  <c r="AY105" i="1"/>
  <c r="AZ105" i="1"/>
  <c r="AP308" i="1"/>
  <c r="AY308" i="1"/>
  <c r="AZ308" i="1"/>
  <c r="AP344" i="1"/>
  <c r="AY344" i="1"/>
  <c r="AZ344" i="1"/>
  <c r="AE266" i="1"/>
  <c r="AG266" i="1"/>
  <c r="AE164" i="1"/>
  <c r="AP56" i="1"/>
  <c r="AY56" i="1"/>
  <c r="AZ56" i="1"/>
  <c r="AP289" i="1"/>
  <c r="AY289" i="1"/>
  <c r="AZ289" i="1"/>
  <c r="AP66" i="1"/>
  <c r="AY66" i="1"/>
  <c r="AZ66" i="1"/>
  <c r="AP322" i="1"/>
  <c r="AY322" i="1"/>
  <c r="AZ322" i="1"/>
  <c r="AP263" i="1"/>
  <c r="AY263" i="1"/>
  <c r="AZ263" i="1"/>
  <c r="AE35" i="1"/>
  <c r="AE94" i="1"/>
  <c r="AE189" i="1"/>
  <c r="AE32" i="1"/>
  <c r="AE331" i="1"/>
  <c r="AG331" i="1"/>
  <c r="AE358" i="1"/>
  <c r="AG358" i="1"/>
  <c r="E24" i="3"/>
  <c r="E28" i="3"/>
  <c r="AP336" i="1"/>
  <c r="AY336" i="1"/>
  <c r="AZ336" i="1"/>
  <c r="AP136" i="1"/>
  <c r="AY136" i="1"/>
  <c r="AZ136" i="1"/>
  <c r="AP377" i="1"/>
  <c r="AY377" i="1"/>
  <c r="AZ377" i="1"/>
  <c r="AP157" i="1"/>
  <c r="AY157" i="1"/>
  <c r="AZ157" i="1"/>
  <c r="AP276" i="1"/>
  <c r="AY276" i="1"/>
  <c r="AZ276" i="1"/>
  <c r="AE36" i="1"/>
  <c r="AG36" i="1"/>
  <c r="AP201" i="1"/>
  <c r="AY201" i="1"/>
  <c r="AZ201" i="1"/>
  <c r="AP94" i="1"/>
  <c r="AY94" i="1"/>
  <c r="AZ94" i="1"/>
  <c r="AP67" i="1"/>
  <c r="AY67" i="1"/>
  <c r="AZ67" i="1"/>
  <c r="AP379" i="1"/>
  <c r="AY379" i="1"/>
  <c r="AZ379" i="1"/>
  <c r="AP194" i="1"/>
  <c r="AY194" i="1"/>
  <c r="AZ194" i="1"/>
  <c r="AE269" i="1"/>
  <c r="AE285" i="1"/>
  <c r="AE188" i="1"/>
  <c r="AP244" i="1"/>
  <c r="AY244" i="1"/>
  <c r="AZ244" i="1"/>
  <c r="AP256" i="1"/>
  <c r="AY256" i="1"/>
  <c r="AZ256" i="1"/>
  <c r="AP154" i="1"/>
  <c r="AY154" i="1"/>
  <c r="AZ154" i="1"/>
  <c r="AP215" i="1"/>
  <c r="AY215" i="1"/>
  <c r="AZ215" i="1"/>
  <c r="AP40" i="1"/>
  <c r="AY40" i="1"/>
  <c r="AZ40" i="1"/>
  <c r="AE326" i="1"/>
  <c r="AG326" i="1"/>
  <c r="AE149" i="1"/>
  <c r="AF149" i="1"/>
  <c r="AE58" i="1"/>
  <c r="AG58" i="1"/>
  <c r="AE19" i="1"/>
  <c r="AE324" i="1"/>
  <c r="AE136" i="1"/>
  <c r="AP151" i="1"/>
  <c r="AY151" i="1"/>
  <c r="AZ151" i="1"/>
  <c r="AP26" i="1"/>
  <c r="AY26" i="1"/>
  <c r="AZ26" i="1"/>
  <c r="AE248" i="1"/>
  <c r="B219" i="3"/>
  <c r="AR5" i="1"/>
  <c r="AL304" i="1"/>
  <c r="AL362" i="1"/>
  <c r="AL172" i="1"/>
  <c r="AL295" i="1"/>
  <c r="B228" i="3"/>
  <c r="B25" i="4"/>
  <c r="AE237" i="1"/>
  <c r="AE170" i="1"/>
  <c r="AE125" i="1"/>
  <c r="AE69" i="1"/>
  <c r="AE381" i="1"/>
  <c r="AE71" i="1"/>
  <c r="AE243" i="1"/>
  <c r="AE376" i="1"/>
  <c r="AE244" i="1"/>
  <c r="AE142" i="1"/>
  <c r="AE129" i="1"/>
  <c r="AE199" i="1"/>
  <c r="AE184" i="1"/>
  <c r="AE33" i="1"/>
  <c r="AE187" i="1"/>
  <c r="AE137" i="1"/>
  <c r="AE223" i="1"/>
  <c r="AE354" i="1"/>
  <c r="AE57" i="1"/>
  <c r="AE169" i="1"/>
  <c r="AE215" i="1"/>
  <c r="AE24" i="1"/>
  <c r="AE92" i="1"/>
  <c r="AE98" i="1"/>
  <c r="AE172" i="1"/>
  <c r="AE191" i="1"/>
  <c r="AE118" i="1"/>
  <c r="AE291" i="1"/>
  <c r="AE119" i="1"/>
  <c r="AE342" i="1"/>
  <c r="AE150" i="1"/>
  <c r="AE260" i="1"/>
  <c r="AE335" i="1"/>
  <c r="AE283" i="1"/>
  <c r="AE174" i="1"/>
  <c r="AE311" i="1"/>
  <c r="AE138" i="1"/>
  <c r="AE102" i="1"/>
  <c r="AE371" i="1"/>
  <c r="AE30" i="1"/>
  <c r="AE382" i="1"/>
  <c r="AE219" i="1"/>
  <c r="AE293" i="1"/>
  <c r="AE111" i="1"/>
  <c r="AE22" i="1"/>
  <c r="AE154" i="1"/>
  <c r="AE339" i="1"/>
  <c r="AE321" i="1"/>
  <c r="AF321" i="1"/>
  <c r="AE21" i="1"/>
  <c r="AF21" i="1"/>
  <c r="AE315" i="1"/>
  <c r="AF315" i="1"/>
  <c r="AE41" i="1"/>
  <c r="AE356" i="1"/>
  <c r="AG356" i="1"/>
  <c r="AE106" i="1"/>
  <c r="AG106" i="1"/>
  <c r="AE239" i="1"/>
  <c r="AG239" i="1"/>
  <c r="AE263" i="1"/>
  <c r="AF263" i="1"/>
  <c r="AE166" i="1"/>
  <c r="AF166" i="1"/>
  <c r="AE37" i="1"/>
  <c r="AF37" i="1"/>
  <c r="AE143" i="1"/>
  <c r="AF143" i="1"/>
  <c r="AE277" i="1"/>
  <c r="AE45" i="1"/>
  <c r="AE258" i="1"/>
  <c r="AF258" i="1"/>
  <c r="AE47" i="1"/>
  <c r="AG47" i="1"/>
  <c r="AE113" i="1"/>
  <c r="AE86" i="1"/>
  <c r="AF86" i="1"/>
  <c r="AE261" i="1"/>
  <c r="AE388" i="1"/>
  <c r="AE16" i="1"/>
  <c r="AF16" i="1"/>
  <c r="AE306" i="1"/>
  <c r="AE300" i="1"/>
  <c r="AG300" i="1"/>
  <c r="AE226" i="1"/>
  <c r="AF226" i="1"/>
  <c r="AE349" i="1"/>
  <c r="AE196" i="1"/>
  <c r="AF196" i="1"/>
  <c r="AE85" i="1"/>
  <c r="AF85" i="1"/>
  <c r="AE374" i="1"/>
  <c r="AE327" i="1"/>
  <c r="AG327" i="1"/>
  <c r="AE309" i="1"/>
  <c r="AF309" i="1"/>
  <c r="AE153" i="1"/>
  <c r="AE302" i="1"/>
  <c r="AE338" i="1"/>
  <c r="AE259" i="1"/>
  <c r="AG259" i="1"/>
  <c r="AE357" i="1"/>
  <c r="AE120" i="1"/>
  <c r="AF120" i="1"/>
  <c r="AE240" i="1"/>
  <c r="AF240" i="1"/>
  <c r="AE79" i="1"/>
  <c r="AE310" i="1"/>
  <c r="AE330" i="1"/>
  <c r="AE305" i="1"/>
  <c r="AE95" i="1"/>
  <c r="AE295" i="1"/>
  <c r="AG295" i="1"/>
  <c r="AE99" i="1"/>
  <c r="AG99" i="1"/>
  <c r="AE193" i="1"/>
  <c r="AE208" i="1"/>
  <c r="AE117" i="1"/>
  <c r="AE230" i="1"/>
  <c r="AG230" i="1"/>
  <c r="AE254" i="1"/>
  <c r="AE52" i="1"/>
  <c r="AG52" i="1"/>
  <c r="AE72" i="1"/>
  <c r="AF72" i="1"/>
  <c r="AE222" i="1"/>
  <c r="AF222" i="1"/>
  <c r="AE216" i="1"/>
  <c r="AF216" i="1"/>
  <c r="AE186" i="1"/>
  <c r="AE334" i="1"/>
  <c r="AG334" i="1"/>
  <c r="AE257" i="1"/>
  <c r="AE204" i="1"/>
  <c r="AE296" i="1"/>
  <c r="AF296" i="1"/>
  <c r="AE312" i="1"/>
  <c r="AE273" i="1"/>
  <c r="AF273" i="1"/>
  <c r="AE155" i="1"/>
  <c r="AG155" i="1"/>
  <c r="AE132" i="1"/>
  <c r="AE343" i="1"/>
  <c r="AG343" i="1"/>
  <c r="AE333" i="1"/>
  <c r="AG333" i="1"/>
  <c r="AE385" i="1"/>
  <c r="AG385" i="1"/>
  <c r="AE179" i="1"/>
  <c r="AE127" i="1"/>
  <c r="AG127" i="1"/>
  <c r="AE185" i="1"/>
  <c r="AG185" i="1"/>
  <c r="AE350" i="1"/>
  <c r="AE171" i="1"/>
  <c r="AE46" i="1"/>
  <c r="AE272" i="1"/>
  <c r="AE353" i="1"/>
  <c r="AE55" i="1"/>
  <c r="AF55" i="1"/>
  <c r="AE141" i="1"/>
  <c r="AE264" i="1"/>
  <c r="AF264" i="1"/>
  <c r="AE126" i="1"/>
  <c r="AF126" i="1"/>
  <c r="AE336" i="1"/>
  <c r="AE76" i="1"/>
  <c r="AE123" i="1"/>
  <c r="AE213" i="1"/>
  <c r="AE217" i="1"/>
  <c r="AG217" i="1"/>
  <c r="AE84" i="1"/>
  <c r="AG84" i="1"/>
  <c r="AE332" i="1"/>
  <c r="AG332" i="1"/>
  <c r="AE100" i="1"/>
  <c r="AF100" i="1"/>
  <c r="AE67" i="1"/>
  <c r="AG67" i="1"/>
  <c r="AE156" i="1"/>
  <c r="AE224" i="1"/>
  <c r="AF224" i="1"/>
  <c r="AE42" i="1"/>
  <c r="AE90" i="1"/>
  <c r="AE15" i="1"/>
  <c r="AF15" i="1"/>
  <c r="AE28" i="1"/>
  <c r="AF28" i="1"/>
  <c r="AE319" i="1"/>
  <c r="AE158" i="1"/>
  <c r="AE13" i="1"/>
  <c r="AG13" i="1"/>
  <c r="AE314" i="1"/>
  <c r="AE231" i="1"/>
  <c r="AE268" i="1"/>
  <c r="AG268" i="1"/>
  <c r="AE64" i="1"/>
  <c r="AE262" i="1"/>
  <c r="AF262" i="1"/>
  <c r="AE152" i="1"/>
  <c r="AE380" i="1"/>
  <c r="AF380" i="1"/>
  <c r="AE103" i="1"/>
  <c r="AG103" i="1"/>
  <c r="AE329" i="1"/>
  <c r="AF329" i="1"/>
  <c r="AE81" i="1"/>
  <c r="AG81" i="1"/>
  <c r="AE38" i="1"/>
  <c r="AE292" i="1"/>
  <c r="AE70" i="1"/>
  <c r="AG70" i="1"/>
  <c r="AE194" i="1"/>
  <c r="AG194" i="1"/>
  <c r="AE373" i="1"/>
  <c r="AE370" i="1"/>
  <c r="AE62" i="1"/>
  <c r="AE210" i="1"/>
  <c r="AE159" i="1"/>
  <c r="AE114" i="1"/>
  <c r="AE167" i="1"/>
  <c r="AF167" i="1"/>
  <c r="AE182" i="1"/>
  <c r="AF182" i="1"/>
  <c r="AE212" i="1"/>
  <c r="AE286" i="1"/>
  <c r="AE124" i="1"/>
  <c r="AE227" i="1"/>
  <c r="AE148" i="1"/>
  <c r="AE26" i="1"/>
  <c r="AG26" i="1"/>
  <c r="AE134" i="1"/>
  <c r="AE176" i="1"/>
  <c r="AE298" i="1"/>
  <c r="AE341" i="1"/>
  <c r="AG341" i="1"/>
  <c r="AE139" i="1"/>
  <c r="AF139" i="1"/>
  <c r="AE181" i="1"/>
  <c r="AF181" i="1"/>
  <c r="AE160" i="1"/>
  <c r="AF160" i="1"/>
  <c r="AE25" i="1"/>
  <c r="AF25" i="1"/>
  <c r="AE192" i="1"/>
  <c r="AG192" i="1"/>
  <c r="AE83" i="1"/>
  <c r="AE128" i="1"/>
  <c r="AE372" i="1"/>
  <c r="AF372" i="1"/>
  <c r="AE87" i="1"/>
  <c r="AE9" i="1"/>
  <c r="AF9" i="1"/>
  <c r="AE101" i="1"/>
  <c r="AF101" i="1"/>
  <c r="AE383" i="1"/>
  <c r="AG383" i="1"/>
  <c r="AE198" i="1"/>
  <c r="AG198" i="1"/>
  <c r="AE82" i="1"/>
  <c r="AE60" i="1"/>
  <c r="AE242" i="1"/>
  <c r="AG242" i="1"/>
  <c r="AE165" i="1"/>
  <c r="AE39" i="1"/>
  <c r="AE304" i="1"/>
  <c r="AE48" i="1"/>
  <c r="AF48" i="1"/>
  <c r="AE130" i="1"/>
  <c r="AF130" i="1"/>
  <c r="AE275" i="1"/>
  <c r="AE281" i="1"/>
  <c r="AE115" i="1"/>
  <c r="AF115" i="1"/>
  <c r="AE251" i="1"/>
  <c r="AG251" i="1"/>
  <c r="AE256" i="1"/>
  <c r="AE360" i="1"/>
  <c r="AE23" i="1"/>
  <c r="AG23" i="1"/>
  <c r="AE345" i="1"/>
  <c r="AL87" i="1"/>
  <c r="AL35" i="1"/>
  <c r="AF97" i="1"/>
  <c r="AF205" i="1"/>
  <c r="AE347" i="1"/>
  <c r="AE313" i="1"/>
  <c r="AL360" i="1"/>
  <c r="AL151" i="1"/>
  <c r="B52" i="3"/>
  <c r="AL240" i="1"/>
  <c r="B227" i="3"/>
  <c r="AG190" i="1"/>
  <c r="AF20" i="1"/>
  <c r="AP86" i="1"/>
  <c r="AY86" i="1"/>
  <c r="AZ86" i="1"/>
  <c r="AP166" i="1"/>
  <c r="AY166" i="1"/>
  <c r="AZ166" i="1"/>
  <c r="AP382" i="1"/>
  <c r="AY382" i="1"/>
  <c r="AZ382" i="1"/>
  <c r="AP212" i="1"/>
  <c r="AY212" i="1"/>
  <c r="AZ212" i="1"/>
  <c r="AP347" i="1"/>
  <c r="AY347" i="1"/>
  <c r="AZ347" i="1"/>
  <c r="AP283" i="1"/>
  <c r="AY283" i="1"/>
  <c r="AZ283" i="1"/>
  <c r="AP386" i="1"/>
  <c r="AY386" i="1"/>
  <c r="AZ386" i="1"/>
  <c r="AP109" i="1"/>
  <c r="AY109" i="1"/>
  <c r="AZ109" i="1"/>
  <c r="AP236" i="1"/>
  <c r="AY236" i="1"/>
  <c r="AZ236" i="1"/>
  <c r="AP149" i="1"/>
  <c r="AY149" i="1"/>
  <c r="AZ149" i="1"/>
  <c r="AP280" i="1"/>
  <c r="AY280" i="1"/>
  <c r="AZ280" i="1"/>
  <c r="AP240" i="1"/>
  <c r="AY240" i="1"/>
  <c r="AZ240" i="1"/>
  <c r="AP319" i="1"/>
  <c r="AY319" i="1"/>
  <c r="AZ319" i="1"/>
  <c r="AP224" i="1"/>
  <c r="AY224" i="1"/>
  <c r="AZ224" i="1"/>
  <c r="AP185" i="1"/>
  <c r="AY185" i="1"/>
  <c r="AZ185" i="1"/>
  <c r="AP163" i="1"/>
  <c r="AY163" i="1"/>
  <c r="AZ163" i="1"/>
  <c r="AP203" i="1"/>
  <c r="AY203" i="1"/>
  <c r="AZ203" i="1"/>
  <c r="AP104" i="1"/>
  <c r="AY104" i="1"/>
  <c r="AZ104" i="1"/>
  <c r="AP78" i="1"/>
  <c r="AY78" i="1"/>
  <c r="AZ78" i="1"/>
  <c r="AP337" i="1"/>
  <c r="AY337" i="1"/>
  <c r="AZ337" i="1"/>
  <c r="AP169" i="1"/>
  <c r="AY169" i="1"/>
  <c r="AZ169" i="1"/>
  <c r="AP384" i="1"/>
  <c r="AY384" i="1"/>
  <c r="AZ384" i="1"/>
  <c r="AP310" i="1"/>
  <c r="AY310" i="1"/>
  <c r="AZ310" i="1"/>
  <c r="AP265" i="1"/>
  <c r="AY265" i="1"/>
  <c r="AZ265" i="1"/>
  <c r="AP354" i="1"/>
  <c r="AY354" i="1"/>
  <c r="AZ354" i="1"/>
  <c r="AP13" i="1"/>
  <c r="AY13" i="1"/>
  <c r="AZ13" i="1"/>
  <c r="AP106" i="1"/>
  <c r="AY106" i="1"/>
  <c r="AZ106" i="1"/>
  <c r="AP327" i="1"/>
  <c r="AY327" i="1"/>
  <c r="AZ327" i="1"/>
  <c r="AP269" i="1"/>
  <c r="AY269" i="1"/>
  <c r="AZ269" i="1"/>
  <c r="AP221" i="1"/>
  <c r="AY221" i="1"/>
  <c r="AZ221" i="1"/>
  <c r="AP207" i="1"/>
  <c r="AY207" i="1"/>
  <c r="AZ207" i="1"/>
  <c r="AP186" i="1"/>
  <c r="AY186" i="1"/>
  <c r="AZ186" i="1"/>
  <c r="AP125" i="1"/>
  <c r="AY125" i="1"/>
  <c r="AZ125" i="1"/>
  <c r="AP254" i="1"/>
  <c r="AY254" i="1"/>
  <c r="AZ254" i="1"/>
  <c r="AP155" i="1"/>
  <c r="AY155" i="1"/>
  <c r="AZ155" i="1"/>
  <c r="AP345" i="1"/>
  <c r="AY345" i="1"/>
  <c r="AZ345" i="1"/>
  <c r="AP61" i="1"/>
  <c r="AY61" i="1"/>
  <c r="AZ61" i="1"/>
  <c r="AP14" i="1"/>
  <c r="AY14" i="1"/>
  <c r="AZ14" i="1"/>
  <c r="AP217" i="1"/>
  <c r="AY217" i="1"/>
  <c r="AZ217" i="1"/>
  <c r="AP80" i="1"/>
  <c r="AY80" i="1"/>
  <c r="AZ80" i="1"/>
  <c r="AP167" i="1"/>
  <c r="AY167" i="1"/>
  <c r="AZ167" i="1"/>
  <c r="AP204" i="1"/>
  <c r="AY204" i="1"/>
  <c r="AZ204" i="1"/>
  <c r="AP127" i="1"/>
  <c r="AY127" i="1"/>
  <c r="AZ127" i="1"/>
  <c r="AP296" i="1"/>
  <c r="AY296" i="1"/>
  <c r="AZ296" i="1"/>
  <c r="AP181" i="1"/>
  <c r="AY181" i="1"/>
  <c r="AZ181" i="1"/>
  <c r="AP340" i="1"/>
  <c r="AY340" i="1"/>
  <c r="AZ340" i="1"/>
  <c r="AP188" i="1"/>
  <c r="AY188" i="1"/>
  <c r="AZ188" i="1"/>
  <c r="AP339" i="1"/>
  <c r="AY339" i="1"/>
  <c r="AZ339" i="1"/>
  <c r="AP350" i="1"/>
  <c r="AY350" i="1"/>
  <c r="AZ350" i="1"/>
  <c r="AP361" i="1"/>
  <c r="AY361" i="1"/>
  <c r="AZ361" i="1"/>
  <c r="AP137" i="1"/>
  <c r="AY137" i="1"/>
  <c r="AZ137" i="1"/>
  <c r="AP43" i="1"/>
  <c r="AY43" i="1"/>
  <c r="AZ43" i="1"/>
  <c r="AP303" i="1"/>
  <c r="AY303" i="1"/>
  <c r="AZ303" i="1"/>
  <c r="AP25" i="1"/>
  <c r="AY25" i="1"/>
  <c r="AZ25" i="1"/>
  <c r="AP260" i="1"/>
  <c r="AY260" i="1"/>
  <c r="AZ260" i="1"/>
  <c r="AP117" i="1"/>
  <c r="AY117" i="1"/>
  <c r="AZ117" i="1"/>
  <c r="AP387" i="1"/>
  <c r="AY387" i="1"/>
  <c r="AZ387" i="1"/>
  <c r="AP101" i="1"/>
  <c r="AY101" i="1"/>
  <c r="AZ101" i="1"/>
  <c r="AP230" i="1"/>
  <c r="AY230" i="1"/>
  <c r="AZ230" i="1"/>
  <c r="AP348" i="1"/>
  <c r="AY348" i="1"/>
  <c r="AZ348" i="1"/>
  <c r="AP227" i="1"/>
  <c r="AY227" i="1"/>
  <c r="AZ227" i="1"/>
  <c r="AP335" i="1"/>
  <c r="AY335" i="1"/>
  <c r="AZ335" i="1"/>
  <c r="AP234" i="1"/>
  <c r="AY234" i="1"/>
  <c r="AZ234" i="1"/>
  <c r="AP258" i="1"/>
  <c r="AY258" i="1"/>
  <c r="AZ258" i="1"/>
  <c r="AP156" i="1"/>
  <c r="AY156" i="1"/>
  <c r="AZ156" i="1"/>
  <c r="AP144" i="1"/>
  <c r="AY144" i="1"/>
  <c r="AZ144" i="1"/>
  <c r="AP103" i="1"/>
  <c r="AY103" i="1"/>
  <c r="AZ103" i="1"/>
  <c r="AP68" i="1"/>
  <c r="AY68" i="1"/>
  <c r="AZ68" i="1"/>
  <c r="AP209" i="1"/>
  <c r="AY209" i="1"/>
  <c r="AZ209" i="1"/>
  <c r="AP177" i="1"/>
  <c r="AY177" i="1"/>
  <c r="AZ177" i="1"/>
  <c r="AP57" i="1"/>
  <c r="AY57" i="1"/>
  <c r="AZ57" i="1"/>
  <c r="AP358" i="1"/>
  <c r="AY358" i="1"/>
  <c r="AZ358" i="1"/>
  <c r="AP165" i="1"/>
  <c r="AY165" i="1"/>
  <c r="AZ165" i="1"/>
  <c r="AP131" i="1"/>
  <c r="AY131" i="1"/>
  <c r="AZ131" i="1"/>
  <c r="AP132" i="1"/>
  <c r="AY132" i="1"/>
  <c r="AZ132" i="1"/>
  <c r="AP301" i="1"/>
  <c r="AY301" i="1"/>
  <c r="AZ301" i="1"/>
  <c r="AP232" i="1"/>
  <c r="AY232" i="1"/>
  <c r="AZ232" i="1"/>
  <c r="AP245" i="1"/>
  <c r="AY245" i="1"/>
  <c r="AZ245" i="1"/>
  <c r="AP179" i="1"/>
  <c r="AY179" i="1"/>
  <c r="AZ179" i="1"/>
  <c r="AP328" i="1"/>
  <c r="AY328" i="1"/>
  <c r="AZ328" i="1"/>
  <c r="AP214" i="1"/>
  <c r="AY214" i="1"/>
  <c r="AZ214" i="1"/>
  <c r="AP73" i="1"/>
  <c r="AY73" i="1"/>
  <c r="AZ73" i="1"/>
  <c r="AP55" i="1"/>
  <c r="AY55" i="1"/>
  <c r="AZ55" i="1"/>
  <c r="AP24" i="1"/>
  <c r="AY24" i="1"/>
  <c r="AZ24" i="1"/>
  <c r="AP95" i="1"/>
  <c r="AY95" i="1"/>
  <c r="AZ95" i="1"/>
  <c r="AP326" i="1"/>
  <c r="AY326" i="1"/>
  <c r="AZ326" i="1"/>
  <c r="AP88" i="1"/>
  <c r="AY88" i="1"/>
  <c r="AZ88" i="1"/>
  <c r="AP241" i="1"/>
  <c r="AY241" i="1"/>
  <c r="AZ241" i="1"/>
  <c r="AP200" i="1"/>
  <c r="AY200" i="1"/>
  <c r="AZ200" i="1"/>
  <c r="AP383" i="1"/>
  <c r="AY383" i="1"/>
  <c r="AZ383" i="1"/>
  <c r="AP331" i="1"/>
  <c r="AY331" i="1"/>
  <c r="AZ331" i="1"/>
  <c r="AP205" i="1"/>
  <c r="AY205" i="1"/>
  <c r="AZ205" i="1"/>
  <c r="AP183" i="1"/>
  <c r="AY183" i="1"/>
  <c r="AZ183" i="1"/>
  <c r="AP302" i="1"/>
  <c r="AY302" i="1"/>
  <c r="AZ302" i="1"/>
  <c r="AP359" i="1"/>
  <c r="AY359" i="1"/>
  <c r="AZ359" i="1"/>
  <c r="AP173" i="1"/>
  <c r="AY173" i="1"/>
  <c r="AZ173" i="1"/>
  <c r="AP123" i="1"/>
  <c r="AY123" i="1"/>
  <c r="AZ123" i="1"/>
  <c r="AP373" i="1"/>
  <c r="AY373" i="1"/>
  <c r="AZ373" i="1"/>
  <c r="AP97" i="1"/>
  <c r="AY97" i="1"/>
  <c r="AZ97" i="1"/>
  <c r="AP375" i="1"/>
  <c r="AY375" i="1"/>
  <c r="AZ375" i="1"/>
  <c r="AP385" i="1"/>
  <c r="AY385" i="1"/>
  <c r="AZ385" i="1"/>
  <c r="AP355" i="1"/>
  <c r="AY355" i="1"/>
  <c r="AZ355" i="1"/>
  <c r="AP160" i="1"/>
  <c r="AY160" i="1"/>
  <c r="AZ160" i="1"/>
  <c r="AP52" i="1"/>
  <c r="AY52" i="1"/>
  <c r="AZ52" i="1"/>
  <c r="AP246" i="1"/>
  <c r="AY246" i="1"/>
  <c r="AZ246" i="1"/>
  <c r="AP306" i="1"/>
  <c r="AY306" i="1"/>
  <c r="AZ306" i="1"/>
  <c r="AP316" i="1"/>
  <c r="AY316" i="1"/>
  <c r="AZ316" i="1"/>
  <c r="AP324" i="1"/>
  <c r="AY324" i="1"/>
  <c r="AZ324" i="1"/>
  <c r="AP150" i="1"/>
  <c r="AY150" i="1"/>
  <c r="AZ150" i="1"/>
  <c r="AP130" i="1"/>
  <c r="AY130" i="1"/>
  <c r="AZ130" i="1"/>
  <c r="AP152" i="1"/>
  <c r="AY152" i="1"/>
  <c r="AZ152" i="1"/>
  <c r="AP233" i="1"/>
  <c r="AY233" i="1"/>
  <c r="AZ233" i="1"/>
  <c r="AP133" i="1"/>
  <c r="AY133" i="1"/>
  <c r="AZ133" i="1"/>
  <c r="AP226" i="1"/>
  <c r="AY226" i="1"/>
  <c r="AZ226" i="1"/>
  <c r="AP82" i="1"/>
  <c r="AY82" i="1"/>
  <c r="AZ82" i="1"/>
  <c r="AP159" i="1"/>
  <c r="AY159" i="1"/>
  <c r="AZ159" i="1"/>
  <c r="AP309" i="1"/>
  <c r="AY309" i="1"/>
  <c r="AZ309" i="1"/>
  <c r="AP110" i="1"/>
  <c r="AY110" i="1"/>
  <c r="AZ110" i="1"/>
  <c r="AP320" i="1"/>
  <c r="AY320" i="1"/>
  <c r="AZ320" i="1"/>
  <c r="AP351" i="1"/>
  <c r="AY351" i="1"/>
  <c r="AZ351" i="1"/>
  <c r="AP338" i="1"/>
  <c r="AY338" i="1"/>
  <c r="AZ338" i="1"/>
  <c r="AP162" i="1"/>
  <c r="AY162" i="1"/>
  <c r="AZ162" i="1"/>
  <c r="AP87" i="1"/>
  <c r="AY87" i="1"/>
  <c r="AZ87" i="1"/>
  <c r="AP38" i="1"/>
  <c r="AY38" i="1"/>
  <c r="AZ38" i="1"/>
  <c r="AP223" i="1"/>
  <c r="AY223" i="1"/>
  <c r="AZ223" i="1"/>
  <c r="AP268" i="1"/>
  <c r="AY268" i="1"/>
  <c r="AZ268" i="1"/>
  <c r="AP153" i="1"/>
  <c r="AY153" i="1"/>
  <c r="AZ153" i="1"/>
  <c r="AP219" i="1"/>
  <c r="AY219" i="1"/>
  <c r="AZ219" i="1"/>
  <c r="AP147" i="1"/>
  <c r="AY147" i="1"/>
  <c r="AZ147" i="1"/>
  <c r="AP294" i="1"/>
  <c r="AY294" i="1"/>
  <c r="AZ294" i="1"/>
  <c r="AP281" i="1"/>
  <c r="AY281" i="1"/>
  <c r="AZ281" i="1"/>
  <c r="AP275" i="1"/>
  <c r="AY275" i="1"/>
  <c r="AZ275" i="1"/>
  <c r="AP21" i="1"/>
  <c r="AY21" i="1"/>
  <c r="AZ21" i="1"/>
  <c r="AP211" i="1"/>
  <c r="AY211" i="1"/>
  <c r="AZ211" i="1"/>
  <c r="AP288" i="1"/>
  <c r="AY288" i="1"/>
  <c r="AZ288" i="1"/>
  <c r="AP220" i="1"/>
  <c r="AY220" i="1"/>
  <c r="AZ220" i="1"/>
  <c r="AP92" i="1"/>
  <c r="AY92" i="1"/>
  <c r="AZ92" i="1"/>
  <c r="AP198" i="1"/>
  <c r="AY198" i="1"/>
  <c r="AZ198" i="1"/>
  <c r="AP161" i="1"/>
  <c r="AY161" i="1"/>
  <c r="AZ161" i="1"/>
  <c r="AP31" i="1"/>
  <c r="AY31" i="1"/>
  <c r="AZ31" i="1"/>
  <c r="AP261" i="1"/>
  <c r="AY261" i="1"/>
  <c r="AZ261" i="1"/>
  <c r="AP295" i="1"/>
  <c r="AY295" i="1"/>
  <c r="AZ295" i="1"/>
  <c r="AP19" i="1"/>
  <c r="AY19" i="1"/>
  <c r="AZ19" i="1"/>
  <c r="AP191" i="1"/>
  <c r="AY191" i="1"/>
  <c r="AZ191" i="1"/>
  <c r="AP50" i="1"/>
  <c r="AY50" i="1"/>
  <c r="AZ50" i="1"/>
  <c r="AP318" i="1"/>
  <c r="AY318" i="1"/>
  <c r="AZ318" i="1"/>
  <c r="AP370" i="1"/>
  <c r="AY370" i="1"/>
  <c r="AZ370" i="1"/>
  <c r="AP364" i="1"/>
  <c r="AY364" i="1"/>
  <c r="AZ364" i="1"/>
  <c r="AP381" i="1"/>
  <c r="AY381" i="1"/>
  <c r="AZ381" i="1"/>
  <c r="AP243" i="1"/>
  <c r="AY243" i="1"/>
  <c r="AZ243" i="1"/>
  <c r="AP176" i="1"/>
  <c r="AY176" i="1"/>
  <c r="AZ176" i="1"/>
  <c r="AP225" i="1"/>
  <c r="AY225" i="1"/>
  <c r="AZ225" i="1"/>
  <c r="AP206" i="1"/>
  <c r="AY206" i="1"/>
  <c r="AZ206" i="1"/>
  <c r="AP16" i="1"/>
  <c r="AY16" i="1"/>
  <c r="AZ16" i="1"/>
  <c r="AP317" i="1"/>
  <c r="AY317" i="1"/>
  <c r="AZ317" i="1"/>
  <c r="AP172" i="1"/>
  <c r="AY172" i="1"/>
  <c r="AZ172" i="1"/>
  <c r="AP314" i="1"/>
  <c r="AY314" i="1"/>
  <c r="AZ314" i="1"/>
  <c r="AP22" i="1"/>
  <c r="AY22" i="1"/>
  <c r="AZ22" i="1"/>
  <c r="AP47" i="1"/>
  <c r="AY47" i="1"/>
  <c r="AZ47" i="1"/>
  <c r="AP29" i="1"/>
  <c r="AY29" i="1"/>
  <c r="AZ29" i="1"/>
  <c r="AP34" i="1"/>
  <c r="AY34" i="1"/>
  <c r="AZ34" i="1"/>
  <c r="AP284" i="1"/>
  <c r="AY284" i="1"/>
  <c r="AZ284" i="1"/>
  <c r="AP321" i="1"/>
  <c r="AY321" i="1"/>
  <c r="AZ321" i="1"/>
  <c r="AP143" i="1"/>
  <c r="AY143" i="1"/>
  <c r="AZ143" i="1"/>
  <c r="AP113" i="1"/>
  <c r="AY113" i="1"/>
  <c r="AZ113" i="1"/>
  <c r="AP91" i="1"/>
  <c r="AY91" i="1"/>
  <c r="AZ91" i="1"/>
  <c r="AP202" i="1"/>
  <c r="AY202" i="1"/>
  <c r="AZ202" i="1"/>
  <c r="AP81" i="1"/>
  <c r="AY81" i="1"/>
  <c r="AZ81" i="1"/>
  <c r="AP228" i="1"/>
  <c r="AY228" i="1"/>
  <c r="AZ228" i="1"/>
  <c r="AP231" i="1"/>
  <c r="AY231" i="1"/>
  <c r="AZ231" i="1"/>
  <c r="AP330" i="1"/>
  <c r="AY330" i="1"/>
  <c r="AZ330" i="1"/>
  <c r="AP178" i="1"/>
  <c r="AY178" i="1"/>
  <c r="AZ178" i="1"/>
  <c r="AP249" i="1"/>
  <c r="AY249" i="1"/>
  <c r="AZ249" i="1"/>
  <c r="AP42" i="1"/>
  <c r="AY42" i="1"/>
  <c r="AZ42" i="1"/>
  <c r="AP264" i="1"/>
  <c r="AY264" i="1"/>
  <c r="AZ264" i="1"/>
  <c r="AP116" i="1"/>
  <c r="AY116" i="1"/>
  <c r="AZ116" i="1"/>
  <c r="AP271" i="1"/>
  <c r="AY271" i="1"/>
  <c r="AZ271" i="1"/>
  <c r="AP222" i="1"/>
  <c r="AY222" i="1"/>
  <c r="AZ222" i="1"/>
  <c r="AP72" i="1"/>
  <c r="AY72" i="1"/>
  <c r="AZ72" i="1"/>
  <c r="AP342" i="1"/>
  <c r="AY342" i="1"/>
  <c r="AZ342" i="1"/>
  <c r="AP17" i="1"/>
  <c r="AY17" i="1"/>
  <c r="AZ17" i="1"/>
  <c r="AP174" i="1"/>
  <c r="AY174" i="1"/>
  <c r="AZ174" i="1"/>
  <c r="AP111" i="1"/>
  <c r="AY111" i="1"/>
  <c r="AZ111" i="1"/>
  <c r="AP65" i="1"/>
  <c r="AY65" i="1"/>
  <c r="AZ65" i="1"/>
  <c r="AP122" i="1"/>
  <c r="AY122" i="1"/>
  <c r="AZ122" i="1"/>
  <c r="AP187" i="1"/>
  <c r="AY187" i="1"/>
  <c r="AZ187" i="1"/>
  <c r="AP142" i="1"/>
  <c r="AY142" i="1"/>
  <c r="AZ142" i="1"/>
  <c r="AP278" i="1"/>
  <c r="AY278" i="1"/>
  <c r="AZ278" i="1"/>
  <c r="AP267" i="1"/>
  <c r="AY267" i="1"/>
  <c r="AZ267" i="1"/>
  <c r="AP307" i="1"/>
  <c r="AY307" i="1"/>
  <c r="AZ307" i="1"/>
  <c r="AP75" i="1"/>
  <c r="AY75" i="1"/>
  <c r="AZ75" i="1"/>
  <c r="AP134" i="1"/>
  <c r="AY134" i="1"/>
  <c r="AZ134" i="1"/>
  <c r="AP79" i="1"/>
  <c r="AY79" i="1"/>
  <c r="AZ79" i="1"/>
  <c r="AP121" i="1"/>
  <c r="AY121" i="1"/>
  <c r="AZ121" i="1"/>
  <c r="AP27" i="1"/>
  <c r="AY27" i="1"/>
  <c r="AZ27" i="1"/>
  <c r="AP10" i="1"/>
  <c r="AY10" i="1"/>
  <c r="AZ10" i="1"/>
  <c r="AP293" i="1"/>
  <c r="AY293" i="1"/>
  <c r="AZ293" i="1"/>
  <c r="AP253" i="1"/>
  <c r="AY253" i="1"/>
  <c r="AZ253" i="1"/>
  <c r="AP83" i="1"/>
  <c r="AY83" i="1"/>
  <c r="AZ83" i="1"/>
  <c r="AP262" i="1"/>
  <c r="AY262" i="1"/>
  <c r="AZ262" i="1"/>
  <c r="AP279" i="1"/>
  <c r="AY279" i="1"/>
  <c r="AZ279" i="1"/>
  <c r="AP195" i="1"/>
  <c r="AY195" i="1"/>
  <c r="AZ195" i="1"/>
  <c r="AP248" i="1"/>
  <c r="AY248" i="1"/>
  <c r="AZ248" i="1"/>
  <c r="AP250" i="1"/>
  <c r="AY250" i="1"/>
  <c r="AZ250" i="1"/>
  <c r="AP107" i="1"/>
  <c r="AY107" i="1"/>
  <c r="AZ107" i="1"/>
  <c r="AP60" i="1"/>
  <c r="AY60" i="1"/>
  <c r="AZ60" i="1"/>
  <c r="AP54" i="1"/>
  <c r="AY54" i="1"/>
  <c r="AZ54" i="1"/>
  <c r="AP39" i="1"/>
  <c r="AY39" i="1"/>
  <c r="AZ39" i="1"/>
  <c r="AP257" i="1"/>
  <c r="AY257" i="1"/>
  <c r="AZ257" i="1"/>
  <c r="AP126" i="1"/>
  <c r="AY126" i="1"/>
  <c r="AZ126" i="1"/>
  <c r="AP98" i="1"/>
  <c r="AY98" i="1"/>
  <c r="AZ98" i="1"/>
  <c r="AP23" i="1"/>
  <c r="AY23" i="1"/>
  <c r="AZ23" i="1"/>
  <c r="AP343" i="1"/>
  <c r="AY343" i="1"/>
  <c r="AZ343" i="1"/>
  <c r="AP277" i="1"/>
  <c r="AY277" i="1"/>
  <c r="AZ277" i="1"/>
  <c r="AP96" i="1"/>
  <c r="AY96" i="1"/>
  <c r="AZ96" i="1"/>
  <c r="AP349" i="1"/>
  <c r="AY349" i="1"/>
  <c r="AZ349" i="1"/>
  <c r="AP119" i="1"/>
  <c r="AY119" i="1"/>
  <c r="AZ119" i="1"/>
  <c r="AP238" i="1"/>
  <c r="AY238" i="1"/>
  <c r="AZ238" i="1"/>
  <c r="AP99" i="1"/>
  <c r="AY99" i="1"/>
  <c r="AZ99" i="1"/>
  <c r="AP89" i="1"/>
  <c r="AY89" i="1"/>
  <c r="AZ89" i="1"/>
  <c r="AP274" i="1"/>
  <c r="AY274" i="1"/>
  <c r="AZ274" i="1"/>
  <c r="AP367" i="1"/>
  <c r="AY367" i="1"/>
  <c r="AZ367" i="1"/>
  <c r="E54" i="3"/>
  <c r="G27" i="4"/>
  <c r="G28" i="4"/>
  <c r="G29" i="4"/>
  <c r="G31" i="4"/>
  <c r="G30" i="4"/>
  <c r="AG207" i="1"/>
  <c r="AF207" i="1"/>
  <c r="AG316" i="1"/>
  <c r="AF316" i="1"/>
  <c r="AG265" i="1"/>
  <c r="AF265" i="1"/>
  <c r="AF105" i="1"/>
  <c r="AG105" i="1"/>
  <c r="AF68" i="1"/>
  <c r="AG68" i="1"/>
  <c r="AF78" i="1"/>
  <c r="AF23" i="1"/>
  <c r="AG164" i="1"/>
  <c r="AF164" i="1"/>
  <c r="B159" i="3"/>
  <c r="B169" i="3"/>
  <c r="B171" i="3"/>
  <c r="B164" i="3"/>
  <c r="B167" i="3"/>
  <c r="B157" i="3"/>
  <c r="B172" i="3"/>
  <c r="B163" i="3"/>
  <c r="B165" i="3"/>
  <c r="B161" i="3"/>
  <c r="B174" i="3"/>
  <c r="B158" i="3"/>
  <c r="B166" i="3"/>
  <c r="B156" i="3"/>
  <c r="B170" i="3"/>
  <c r="B175" i="3"/>
  <c r="B160" i="3"/>
  <c r="B162" i="3"/>
  <c r="B173" i="3"/>
  <c r="B168" i="3"/>
  <c r="AG130" i="1"/>
  <c r="AG165" i="1"/>
  <c r="AF165" i="1"/>
  <c r="AG9" i="1"/>
  <c r="AG128" i="1"/>
  <c r="AF128" i="1"/>
  <c r="AG160" i="1"/>
  <c r="AG133" i="1"/>
  <c r="AF133" i="1"/>
  <c r="AG249" i="1"/>
  <c r="AF249" i="1"/>
  <c r="AL175" i="1"/>
  <c r="AL275" i="1"/>
  <c r="AL68" i="1"/>
  <c r="B205" i="3"/>
  <c r="AF387" i="1"/>
  <c r="AF266" i="1"/>
  <c r="AG126" i="1"/>
  <c r="AG264" i="1"/>
  <c r="AF81" i="1"/>
  <c r="AG380" i="1"/>
  <c r="AF268" i="1"/>
  <c r="AF13" i="1"/>
  <c r="AG158" i="1"/>
  <c r="AF158" i="1"/>
  <c r="AG224" i="1"/>
  <c r="AF251" i="1"/>
  <c r="AG197" i="1"/>
  <c r="AF294" i="1"/>
  <c r="AG294" i="1"/>
  <c r="AF340" i="1"/>
  <c r="AG340" i="1"/>
  <c r="AG107" i="1"/>
  <c r="AF107" i="1"/>
  <c r="AG136" i="1"/>
  <c r="AF136" i="1"/>
  <c r="B188" i="3"/>
  <c r="B191" i="3"/>
  <c r="B196" i="3"/>
  <c r="B192" i="3"/>
  <c r="B194" i="3"/>
  <c r="B199" i="3"/>
  <c r="B206" i="3"/>
  <c r="B190" i="3"/>
  <c r="B200" i="3"/>
  <c r="B198" i="3"/>
  <c r="B203" i="3"/>
  <c r="AG280" i="1"/>
  <c r="AF280" i="1"/>
  <c r="AG79" i="1"/>
  <c r="AF79" i="1"/>
  <c r="AG120" i="1"/>
  <c r="AG273" i="1"/>
  <c r="AL220" i="1"/>
  <c r="AL272" i="1"/>
  <c r="AY334" i="1"/>
  <c r="AG284" i="1"/>
  <c r="AG317" i="1"/>
  <c r="AG309" i="1"/>
  <c r="AG196" i="1"/>
  <c r="AG226" i="1"/>
  <c r="AG16" i="1"/>
  <c r="AF261" i="1"/>
  <c r="AG261" i="1"/>
  <c r="AG258" i="1"/>
  <c r="AF45" i="1"/>
  <c r="AG45" i="1"/>
  <c r="AG166" i="1"/>
  <c r="AF356" i="1"/>
  <c r="AG203" i="1"/>
  <c r="AF203" i="1"/>
  <c r="AF54" i="1"/>
  <c r="AG54" i="1"/>
  <c r="AF355" i="1"/>
  <c r="AG233" i="1"/>
  <c r="AF233" i="1"/>
  <c r="AG209" i="1"/>
  <c r="AF209" i="1"/>
  <c r="AF161" i="1"/>
  <c r="AF344" i="1"/>
  <c r="AG344" i="1"/>
  <c r="AG53" i="1"/>
  <c r="AF53" i="1"/>
  <c r="AG50" i="1"/>
  <c r="AF50" i="1"/>
  <c r="B189" i="3"/>
  <c r="AF385" i="1"/>
  <c r="AG216" i="1"/>
  <c r="AG254" i="1"/>
  <c r="AF254" i="1"/>
  <c r="AF67" i="1"/>
  <c r="AF352" i="1"/>
  <c r="AG352" i="1"/>
  <c r="AG362" i="1"/>
  <c r="AF362" i="1"/>
  <c r="AG201" i="1"/>
  <c r="AF201" i="1"/>
  <c r="AL324" i="1"/>
  <c r="AL140" i="1"/>
  <c r="AG182" i="1"/>
  <c r="AF36" i="1"/>
  <c r="AG183" i="1"/>
  <c r="AF183" i="1"/>
  <c r="AF386" i="1"/>
  <c r="AG303" i="1"/>
  <c r="AF303" i="1"/>
  <c r="AF162" i="1"/>
  <c r="AG162" i="1"/>
  <c r="AG29" i="1"/>
  <c r="AF108" i="1"/>
  <c r="AF211" i="1"/>
  <c r="AG211" i="1"/>
  <c r="AF88" i="1"/>
  <c r="AG88" i="1"/>
  <c r="AG51" i="1"/>
  <c r="AF51" i="1"/>
  <c r="AF178" i="1"/>
  <c r="AG178" i="1"/>
  <c r="AG229" i="1"/>
  <c r="AF131" i="1"/>
  <c r="AG131" i="1"/>
  <c r="AG63" i="1"/>
  <c r="AF63" i="1"/>
  <c r="AF324" i="1"/>
  <c r="AG324" i="1"/>
  <c r="AF175" i="1"/>
  <c r="AG175" i="1"/>
  <c r="AG206" i="1"/>
  <c r="AF236" i="1"/>
  <c r="AF351" i="1"/>
  <c r="AG351" i="1"/>
  <c r="AG267" i="1"/>
  <c r="AF267" i="1"/>
  <c r="AF363" i="1"/>
  <c r="AG363" i="1"/>
  <c r="AF77" i="1"/>
  <c r="AG77" i="1"/>
  <c r="AF91" i="1"/>
  <c r="AG91" i="1"/>
  <c r="AG10" i="1"/>
  <c r="AG189" i="1"/>
  <c r="AF189" i="1"/>
  <c r="AG288" i="1"/>
  <c r="AF288" i="1"/>
  <c r="AG40" i="1"/>
  <c r="AF40" i="1"/>
  <c r="AG44" i="1"/>
  <c r="AF44" i="1"/>
  <c r="B204" i="3"/>
  <c r="AF27" i="1"/>
  <c r="AF232" i="1"/>
  <c r="AG232" i="1"/>
  <c r="AL369" i="1"/>
  <c r="AL112" i="1"/>
  <c r="AL289" i="1"/>
  <c r="B193" i="3"/>
  <c r="AF235" i="1"/>
  <c r="AG109" i="1"/>
  <c r="AF73" i="1"/>
  <c r="AG73" i="1"/>
  <c r="AG299" i="1"/>
  <c r="AF299" i="1"/>
  <c r="AG276" i="1"/>
  <c r="AF269" i="1"/>
  <c r="AG269" i="1"/>
  <c r="AF135" i="1"/>
  <c r="AG135" i="1"/>
  <c r="AF58" i="1"/>
  <c r="AG195" i="1"/>
  <c r="AF195" i="1"/>
  <c r="AG221" i="1"/>
  <c r="AF221" i="1"/>
  <c r="AG228" i="1"/>
  <c r="AF220" i="1"/>
  <c r="AG220" i="1"/>
  <c r="AG290" i="1"/>
  <c r="AF290" i="1"/>
  <c r="AG315" i="1"/>
  <c r="Z4" i="1"/>
  <c r="X3" i="1"/>
  <c r="X4" i="1"/>
  <c r="X6" i="1"/>
  <c r="AE369" i="1"/>
  <c r="X5" i="1"/>
  <c r="X7" i="1"/>
  <c r="AM340" i="1"/>
  <c r="AM140" i="1"/>
  <c r="B223" i="3"/>
  <c r="B230" i="3"/>
  <c r="B218" i="3"/>
  <c r="B231" i="3"/>
  <c r="B222" i="3"/>
  <c r="B234" i="3"/>
  <c r="B221" i="3"/>
  <c r="B233" i="3"/>
  <c r="B226" i="3"/>
  <c r="B225" i="3"/>
  <c r="B224" i="3"/>
  <c r="G95" i="4"/>
  <c r="G96" i="4"/>
  <c r="AL384" i="1"/>
  <c r="AL59" i="1"/>
  <c r="AL310" i="1"/>
  <c r="B59" i="4"/>
  <c r="B161" i="4"/>
  <c r="G163" i="4"/>
  <c r="B195" i="4"/>
  <c r="F118" i="3"/>
  <c r="AL145" i="1"/>
  <c r="AL380" i="1"/>
  <c r="AL290" i="1"/>
  <c r="AL201" i="1"/>
  <c r="AL178" i="1"/>
  <c r="AL53" i="1"/>
  <c r="AL267" i="1"/>
  <c r="AL154" i="1"/>
  <c r="AL284" i="1"/>
  <c r="AL31" i="1"/>
  <c r="AL285" i="1"/>
  <c r="AL32" i="1"/>
  <c r="AL218" i="1"/>
  <c r="AL85" i="1"/>
  <c r="AL309" i="1"/>
  <c r="AL62" i="1"/>
  <c r="AL115" i="1"/>
  <c r="AL261" i="1"/>
  <c r="AL357" i="1"/>
  <c r="AL114" i="1"/>
  <c r="AL374" i="1"/>
  <c r="AL346" i="1"/>
  <c r="AL167" i="1"/>
  <c r="AL9" i="1"/>
  <c r="AL148" i="1"/>
  <c r="AL242" i="1"/>
  <c r="AL292" i="1"/>
  <c r="AL132" i="1"/>
  <c r="AL234" i="1"/>
  <c r="AL44" i="1"/>
  <c r="AL138" i="1"/>
  <c r="AL294" i="1"/>
  <c r="AL342" i="1"/>
  <c r="AL338" i="1"/>
  <c r="AL352" i="1"/>
  <c r="AL326" i="1"/>
  <c r="AL96" i="1"/>
  <c r="AL219" i="1"/>
  <c r="AL136" i="1"/>
  <c r="AL264" i="1"/>
  <c r="AL103" i="1"/>
  <c r="AL193" i="1"/>
  <c r="AL254" i="1"/>
  <c r="AL55" i="1"/>
  <c r="AL241" i="1"/>
  <c r="AL69" i="1"/>
  <c r="AL277" i="1"/>
  <c r="AL337" i="1"/>
  <c r="AL371" i="1"/>
  <c r="AL325" i="1"/>
  <c r="AL47" i="1"/>
  <c r="AL278" i="1"/>
  <c r="AL134" i="1"/>
  <c r="AL215" i="1"/>
  <c r="AL336" i="1"/>
  <c r="AL286" i="1"/>
  <c r="AL99" i="1"/>
  <c r="AL194" i="1"/>
  <c r="AL237" i="1"/>
  <c r="AL49" i="1"/>
  <c r="AL274" i="1"/>
  <c r="AL217" i="1"/>
  <c r="AL71" i="1"/>
  <c r="AL111" i="1"/>
  <c r="AL161" i="1"/>
  <c r="AL246" i="1"/>
  <c r="AL213" i="1"/>
  <c r="AL50" i="1"/>
  <c r="AL124" i="1"/>
  <c r="AL106" i="1"/>
  <c r="AL58" i="1"/>
  <c r="AL206" i="1"/>
  <c r="AL45" i="1"/>
  <c r="AL301" i="1"/>
  <c r="AL61" i="1"/>
  <c r="AL13" i="1"/>
  <c r="AL382" i="1"/>
  <c r="AL28" i="1"/>
  <c r="AL66" i="1"/>
  <c r="AL367" i="1"/>
  <c r="AL258" i="1"/>
  <c r="AL83" i="1"/>
  <c r="AL128" i="1"/>
  <c r="AL383" i="1"/>
  <c r="AL133" i="1"/>
  <c r="AL97" i="1"/>
  <c r="AL17" i="1"/>
  <c r="AL123" i="1"/>
  <c r="AL265" i="1"/>
  <c r="AL146" i="1"/>
  <c r="AL249" i="1"/>
  <c r="AL323" i="1"/>
  <c r="AL271" i="1"/>
  <c r="AL20" i="1"/>
  <c r="AL320" i="1"/>
  <c r="AL82" i="1"/>
  <c r="AL263" i="1"/>
  <c r="AL170" i="1"/>
  <c r="AL372" i="1"/>
  <c r="AL81" i="1"/>
  <c r="AL37" i="1"/>
  <c r="AL226" i="1"/>
  <c r="AL347" i="1"/>
  <c r="AL137" i="1"/>
  <c r="AL139" i="1"/>
  <c r="AL315" i="1"/>
  <c r="AL187" i="1"/>
  <c r="AL181" i="1"/>
  <c r="AL358" i="1"/>
  <c r="AL307" i="1"/>
  <c r="AL152" i="1"/>
  <c r="AL164" i="1"/>
  <c r="AL376" i="1"/>
  <c r="AL293" i="1"/>
  <c r="AL120" i="1"/>
  <c r="AL343" i="1"/>
  <c r="AL107" i="1"/>
  <c r="AL334" i="1"/>
  <c r="AL150" i="1"/>
  <c r="AL48" i="1"/>
  <c r="AL322" i="1"/>
  <c r="AL287" i="1"/>
  <c r="AL319" i="1"/>
  <c r="AL253" i="1"/>
  <c r="AL190" i="1"/>
  <c r="AL262" i="1"/>
  <c r="AL363" i="1"/>
  <c r="AL144" i="1"/>
  <c r="AL46" i="1"/>
  <c r="AL169" i="1"/>
  <c r="AL259" i="1"/>
  <c r="AL78" i="1"/>
  <c r="AL91" i="1"/>
  <c r="AL36" i="1"/>
  <c r="AL388" i="1"/>
  <c r="AL173" i="1"/>
  <c r="AL119" i="1"/>
  <c r="AL199" i="1"/>
  <c r="AL268" i="1"/>
  <c r="AL92" i="1"/>
  <c r="AL375" i="1"/>
  <c r="AL39" i="1"/>
  <c r="AL276" i="1"/>
  <c r="AL12" i="1"/>
  <c r="AL101" i="1"/>
  <c r="AL143" i="1"/>
  <c r="AL318" i="1"/>
  <c r="AL313" i="1"/>
  <c r="AL305" i="1"/>
  <c r="AL93" i="1"/>
  <c r="AL332" i="1"/>
  <c r="AL185" i="1"/>
  <c r="AL200" i="1"/>
  <c r="AL340" i="1"/>
  <c r="AL60" i="1"/>
  <c r="AL95" i="1"/>
  <c r="AL163" i="1"/>
  <c r="AL15" i="1"/>
  <c r="AL195" i="1"/>
  <c r="AL160" i="1"/>
  <c r="AL282" i="1"/>
  <c r="AL197" i="1"/>
  <c r="AL368" i="1"/>
  <c r="AL328" i="1"/>
  <c r="AL159" i="1"/>
  <c r="AL156" i="1"/>
  <c r="AL121" i="1"/>
  <c r="AL196" i="1"/>
  <c r="AL302" i="1"/>
  <c r="AL64" i="1"/>
  <c r="AL231" i="1"/>
  <c r="AL210" i="1"/>
  <c r="AL166" i="1"/>
  <c r="AL117" i="1"/>
  <c r="AL122" i="1"/>
  <c r="AL155" i="1"/>
  <c r="AL88" i="1"/>
  <c r="AL18" i="1"/>
  <c r="AL165" i="1"/>
  <c r="AL174" i="1"/>
  <c r="AL364" i="1"/>
  <c r="AL135" i="1"/>
  <c r="AL260" i="1"/>
  <c r="AL225" i="1"/>
  <c r="AL257" i="1"/>
  <c r="AL238" i="1"/>
  <c r="AL110" i="1"/>
  <c r="AL30" i="1"/>
  <c r="AL299" i="1"/>
  <c r="AL385" i="1"/>
  <c r="AL65" i="1"/>
  <c r="AL158" i="1"/>
  <c r="AL330" i="1"/>
  <c r="AL269" i="1"/>
  <c r="AL355" i="1"/>
  <c r="AL306" i="1"/>
  <c r="AL26" i="1"/>
  <c r="AL109" i="1"/>
  <c r="AL339" i="1"/>
  <c r="AL327" i="1"/>
  <c r="AL105" i="1"/>
  <c r="AL348" i="1"/>
  <c r="AL236" i="1"/>
  <c r="AL84" i="1"/>
  <c r="AL356" i="1"/>
  <c r="AL245" i="1"/>
  <c r="AL108" i="1"/>
  <c r="AL377" i="1"/>
  <c r="AL252" i="1"/>
  <c r="AL168" i="1"/>
  <c r="AL41" i="1"/>
  <c r="AL130" i="1"/>
  <c r="AL288" i="1"/>
  <c r="AL38" i="1"/>
  <c r="AL248" i="1"/>
  <c r="AL350" i="1"/>
  <c r="AL349" i="1"/>
  <c r="AL51" i="1"/>
  <c r="AL25" i="1"/>
  <c r="AL126" i="1"/>
  <c r="AL183" i="1"/>
  <c r="AL214" i="1"/>
  <c r="AL378" i="1"/>
  <c r="AL14" i="1"/>
  <c r="AL162" i="1"/>
  <c r="AL344" i="1"/>
  <c r="AL10" i="1"/>
  <c r="AL153" i="1"/>
  <c r="AL222" i="1"/>
  <c r="AL224" i="1"/>
  <c r="AL43" i="1"/>
  <c r="AL211" i="1"/>
  <c r="AL191" i="1"/>
  <c r="AL40" i="1"/>
  <c r="AL387" i="1"/>
  <c r="AL89" i="1"/>
  <c r="AL102" i="1"/>
  <c r="AL361" i="1"/>
  <c r="AL321" i="1"/>
  <c r="AL216" i="1"/>
  <c r="AL100" i="1"/>
  <c r="AL298" i="1"/>
  <c r="AL381" i="1"/>
  <c r="AL250" i="1"/>
  <c r="AL57" i="1"/>
  <c r="AL19" i="1"/>
  <c r="AL125" i="1"/>
  <c r="AL379" i="1"/>
  <c r="AL296" i="1"/>
  <c r="AL157" i="1"/>
  <c r="AL202" i="1"/>
  <c r="AL29" i="1"/>
  <c r="AL329" i="1"/>
  <c r="AL63" i="1"/>
  <c r="AL131" i="1"/>
  <c r="AL94" i="1"/>
  <c r="AL316" i="1"/>
  <c r="AL221" i="1"/>
  <c r="AL205" i="1"/>
  <c r="AL186" i="1"/>
  <c r="AL11" i="1"/>
  <c r="AL118" i="1"/>
  <c r="AL331" i="1"/>
  <c r="AL79" i="1"/>
  <c r="AL184" i="1"/>
  <c r="AL229" i="1"/>
  <c r="AL291" i="1"/>
  <c r="AL247" i="1"/>
  <c r="AL209" i="1"/>
  <c r="AL180" i="1"/>
  <c r="AL354" i="1"/>
  <c r="AL303" i="1"/>
  <c r="AL273" i="1"/>
  <c r="AL74" i="1"/>
  <c r="AL228" i="1"/>
  <c r="AL232" i="1"/>
  <c r="AL212" i="1"/>
  <c r="AL21" i="1"/>
  <c r="AL129" i="1"/>
  <c r="AL283" i="1"/>
  <c r="AL54" i="1"/>
  <c r="AL149" i="1"/>
  <c r="AL142" i="1"/>
  <c r="AL113" i="1"/>
  <c r="AL80" i="1"/>
  <c r="AL317" i="1"/>
  <c r="AL300" i="1"/>
  <c r="AL345" i="1"/>
  <c r="AL104" i="1"/>
  <c r="AL33" i="1"/>
  <c r="AL189" i="1"/>
  <c r="AL147" i="1"/>
  <c r="AL280" i="1"/>
  <c r="AL314" i="1"/>
  <c r="AL75" i="1"/>
  <c r="AL207" i="1"/>
  <c r="AL370" i="1"/>
  <c r="AL279" i="1"/>
  <c r="AL116" i="1"/>
  <c r="AL341" i="1"/>
  <c r="AL42" i="1"/>
  <c r="AL52" i="1"/>
  <c r="AL23" i="1"/>
  <c r="AL73" i="1"/>
  <c r="AL77" i="1"/>
  <c r="AL239" i="1"/>
  <c r="AL227" i="1"/>
  <c r="AL255" i="1"/>
  <c r="AL244" i="1"/>
  <c r="AL182" i="1"/>
  <c r="AL208" i="1"/>
  <c r="AL353" i="1"/>
  <c r="AL243" i="1"/>
  <c r="AL192" i="1"/>
  <c r="AL266" i="1"/>
  <c r="Z6" i="1"/>
  <c r="AL251" i="1"/>
  <c r="AL281" i="1"/>
  <c r="AL308" i="1"/>
  <c r="AL204" i="1"/>
  <c r="AL297" i="1"/>
  <c r="AL386" i="1"/>
  <c r="AL177" i="1"/>
  <c r="AL203" i="1"/>
  <c r="AL90" i="1"/>
  <c r="AL72" i="1"/>
  <c r="AL127" i="1"/>
  <c r="AL56" i="1"/>
  <c r="AL24" i="1"/>
  <c r="AL233" i="1"/>
  <c r="AL67" i="1"/>
  <c r="AL223" i="1"/>
  <c r="AL188" i="1"/>
  <c r="AL141" i="1"/>
  <c r="AL351" i="1"/>
  <c r="AL312" i="1"/>
  <c r="AL366" i="1"/>
  <c r="AL230" i="1"/>
  <c r="AL365" i="1"/>
  <c r="AL311" i="1"/>
  <c r="AL198" i="1"/>
  <c r="AL333" i="1"/>
  <c r="AL373" i="1"/>
  <c r="AL98" i="1"/>
  <c r="AL235" i="1"/>
  <c r="AL70" i="1"/>
  <c r="AL176" i="1"/>
  <c r="AL171" i="1"/>
  <c r="AL359" i="1"/>
  <c r="AL22" i="1"/>
  <c r="AL270" i="1"/>
  <c r="F116" i="3"/>
  <c r="F117" i="3"/>
  <c r="F119" i="3"/>
  <c r="F120" i="3"/>
  <c r="B120" i="3"/>
  <c r="B102" i="2"/>
  <c r="G104" i="2"/>
  <c r="B251" i="2"/>
  <c r="G254" i="2"/>
  <c r="B139" i="2"/>
  <c r="G144" i="2"/>
  <c r="B213" i="2"/>
  <c r="G216" i="2"/>
  <c r="AM194" i="1"/>
  <c r="AM112" i="1"/>
  <c r="AM220" i="1"/>
  <c r="AM290" i="1"/>
  <c r="AM14" i="1"/>
  <c r="AM197" i="1"/>
  <c r="AM60" i="1"/>
  <c r="AM98" i="1"/>
  <c r="AM351" i="1"/>
  <c r="AM375" i="1"/>
  <c r="AM345" i="1"/>
  <c r="AM144" i="1"/>
  <c r="AM282" i="1"/>
  <c r="AM82" i="1"/>
  <c r="AM288" i="1"/>
  <c r="AM344" i="1"/>
  <c r="AM278" i="1"/>
  <c r="AM115" i="1"/>
  <c r="AM374" i="1"/>
  <c r="AM191" i="1"/>
  <c r="AM324" i="1"/>
  <c r="AM216" i="1"/>
  <c r="AM334" i="1"/>
  <c r="AM250" i="1"/>
  <c r="AM131" i="1"/>
  <c r="AM261" i="1"/>
  <c r="AM218" i="1"/>
  <c r="AM125" i="1"/>
  <c r="AM215" i="1"/>
  <c r="AM91" i="1"/>
  <c r="AM248" i="1"/>
  <c r="AM297" i="1"/>
  <c r="AM370" i="1"/>
  <c r="AM299" i="1"/>
  <c r="AM89" i="1"/>
  <c r="AM271" i="1"/>
  <c r="AM304" i="1"/>
  <c r="AM371" i="1"/>
  <c r="AM104" i="1"/>
  <c r="AM59" i="1"/>
  <c r="AM155" i="1"/>
  <c r="AM83" i="1"/>
  <c r="B65" i="2"/>
  <c r="B176" i="2"/>
  <c r="G182" i="2"/>
  <c r="AM61" i="1"/>
  <c r="AM135" i="1"/>
  <c r="AM180" i="1"/>
  <c r="AM219" i="1"/>
  <c r="AM206" i="1"/>
  <c r="AM337" i="1"/>
  <c r="AM187" i="1"/>
  <c r="AM137" i="1"/>
  <c r="AM62" i="1"/>
  <c r="AM227" i="1"/>
  <c r="AM70" i="1"/>
  <c r="AM87" i="1"/>
  <c r="AM172" i="1"/>
  <c r="AM384" i="1"/>
  <c r="AM148" i="1"/>
  <c r="AM209" i="1"/>
  <c r="AM365" i="1"/>
  <c r="AM142" i="1"/>
  <c r="AM208" i="1"/>
  <c r="AM336" i="1"/>
  <c r="AM314" i="1"/>
  <c r="AM326" i="1"/>
  <c r="AM81" i="1"/>
  <c r="AM217" i="1"/>
  <c r="AM383" i="1"/>
  <c r="AM156" i="1"/>
  <c r="AM332" i="1"/>
  <c r="AM279" i="1"/>
  <c r="AM152" i="1"/>
  <c r="AM136" i="1"/>
  <c r="AM331" i="1"/>
  <c r="AM157" i="1"/>
  <c r="AM101" i="1"/>
  <c r="AM23" i="1"/>
  <c r="AM176" i="1"/>
  <c r="AM116" i="1"/>
  <c r="AM313" i="1"/>
  <c r="AM322" i="1"/>
  <c r="AM318" i="1"/>
  <c r="AM80" i="1"/>
  <c r="AM303" i="1"/>
  <c r="AM346" i="1"/>
  <c r="AM335" i="1"/>
  <c r="AM127" i="1"/>
  <c r="AM256" i="1"/>
  <c r="AM321" i="1"/>
  <c r="AM247" i="1"/>
  <c r="AM319" i="1"/>
  <c r="AM285" i="1"/>
  <c r="AM15" i="1"/>
  <c r="AM310" i="1"/>
  <c r="AM166" i="1"/>
  <c r="AM254" i="1"/>
  <c r="AM55" i="1"/>
  <c r="AM373" i="1"/>
  <c r="AM71" i="1"/>
  <c r="AM242" i="1"/>
  <c r="AM283" i="1"/>
  <c r="AM333" i="1"/>
  <c r="AM192" i="1"/>
  <c r="AM377" i="1"/>
  <c r="AM128" i="1"/>
  <c r="AM264" i="1"/>
  <c r="AM107" i="1"/>
  <c r="AM28" i="1"/>
  <c r="AM276" i="1"/>
  <c r="AM327" i="1"/>
  <c r="AM41" i="1"/>
  <c r="AM298" i="1"/>
  <c r="AM221" i="1"/>
  <c r="AM353" i="1"/>
  <c r="AM85" i="1"/>
  <c r="AM339" i="1"/>
  <c r="AM246" i="1"/>
  <c r="AM193" i="1"/>
  <c r="AM315" i="1"/>
  <c r="AM170" i="1"/>
  <c r="AM75" i="1"/>
  <c r="AM173" i="1"/>
  <c r="AM307" i="1"/>
  <c r="AM158" i="1"/>
  <c r="AM121" i="1"/>
  <c r="AM233" i="1"/>
  <c r="AM202" i="1"/>
  <c r="AM26" i="1"/>
  <c r="AM244" i="1"/>
  <c r="AM11" i="1"/>
  <c r="AM229" i="1"/>
  <c r="AM27" i="1"/>
  <c r="AM222" i="1"/>
  <c r="AM133" i="1"/>
  <c r="AM316" i="1"/>
  <c r="AM111" i="1"/>
  <c r="AM171" i="1"/>
  <c r="AM150" i="1"/>
  <c r="AM37" i="1"/>
  <c r="AM198" i="1"/>
  <c r="AM354" i="1"/>
  <c r="AM182" i="1"/>
  <c r="AM280" i="1"/>
  <c r="AM385" i="1"/>
  <c r="AM102" i="1"/>
  <c r="AM243" i="1"/>
  <c r="AM379" i="1"/>
  <c r="AM262" i="1"/>
  <c r="AM356" i="1"/>
  <c r="AM306" i="1"/>
  <c r="AM84" i="1"/>
  <c r="AM268" i="1"/>
  <c r="AM292" i="1"/>
  <c r="AM22" i="1"/>
  <c r="AM99" i="1"/>
  <c r="AM212" i="1"/>
  <c r="AM78" i="1"/>
  <c r="AM317" i="1"/>
  <c r="AM109" i="1"/>
  <c r="AM179" i="1"/>
  <c r="AM12" i="1"/>
  <c r="AM274" i="1"/>
  <c r="AM240" i="1"/>
  <c r="AM263" i="1"/>
  <c r="AM309" i="1"/>
  <c r="AM43" i="1"/>
  <c r="AM126" i="1"/>
  <c r="AM65" i="1"/>
  <c r="AM301" i="1"/>
  <c r="AM361" i="1"/>
  <c r="AM312" i="1"/>
  <c r="AM380" i="1"/>
  <c r="AM63" i="1"/>
  <c r="AM72" i="1"/>
  <c r="AM382" i="1"/>
  <c r="AM31" i="1"/>
  <c r="AM18" i="1"/>
  <c r="AM381" i="1"/>
  <c r="AM33" i="1"/>
  <c r="AM45" i="1"/>
  <c r="AM308" i="1"/>
  <c r="AM230" i="1"/>
  <c r="AM153" i="1"/>
  <c r="AM323" i="1"/>
  <c r="AM114" i="1"/>
  <c r="AM25" i="1"/>
  <c r="AM342" i="1"/>
  <c r="AM120" i="1"/>
  <c r="AM225" i="1"/>
  <c r="AM119" i="1"/>
  <c r="AM13" i="1"/>
  <c r="AM175" i="1"/>
  <c r="AM295" i="1"/>
  <c r="AM51" i="1"/>
  <c r="AM372" i="1"/>
  <c r="AM58" i="1"/>
  <c r="AM106" i="1"/>
  <c r="AM207" i="1"/>
  <c r="AM103" i="1"/>
  <c r="AM328" i="1"/>
  <c r="AM281" i="1"/>
  <c r="AM224" i="1"/>
  <c r="AM154" i="1"/>
  <c r="AM145" i="1"/>
  <c r="AM164" i="1"/>
  <c r="AM44" i="1"/>
  <c r="AM36" i="1"/>
  <c r="AM338" i="1"/>
  <c r="AM9" i="1"/>
  <c r="AM134" i="1"/>
  <c r="AM358" i="1"/>
  <c r="AM343" i="1"/>
  <c r="AM305" i="1"/>
  <c r="AM349" i="1"/>
  <c r="AM357" i="1"/>
  <c r="AM201" i="1"/>
  <c r="AM122" i="1"/>
  <c r="AM205" i="1"/>
  <c r="AM249" i="1"/>
  <c r="AM257" i="1"/>
  <c r="AM92" i="1"/>
  <c r="AM10" i="1"/>
  <c r="AM293" i="1"/>
  <c r="AM226" i="1"/>
  <c r="AM234" i="1"/>
  <c r="AM251" i="1"/>
  <c r="AM238" i="1"/>
  <c r="AM269" i="1"/>
  <c r="AM258" i="1"/>
  <c r="AM69" i="1"/>
  <c r="AM362" i="1"/>
  <c r="AM266" i="1"/>
  <c r="AM178" i="1"/>
  <c r="AM110" i="1"/>
  <c r="AM199" i="1"/>
  <c r="AM265" i="1"/>
  <c r="AM67" i="1"/>
  <c r="AM143" i="1"/>
  <c r="AM30" i="1"/>
  <c r="AM386" i="1"/>
  <c r="AM302" i="1"/>
  <c r="AM141" i="1"/>
  <c r="AM123" i="1"/>
  <c r="AM236" i="1"/>
  <c r="AM185" i="1"/>
  <c r="AM68" i="1"/>
  <c r="AM77" i="1"/>
  <c r="AM355" i="1"/>
  <c r="AM350" i="1"/>
  <c r="AM53" i="1"/>
  <c r="AM167" i="1"/>
  <c r="AM117" i="1"/>
  <c r="AM369" i="1"/>
  <c r="AM363" i="1"/>
  <c r="AM341" i="1"/>
  <c r="AM86" i="1"/>
  <c r="AM232" i="1"/>
  <c r="AM16" i="1"/>
  <c r="AM330" i="1"/>
  <c r="AM294" i="1"/>
  <c r="AM253" i="1"/>
  <c r="AM132" i="1"/>
  <c r="AM190" i="1"/>
  <c r="AM259" i="1"/>
  <c r="AM34" i="1"/>
  <c r="AM88" i="1"/>
  <c r="AM46" i="1"/>
  <c r="AM160" i="1"/>
  <c r="AM267" i="1"/>
  <c r="AM348" i="1"/>
  <c r="AM29" i="1"/>
  <c r="AM52" i="1"/>
  <c r="AM74" i="1"/>
  <c r="AM378" i="1"/>
  <c r="AM352" i="1"/>
  <c r="AM113" i="1"/>
  <c r="AM241" i="1"/>
  <c r="AM40" i="1"/>
  <c r="AM21" i="1"/>
  <c r="AM367" i="1"/>
  <c r="AM169" i="1"/>
  <c r="AM329" i="1"/>
  <c r="AM73" i="1"/>
  <c r="AM376" i="1"/>
  <c r="AM118" i="1"/>
  <c r="AM311" i="1"/>
  <c r="AM124" i="1"/>
  <c r="AM162" i="1"/>
  <c r="AM159" i="1"/>
  <c r="AM272" i="1"/>
  <c r="AM57" i="1"/>
  <c r="AM129" i="1"/>
  <c r="AM47" i="1"/>
  <c r="AM97" i="1"/>
  <c r="AM17" i="1"/>
  <c r="AM359" i="1"/>
  <c r="AM270" i="1"/>
  <c r="AM139" i="1"/>
  <c r="AM183" i="1"/>
  <c r="AM100" i="1"/>
  <c r="AM203" i="1"/>
  <c r="AM211" i="1"/>
  <c r="AM196" i="1"/>
  <c r="AM368" i="1"/>
  <c r="AM237" i="1"/>
  <c r="AM105" i="1"/>
  <c r="AM138" i="1"/>
  <c r="AM90" i="1"/>
  <c r="AM93" i="1"/>
  <c r="AM186" i="1"/>
  <c r="AM255" i="1"/>
  <c r="AM108" i="1"/>
  <c r="AM184" i="1"/>
  <c r="AM149" i="1"/>
  <c r="AM95" i="1"/>
  <c r="AM388" i="1"/>
  <c r="AM94" i="1"/>
  <c r="AM66" i="1"/>
  <c r="AM239" i="1"/>
  <c r="AM223" i="1"/>
  <c r="AM35" i="1"/>
  <c r="AM165" i="1"/>
  <c r="AM19" i="1"/>
  <c r="AM39" i="1"/>
  <c r="AM210" i="1"/>
  <c r="AM174" i="1"/>
  <c r="AM195" i="1"/>
  <c r="AM48" i="1"/>
  <c r="AM366" i="1"/>
  <c r="AM189" i="1"/>
  <c r="AM213" i="1"/>
  <c r="AM188" i="1"/>
  <c r="AM231" i="1"/>
  <c r="AM245" i="1"/>
  <c r="AM42" i="1"/>
  <c r="AM289" i="1"/>
  <c r="AM161" i="1"/>
  <c r="AM277" i="1"/>
  <c r="AM287" i="1"/>
  <c r="AM56" i="1"/>
  <c r="AM347" i="1"/>
  <c r="AM325" i="1"/>
  <c r="AM252" i="1"/>
  <c r="AM387" i="1"/>
  <c r="AM147" i="1"/>
  <c r="AM163" i="1"/>
  <c r="AM235" i="1"/>
  <c r="AM286" i="1"/>
  <c r="AM260" i="1"/>
  <c r="AM320" i="1"/>
  <c r="AM64" i="1"/>
  <c r="AM200" i="1"/>
  <c r="AM49" i="1"/>
  <c r="AM364" i="1"/>
  <c r="AM38" i="1"/>
  <c r="AM275" i="1"/>
  <c r="AM181" i="1"/>
  <c r="AM177" i="1"/>
  <c r="AM146" i="1"/>
  <c r="AM168" i="1"/>
  <c r="AM300" i="1"/>
  <c r="AM204" i="1"/>
  <c r="AM360" i="1"/>
  <c r="AM79" i="1"/>
  <c r="AM20" i="1"/>
  <c r="AM214" i="1"/>
  <c r="AM291" i="1"/>
  <c r="AM130" i="1"/>
  <c r="AM273" i="1"/>
  <c r="AM151" i="1"/>
  <c r="AM284" i="1"/>
  <c r="AM32" i="1"/>
  <c r="AM54" i="1"/>
  <c r="AM228" i="1"/>
  <c r="AM296" i="1"/>
  <c r="AM24" i="1"/>
  <c r="B127" i="4"/>
  <c r="G131" i="4"/>
  <c r="B28" i="2"/>
  <c r="B288" i="2"/>
  <c r="G99" i="4"/>
  <c r="G97" i="4"/>
  <c r="H99" i="4"/>
  <c r="AF61" i="1"/>
  <c r="AG61" i="1"/>
  <c r="AG378" i="1"/>
  <c r="AF378" i="1"/>
  <c r="AG325" i="1"/>
  <c r="AF325" i="1"/>
  <c r="AF348" i="1"/>
  <c r="AG348" i="1"/>
  <c r="AG156" i="1"/>
  <c r="AF156" i="1"/>
  <c r="AF46" i="1"/>
  <c r="AG46" i="1"/>
  <c r="AF117" i="1"/>
  <c r="AG117" i="1"/>
  <c r="AF151" i="1"/>
  <c r="AG151" i="1"/>
  <c r="AF246" i="1"/>
  <c r="AG246" i="1"/>
  <c r="AG278" i="1"/>
  <c r="AF278" i="1"/>
  <c r="AF379" i="1"/>
  <c r="AG168" i="1"/>
  <c r="AG14" i="1"/>
  <c r="AG281" i="1"/>
  <c r="AF281" i="1"/>
  <c r="AF60" i="1"/>
  <c r="AG60" i="1"/>
  <c r="AG298" i="1"/>
  <c r="AF298" i="1"/>
  <c r="AF373" i="1"/>
  <c r="AG373" i="1"/>
  <c r="AG132" i="1"/>
  <c r="AF132" i="1"/>
  <c r="AG208" i="1"/>
  <c r="AF208" i="1"/>
  <c r="AF306" i="1"/>
  <c r="AG306" i="1"/>
  <c r="AF188" i="1"/>
  <c r="AG188" i="1"/>
  <c r="AG214" i="1"/>
  <c r="AF308" i="1"/>
  <c r="AG89" i="1"/>
  <c r="AF89" i="1"/>
  <c r="AF34" i="1"/>
  <c r="AG34" i="1"/>
  <c r="AF65" i="1"/>
  <c r="AG96" i="1"/>
  <c r="AG301" i="1"/>
  <c r="AF350" i="1"/>
  <c r="AG350" i="1"/>
  <c r="AF277" i="1"/>
  <c r="AG277" i="1"/>
  <c r="AG100" i="1"/>
  <c r="AF194" i="1"/>
  <c r="AF94" i="1"/>
  <c r="AG94" i="1"/>
  <c r="AF367" i="1"/>
  <c r="AG367" i="1"/>
  <c r="AG359" i="1"/>
  <c r="AF359" i="1"/>
  <c r="AF270" i="1"/>
  <c r="AG270" i="1"/>
  <c r="AG35" i="1"/>
  <c r="AF35" i="1"/>
  <c r="AG12" i="1"/>
  <c r="AF12" i="1"/>
  <c r="AF200" i="1"/>
  <c r="AG82" i="1"/>
  <c r="AF82" i="1"/>
  <c r="AG319" i="1"/>
  <c r="AF319" i="1"/>
  <c r="AG41" i="1"/>
  <c r="AF41" i="1"/>
  <c r="B336" i="3"/>
  <c r="AF238" i="1"/>
  <c r="AF327" i="1"/>
  <c r="AF106" i="1"/>
  <c r="AG240" i="1"/>
  <c r="AF155" i="1"/>
  <c r="AF275" i="1"/>
  <c r="AG275" i="1"/>
  <c r="AG176" i="1"/>
  <c r="AF176" i="1"/>
  <c r="AF152" i="1"/>
  <c r="AG152" i="1"/>
  <c r="AF320" i="1"/>
  <c r="AF242" i="1"/>
  <c r="AF271" i="1"/>
  <c r="AG253" i="1"/>
  <c r="AF383" i="1"/>
  <c r="AG318" i="1"/>
  <c r="AF358" i="1"/>
  <c r="AG377" i="1"/>
  <c r="AG43" i="1"/>
  <c r="AG56" i="1"/>
  <c r="AF56" i="1"/>
  <c r="AF218" i="1"/>
  <c r="AG218" i="1"/>
  <c r="AF241" i="1"/>
  <c r="AG241" i="1"/>
  <c r="AF18" i="1"/>
  <c r="AG18" i="1"/>
  <c r="AG234" i="1"/>
  <c r="AF234" i="1"/>
  <c r="AF248" i="1"/>
  <c r="AG248" i="1"/>
  <c r="AF337" i="1"/>
  <c r="AG337" i="1"/>
  <c r="AF322" i="1"/>
  <c r="AF159" i="1"/>
  <c r="AG159" i="1"/>
  <c r="AG274" i="1"/>
  <c r="AF274" i="1"/>
  <c r="AG144" i="1"/>
  <c r="AF144" i="1"/>
  <c r="AF307" i="1"/>
  <c r="AG307" i="1"/>
  <c r="AG80" i="1"/>
  <c r="AF256" i="1"/>
  <c r="AG256" i="1"/>
  <c r="AF231" i="1"/>
  <c r="AG231" i="1"/>
  <c r="AG42" i="1"/>
  <c r="AF42" i="1"/>
  <c r="AF113" i="1"/>
  <c r="AG113" i="1"/>
  <c r="AG147" i="1"/>
  <c r="AF147" i="1"/>
  <c r="AG323" i="1"/>
  <c r="AF323" i="1"/>
  <c r="AF122" i="1"/>
  <c r="AG122" i="1"/>
  <c r="AG93" i="1"/>
  <c r="AF93" i="1"/>
  <c r="AF279" i="1"/>
  <c r="AG279" i="1"/>
  <c r="AF326" i="1"/>
  <c r="AG74" i="1"/>
  <c r="AF74" i="1"/>
  <c r="AF52" i="1"/>
  <c r="AG289" i="1"/>
  <c r="AF259" i="1"/>
  <c r="AF314" i="1"/>
  <c r="AG314" i="1"/>
  <c r="AF121" i="1"/>
  <c r="AF297" i="1"/>
  <c r="H24" i="3"/>
  <c r="AG361" i="1"/>
  <c r="AF368" i="1"/>
  <c r="AF163" i="1"/>
  <c r="AF140" i="1"/>
  <c r="AF285" i="1"/>
  <c r="AG252" i="1"/>
  <c r="AF252" i="1"/>
  <c r="AF202" i="1"/>
  <c r="AG202" i="1"/>
  <c r="AG49" i="1"/>
  <c r="AF49" i="1"/>
  <c r="AF384" i="1"/>
  <c r="AG384" i="1"/>
  <c r="AG360" i="1"/>
  <c r="AF360" i="1"/>
  <c r="AF148" i="1"/>
  <c r="AG148" i="1"/>
  <c r="AG179" i="1"/>
  <c r="AF179" i="1"/>
  <c r="AF177" i="1"/>
  <c r="AG177" i="1"/>
  <c r="AG39" i="1"/>
  <c r="AF39" i="1"/>
  <c r="AF62" i="1"/>
  <c r="AG62" i="1"/>
  <c r="AG302" i="1"/>
  <c r="AF302" i="1"/>
  <c r="AG104" i="1"/>
  <c r="AF239" i="1"/>
  <c r="AG296" i="1"/>
  <c r="AG149" i="1"/>
  <c r="AG263" i="1"/>
  <c r="AF110" i="1"/>
  <c r="AG329" i="1"/>
  <c r="AG181" i="1"/>
  <c r="AF180" i="1"/>
  <c r="AG180" i="1"/>
  <c r="AG66" i="1"/>
  <c r="AF66" i="1"/>
  <c r="AG116" i="1"/>
  <c r="AF116" i="1"/>
  <c r="AG146" i="1"/>
  <c r="AF146" i="1"/>
  <c r="AF59" i="1"/>
  <c r="AG59" i="1"/>
  <c r="AG366" i="1"/>
  <c r="AF366" i="1"/>
  <c r="AG247" i="1"/>
  <c r="AF247" i="1"/>
  <c r="AG90" i="1"/>
  <c r="AF90" i="1"/>
  <c r="AG365" i="1"/>
  <c r="AF365" i="1"/>
  <c r="AG75" i="1"/>
  <c r="AF75" i="1"/>
  <c r="AG210" i="1"/>
  <c r="AF210" i="1"/>
  <c r="AF328" i="1"/>
  <c r="AG285" i="1"/>
  <c r="AG364" i="1"/>
  <c r="AG112" i="1"/>
  <c r="AG321" i="1"/>
  <c r="AG17" i="1"/>
  <c r="AG287" i="1"/>
  <c r="AF343" i="1"/>
  <c r="AG115" i="1"/>
  <c r="AG346" i="1"/>
  <c r="AG32" i="1"/>
  <c r="AF32" i="1"/>
  <c r="AG145" i="1"/>
  <c r="AF145" i="1"/>
  <c r="AF245" i="1"/>
  <c r="AG173" i="1"/>
  <c r="AF173" i="1"/>
  <c r="AF331" i="1"/>
  <c r="AF334" i="1"/>
  <c r="AF300" i="1"/>
  <c r="AF103" i="1"/>
  <c r="AG372" i="1"/>
  <c r="AG255" i="1"/>
  <c r="AE3" i="1"/>
  <c r="AE4" i="1"/>
  <c r="AE6" i="1"/>
  <c r="AF19" i="1"/>
  <c r="AG19" i="1"/>
  <c r="AG157" i="1"/>
  <c r="AF157" i="1"/>
  <c r="AF341" i="1"/>
  <c r="AG31" i="1"/>
  <c r="AF31" i="1"/>
  <c r="AG375" i="1"/>
  <c r="AF375" i="1"/>
  <c r="AF250" i="1"/>
  <c r="AG250" i="1"/>
  <c r="AF282" i="1"/>
  <c r="AG282" i="1"/>
  <c r="AG374" i="1"/>
  <c r="AF374" i="1"/>
  <c r="AG293" i="1"/>
  <c r="AF293" i="1"/>
  <c r="AG125" i="1"/>
  <c r="AF125" i="1"/>
  <c r="AE5" i="1"/>
  <c r="AE7" i="1"/>
  <c r="AG114" i="1"/>
  <c r="AF114" i="1"/>
  <c r="AF312" i="1"/>
  <c r="AG312" i="1"/>
  <c r="AG219" i="1"/>
  <c r="AF219" i="1"/>
  <c r="AF283" i="1"/>
  <c r="AG283" i="1"/>
  <c r="AF191" i="1"/>
  <c r="AG191" i="1"/>
  <c r="AG354" i="1"/>
  <c r="AF354" i="1"/>
  <c r="AG388" i="1"/>
  <c r="B87" i="3"/>
  <c r="AG15" i="1"/>
  <c r="AG262" i="1"/>
  <c r="AF198" i="1"/>
  <c r="AF304" i="1"/>
  <c r="AG304" i="1"/>
  <c r="AF38" i="1"/>
  <c r="AG38" i="1"/>
  <c r="AF95" i="1"/>
  <c r="AG95" i="1"/>
  <c r="AF382" i="1"/>
  <c r="AG382" i="1"/>
  <c r="AF335" i="1"/>
  <c r="AG335" i="1"/>
  <c r="AG172" i="1"/>
  <c r="AF172" i="1"/>
  <c r="AG223" i="1"/>
  <c r="AF223" i="1"/>
  <c r="AF244" i="1"/>
  <c r="AG244" i="1"/>
  <c r="AF237" i="1"/>
  <c r="AG237" i="1"/>
  <c r="AG37" i="1"/>
  <c r="AF388" i="1"/>
  <c r="B86" i="3"/>
  <c r="AG222" i="1"/>
  <c r="AF185" i="1"/>
  <c r="AG25" i="1"/>
  <c r="AG227" i="1"/>
  <c r="AF227" i="1"/>
  <c r="AG213" i="1"/>
  <c r="AF213" i="1"/>
  <c r="AF353" i="1"/>
  <c r="AG353" i="1"/>
  <c r="AF204" i="1"/>
  <c r="AG204" i="1"/>
  <c r="AF305" i="1"/>
  <c r="AG305" i="1"/>
  <c r="AG338" i="1"/>
  <c r="AF338" i="1"/>
  <c r="AG349" i="1"/>
  <c r="AF349" i="1"/>
  <c r="AF339" i="1"/>
  <c r="AG339" i="1"/>
  <c r="AF30" i="1"/>
  <c r="AG30" i="1"/>
  <c r="AG260" i="1"/>
  <c r="AF260" i="1"/>
  <c r="AF98" i="1"/>
  <c r="AG98" i="1"/>
  <c r="AF137" i="1"/>
  <c r="AG137" i="1"/>
  <c r="AG376" i="1"/>
  <c r="AF376" i="1"/>
  <c r="AF345" i="1"/>
  <c r="AG345" i="1"/>
  <c r="AG57" i="1"/>
  <c r="AF57" i="1"/>
  <c r="AP3" i="1"/>
  <c r="AP4" i="1"/>
  <c r="AF292" i="1"/>
  <c r="AG292" i="1"/>
  <c r="AG141" i="1"/>
  <c r="AF141" i="1"/>
  <c r="AF295" i="1"/>
  <c r="AG124" i="1"/>
  <c r="AF124" i="1"/>
  <c r="AG272" i="1"/>
  <c r="AF272" i="1"/>
  <c r="AF150" i="1"/>
  <c r="AG150" i="1"/>
  <c r="AF187" i="1"/>
  <c r="AG187" i="1"/>
  <c r="AG243" i="1"/>
  <c r="AF243" i="1"/>
  <c r="AF217" i="1"/>
  <c r="AG21" i="1"/>
  <c r="AG72" i="1"/>
  <c r="AF127" i="1"/>
  <c r="AG143" i="1"/>
  <c r="AF47" i="1"/>
  <c r="B63" i="3" a="1"/>
  <c r="B69" i="3"/>
  <c r="AG28" i="1"/>
  <c r="AG55" i="1"/>
  <c r="AG139" i="1"/>
  <c r="AF192" i="1"/>
  <c r="AG101" i="1"/>
  <c r="AG48" i="1"/>
  <c r="AG167" i="1"/>
  <c r="AG286" i="1"/>
  <c r="AF286" i="1"/>
  <c r="AG370" i="1"/>
  <c r="AF370" i="1"/>
  <c r="AF76" i="1"/>
  <c r="AG76" i="1"/>
  <c r="AG310" i="1"/>
  <c r="AF310" i="1"/>
  <c r="AG153" i="1"/>
  <c r="AF153" i="1"/>
  <c r="AG22" i="1"/>
  <c r="AF22" i="1"/>
  <c r="AF102" i="1"/>
  <c r="AG102" i="1"/>
  <c r="AF342" i="1"/>
  <c r="AG342" i="1"/>
  <c r="AG24" i="1"/>
  <c r="AF24" i="1"/>
  <c r="AF33" i="1"/>
  <c r="AG33" i="1"/>
  <c r="AF71" i="1"/>
  <c r="AG71" i="1"/>
  <c r="AF118" i="1"/>
  <c r="AG118" i="1"/>
  <c r="B207" i="3"/>
  <c r="F211" i="3"/>
  <c r="AG142" i="1"/>
  <c r="AF142" i="1"/>
  <c r="B88" i="3"/>
  <c r="AG87" i="1"/>
  <c r="AF87" i="1"/>
  <c r="AG330" i="1"/>
  <c r="AF330" i="1"/>
  <c r="AG154" i="1"/>
  <c r="AF154" i="1"/>
  <c r="AF92" i="1"/>
  <c r="AG92" i="1"/>
  <c r="AF230" i="1"/>
  <c r="AF333" i="1"/>
  <c r="AG86" i="1"/>
  <c r="AG85" i="1"/>
  <c r="B85" i="3"/>
  <c r="AF26" i="1"/>
  <c r="AF70" i="1"/>
  <c r="AF332" i="1"/>
  <c r="E57" i="3"/>
  <c r="E55" i="3"/>
  <c r="E56" i="3"/>
  <c r="AG212" i="1"/>
  <c r="AF212" i="1"/>
  <c r="AF336" i="1"/>
  <c r="AG336" i="1"/>
  <c r="AG171" i="1"/>
  <c r="AF171" i="1"/>
  <c r="AG186" i="1"/>
  <c r="AF186" i="1"/>
  <c r="AF111" i="1"/>
  <c r="AG111" i="1"/>
  <c r="AF138" i="1"/>
  <c r="AG138" i="1"/>
  <c r="AF119" i="1"/>
  <c r="AG119" i="1"/>
  <c r="AF215" i="1"/>
  <c r="AG215" i="1"/>
  <c r="AG184" i="1"/>
  <c r="AF184" i="1"/>
  <c r="AG381" i="1"/>
  <c r="AF381" i="1"/>
  <c r="AG347" i="1"/>
  <c r="AF347" i="1"/>
  <c r="AF134" i="1"/>
  <c r="AG134" i="1"/>
  <c r="AG174" i="1"/>
  <c r="AF174" i="1"/>
  <c r="AG129" i="1"/>
  <c r="AF129" i="1"/>
  <c r="AF99" i="1"/>
  <c r="AF64" i="1"/>
  <c r="AG64" i="1"/>
  <c r="AG357" i="1"/>
  <c r="AF357" i="1"/>
  <c r="AF170" i="1"/>
  <c r="AG170" i="1"/>
  <c r="AF84" i="1"/>
  <c r="AF123" i="1"/>
  <c r="AG123" i="1"/>
  <c r="AF257" i="1"/>
  <c r="AG257" i="1"/>
  <c r="AG371" i="1"/>
  <c r="AF371" i="1"/>
  <c r="AP5" i="1"/>
  <c r="E58" i="3"/>
  <c r="H54" i="3"/>
  <c r="AG313" i="1"/>
  <c r="AF313" i="1"/>
  <c r="AG83" i="1"/>
  <c r="AF83" i="1"/>
  <c r="AF193" i="1"/>
  <c r="AG193" i="1"/>
  <c r="AF311" i="1"/>
  <c r="AG311" i="1"/>
  <c r="AG291" i="1"/>
  <c r="AF291" i="1"/>
  <c r="AG169" i="1"/>
  <c r="AF169" i="1"/>
  <c r="AG199" i="1"/>
  <c r="AF199" i="1"/>
  <c r="AF69" i="1"/>
  <c r="AG69" i="1"/>
  <c r="AG369" i="1"/>
  <c r="AF369" i="1"/>
  <c r="AZ334" i="1"/>
  <c r="B176" i="3"/>
  <c r="B31" i="4"/>
  <c r="H31" i="4"/>
  <c r="AW297" i="1"/>
  <c r="AW88" i="1"/>
  <c r="AH119" i="1"/>
  <c r="AJ119" i="1"/>
  <c r="AW73" i="1"/>
  <c r="AW227" i="1"/>
  <c r="AH113" i="1"/>
  <c r="AJ113" i="1"/>
  <c r="AH64" i="1"/>
  <c r="AJ64" i="1"/>
  <c r="AH244" i="1"/>
  <c r="AJ244" i="1"/>
  <c r="AH237" i="1"/>
  <c r="AJ237" i="1"/>
  <c r="AU292" i="1"/>
  <c r="AW138" i="1"/>
  <c r="AH94" i="1"/>
  <c r="AI94" i="1"/>
  <c r="AW184" i="1"/>
  <c r="AH349" i="1"/>
  <c r="AJ349" i="1"/>
  <c r="AU368" i="1"/>
  <c r="AU234" i="1"/>
  <c r="AH366" i="1"/>
  <c r="AI366" i="1"/>
  <c r="AW286" i="1"/>
  <c r="AW202" i="1"/>
  <c r="AW344" i="1"/>
  <c r="AH168" i="1"/>
  <c r="AJ168" i="1"/>
  <c r="AU59" i="1"/>
  <c r="AW109" i="1"/>
  <c r="AH204" i="1"/>
  <c r="AJ204" i="1"/>
  <c r="AW325" i="1"/>
  <c r="AW279" i="1"/>
  <c r="AU144" i="1"/>
  <c r="AW86" i="1"/>
  <c r="AU268" i="1"/>
  <c r="AU114" i="1"/>
  <c r="AU179" i="1"/>
  <c r="AH33" i="1"/>
  <c r="AJ33" i="1"/>
  <c r="AH287" i="1"/>
  <c r="AJ287" i="1"/>
  <c r="AH28" i="1"/>
  <c r="AJ28" i="1"/>
  <c r="AH134" i="1"/>
  <c r="AI134" i="1"/>
  <c r="AU91" i="1"/>
  <c r="AH110" i="1"/>
  <c r="AI110" i="1"/>
  <c r="AH213" i="1"/>
  <c r="AJ213" i="1"/>
  <c r="AH146" i="1"/>
  <c r="AI146" i="1"/>
  <c r="AH212" i="1"/>
  <c r="AJ212" i="1"/>
  <c r="AH107" i="1"/>
  <c r="AI107" i="1"/>
  <c r="AW332" i="1"/>
  <c r="AU185" i="1"/>
  <c r="AW218" i="1"/>
  <c r="AH379" i="1"/>
  <c r="AJ379" i="1"/>
  <c r="AH276" i="1"/>
  <c r="AJ276" i="1"/>
  <c r="AW194" i="1"/>
  <c r="AH165" i="1"/>
  <c r="AI165" i="1"/>
  <c r="AU56" i="1"/>
  <c r="AH263" i="1"/>
  <c r="AI263" i="1"/>
  <c r="AH367" i="1"/>
  <c r="AJ367" i="1"/>
  <c r="AW313" i="1"/>
  <c r="AH270" i="1"/>
  <c r="AJ270" i="1"/>
  <c r="AH67" i="1"/>
  <c r="AJ67" i="1"/>
  <c r="AH162" i="1"/>
  <c r="AJ162" i="1"/>
  <c r="AU259" i="1"/>
  <c r="AW252" i="1"/>
  <c r="AH314" i="1"/>
  <c r="AJ314" i="1"/>
  <c r="AU57" i="1"/>
  <c r="AU274" i="1"/>
  <c r="AW160" i="1"/>
  <c r="AH239" i="1"/>
  <c r="AJ239" i="1"/>
  <c r="AH169" i="1"/>
  <c r="AJ169" i="1"/>
  <c r="AW68" i="1"/>
  <c r="AH290" i="1"/>
  <c r="AJ290" i="1"/>
  <c r="AW302" i="1"/>
  <c r="AU154" i="1"/>
  <c r="AW211" i="1"/>
  <c r="AW170" i="1"/>
  <c r="AU269" i="1"/>
  <c r="AU216" i="1"/>
  <c r="AW261" i="1"/>
  <c r="AU291" i="1"/>
  <c r="AH11" i="1"/>
  <c r="AI11" i="1"/>
  <c r="AW123" i="1"/>
  <c r="AH321" i="1"/>
  <c r="AI321" i="1"/>
  <c r="AH195" i="1"/>
  <c r="AI195" i="1"/>
  <c r="AH23" i="1"/>
  <c r="AI23" i="1"/>
  <c r="AW293" i="1"/>
  <c r="AH105" i="1"/>
  <c r="AI105" i="1"/>
  <c r="AH31" i="1"/>
  <c r="AI31" i="1"/>
  <c r="AU13" i="1"/>
  <c r="AH245" i="1"/>
  <c r="AI245" i="1"/>
  <c r="AW295" i="1"/>
  <c r="AU225" i="1"/>
  <c r="AW63" i="1"/>
  <c r="AU181" i="1"/>
  <c r="AH187" i="1"/>
  <c r="AI187" i="1"/>
  <c r="AU19" i="1"/>
  <c r="AW316" i="1"/>
  <c r="AW217" i="1"/>
  <c r="AW372" i="1"/>
  <c r="AU354" i="1"/>
  <c r="AH358" i="1"/>
  <c r="AJ358" i="1"/>
  <c r="AH137" i="1"/>
  <c r="AJ137" i="1"/>
  <c r="AW210" i="1"/>
  <c r="AH127" i="1"/>
  <c r="AI127" i="1"/>
  <c r="AW322" i="1"/>
  <c r="AU118" i="1"/>
  <c r="AW376" i="1"/>
  <c r="AH35" i="1"/>
  <c r="AI35" i="1"/>
  <c r="AU382" i="1"/>
  <c r="AW54" i="1"/>
  <c r="AH273" i="1"/>
  <c r="AI273" i="1"/>
  <c r="AW156" i="1"/>
  <c r="AU347" i="1"/>
  <c r="AH301" i="1"/>
  <c r="AJ301" i="1"/>
  <c r="AW235" i="1"/>
  <c r="AW254" i="1"/>
  <c r="B238" i="3"/>
  <c r="F241" i="3"/>
  <c r="F210" i="3"/>
  <c r="G164" i="4"/>
  <c r="G64" i="4"/>
  <c r="G63" i="4"/>
  <c r="G65" i="4"/>
  <c r="G62" i="4"/>
  <c r="G61" i="4"/>
  <c r="G165" i="4"/>
  <c r="G166" i="4"/>
  <c r="G167" i="4"/>
  <c r="G200" i="4"/>
  <c r="G201" i="4"/>
  <c r="G199" i="4"/>
  <c r="G197" i="4"/>
  <c r="G198" i="4"/>
  <c r="B323" i="2"/>
  <c r="B326" i="2"/>
  <c r="AL3" i="1"/>
  <c r="AL4" i="1"/>
  <c r="G105" i="2"/>
  <c r="G107" i="2"/>
  <c r="AL5" i="1"/>
  <c r="B325" i="2"/>
  <c r="B300" i="2" a="1"/>
  <c r="B304" i="2"/>
  <c r="B324" i="2"/>
  <c r="G120" i="3"/>
  <c r="G253" i="2"/>
  <c r="G180" i="2"/>
  <c r="G178" i="2"/>
  <c r="G108" i="2"/>
  <c r="G142" i="2"/>
  <c r="G141" i="2"/>
  <c r="G143" i="2"/>
  <c r="G255" i="2"/>
  <c r="G256" i="2"/>
  <c r="G106" i="2"/>
  <c r="G145" i="2"/>
  <c r="G215" i="2"/>
  <c r="G179" i="2"/>
  <c r="G181" i="2"/>
  <c r="G257" i="2"/>
  <c r="G219" i="2"/>
  <c r="G217" i="2"/>
  <c r="G218" i="2"/>
  <c r="G132" i="4"/>
  <c r="G130" i="4"/>
  <c r="G133" i="4"/>
  <c r="G129" i="4"/>
  <c r="AM5" i="1"/>
  <c r="G68" i="2"/>
  <c r="G69" i="2"/>
  <c r="G67" i="2"/>
  <c r="G71" i="2"/>
  <c r="G70" i="2"/>
  <c r="B206" i="4" a="1"/>
  <c r="B216" i="4"/>
  <c r="AM3" i="1"/>
  <c r="AM4" i="1"/>
  <c r="G291" i="2"/>
  <c r="G294" i="2"/>
  <c r="G293" i="2"/>
  <c r="G290" i="2"/>
  <c r="G292" i="2"/>
  <c r="G33" i="2"/>
  <c r="G32" i="2"/>
  <c r="G30" i="2"/>
  <c r="G31" i="2"/>
  <c r="G34" i="2"/>
  <c r="B99" i="4"/>
  <c r="B63" i="3"/>
  <c r="B79" i="3"/>
  <c r="B75" i="3"/>
  <c r="B337" i="3"/>
  <c r="B148" i="3"/>
  <c r="B78" i="3"/>
  <c r="B70" i="3"/>
  <c r="F209" i="3"/>
  <c r="B213" i="3"/>
  <c r="B77" i="3"/>
  <c r="B147" i="3"/>
  <c r="B80" i="3"/>
  <c r="B73" i="3"/>
  <c r="B303" i="3"/>
  <c r="B302" i="3"/>
  <c r="F213" i="3"/>
  <c r="B64" i="3"/>
  <c r="AT4" i="1"/>
  <c r="B149" i="3"/>
  <c r="F212" i="3"/>
  <c r="B82" i="3"/>
  <c r="B338" i="3"/>
  <c r="B67" i="3"/>
  <c r="B71" i="3"/>
  <c r="B81" i="3"/>
  <c r="B74" i="3"/>
  <c r="B304" i="3"/>
  <c r="B150" i="3"/>
  <c r="AS5" i="1"/>
  <c r="AS4" i="1"/>
  <c r="B305" i="3"/>
  <c r="AT5" i="1"/>
  <c r="B68" i="3"/>
  <c r="B76" i="3"/>
  <c r="B66" i="3"/>
  <c r="B314" i="3" a="1"/>
  <c r="B318" i="3"/>
  <c r="B72" i="3"/>
  <c r="B65" i="3"/>
  <c r="B339" i="3"/>
  <c r="F178" i="3"/>
  <c r="F180" i="3"/>
  <c r="F182" i="3"/>
  <c r="F181" i="3"/>
  <c r="F179" i="3"/>
  <c r="AC241" i="1"/>
  <c r="AB241" i="1"/>
  <c r="AD241" i="1"/>
  <c r="AD77" i="1"/>
  <c r="AB77" i="1"/>
  <c r="AC77" i="1"/>
  <c r="AC375" i="1"/>
  <c r="AB375" i="1"/>
  <c r="AD375" i="1"/>
  <c r="AD197" i="1"/>
  <c r="AB197" i="1"/>
  <c r="AC197" i="1"/>
  <c r="AD128" i="1"/>
  <c r="AC128" i="1"/>
  <c r="AB128" i="1"/>
  <c r="AD72" i="1"/>
  <c r="AC72" i="1"/>
  <c r="AB72" i="1"/>
  <c r="AD102" i="1"/>
  <c r="AC102" i="1"/>
  <c r="AB102" i="1"/>
  <c r="AC135" i="1"/>
  <c r="AD135" i="1"/>
  <c r="AB135" i="1"/>
  <c r="AD141" i="1"/>
  <c r="AC141" i="1"/>
  <c r="AB141" i="1"/>
  <c r="AD188" i="1"/>
  <c r="AC188" i="1"/>
  <c r="AB188" i="1"/>
  <c r="AC384" i="1"/>
  <c r="AD384" i="1"/>
  <c r="AB384" i="1"/>
  <c r="AC140" i="1"/>
  <c r="AD140" i="1"/>
  <c r="AH140" i="1"/>
  <c r="AU140" i="1"/>
  <c r="AW140" i="1"/>
  <c r="AB140" i="1"/>
  <c r="AD100" i="1"/>
  <c r="AC100" i="1"/>
  <c r="AB100" i="1"/>
  <c r="AD229" i="1"/>
  <c r="AC229" i="1"/>
  <c r="AB229" i="1"/>
  <c r="AD268" i="1"/>
  <c r="AC268" i="1"/>
  <c r="AB268" i="1"/>
  <c r="AC10" i="1"/>
  <c r="AD10" i="1"/>
  <c r="AB10" i="1"/>
  <c r="AC275" i="1"/>
  <c r="AD275" i="1"/>
  <c r="AB275" i="1"/>
  <c r="AD151" i="1"/>
  <c r="AC151" i="1"/>
  <c r="AB151" i="1"/>
  <c r="AD168" i="1"/>
  <c r="AC168" i="1"/>
  <c r="AB168" i="1"/>
  <c r="AC125" i="1"/>
  <c r="AD125" i="1"/>
  <c r="AB125" i="1"/>
  <c r="AD386" i="1"/>
  <c r="AC386" i="1"/>
  <c r="AB386" i="1"/>
  <c r="AC247" i="1"/>
  <c r="AD247" i="1"/>
  <c r="AB247" i="1"/>
  <c r="AD60" i="1"/>
  <c r="AC60" i="1"/>
  <c r="AB60" i="1"/>
  <c r="AC304" i="1"/>
  <c r="AD304" i="1"/>
  <c r="AB304" i="1"/>
  <c r="AC303" i="1"/>
  <c r="AD303" i="1"/>
  <c r="AB303" i="1"/>
  <c r="AH72" i="1"/>
  <c r="AI72" i="1"/>
  <c r="AW386" i="1"/>
  <c r="AB83" i="1"/>
  <c r="AD83" i="1"/>
  <c r="AC83" i="1"/>
  <c r="AB206" i="1"/>
  <c r="AD206" i="1"/>
  <c r="AC206" i="1"/>
  <c r="AB199" i="1"/>
  <c r="AB271" i="1"/>
  <c r="AD271" i="1"/>
  <c r="AC271" i="1"/>
  <c r="AD152" i="1"/>
  <c r="AC152" i="1"/>
  <c r="AB152" i="1"/>
  <c r="AD258" i="1"/>
  <c r="AB258" i="1"/>
  <c r="AC258" i="1"/>
  <c r="AD337" i="1"/>
  <c r="AC337" i="1"/>
  <c r="AB337" i="1"/>
  <c r="AC317" i="1"/>
  <c r="AB317" i="1"/>
  <c r="AD317" i="1"/>
  <c r="AB175" i="1"/>
  <c r="AC175" i="1"/>
  <c r="AD175" i="1"/>
  <c r="AC173" i="1"/>
  <c r="AB173" i="1"/>
  <c r="AD173" i="1"/>
  <c r="AD320" i="1"/>
  <c r="AC320" i="1"/>
  <c r="AB320" i="1"/>
  <c r="AB181" i="1"/>
  <c r="AD181" i="1"/>
  <c r="AC181" i="1"/>
  <c r="AD66" i="1"/>
  <c r="AC66" i="1"/>
  <c r="AB66" i="1"/>
  <c r="AD388" i="1"/>
  <c r="AC388" i="1"/>
  <c r="AB388" i="1"/>
  <c r="AC329" i="1"/>
  <c r="AD329" i="1"/>
  <c r="AB329" i="1"/>
  <c r="AD150" i="1"/>
  <c r="AC150" i="1"/>
  <c r="AB150" i="1"/>
  <c r="AD203" i="1"/>
  <c r="AC203" i="1"/>
  <c r="AB203" i="1"/>
  <c r="AC133" i="1"/>
  <c r="AD133" i="1"/>
  <c r="AB133" i="1"/>
  <c r="AC25" i="1"/>
  <c r="AD25" i="1"/>
  <c r="AB25" i="1"/>
  <c r="AC95" i="1"/>
  <c r="AD95" i="1"/>
  <c r="AB95" i="1"/>
  <c r="AC177" i="1"/>
  <c r="AD177" i="1"/>
  <c r="AB177" i="1"/>
  <c r="AD20" i="1"/>
  <c r="AC20" i="1"/>
  <c r="AB20" i="1"/>
  <c r="AC158" i="1"/>
  <c r="AD158" i="1"/>
  <c r="AB158" i="1"/>
  <c r="AC149" i="1"/>
  <c r="AD149" i="1"/>
  <c r="AB149" i="1"/>
  <c r="AD89" i="1"/>
  <c r="AC89" i="1"/>
  <c r="AB89" i="1"/>
  <c r="AC74" i="1"/>
  <c r="AD74" i="1"/>
  <c r="AB74" i="1"/>
  <c r="AC367" i="1"/>
  <c r="AD367" i="1"/>
  <c r="AB367" i="1"/>
  <c r="AC92" i="1"/>
  <c r="AD92" i="1"/>
  <c r="AB92" i="1"/>
  <c r="AC46" i="1"/>
  <c r="AD46" i="1"/>
  <c r="AB46" i="1"/>
  <c r="AD58" i="1"/>
  <c r="AC58" i="1"/>
  <c r="AB58" i="1"/>
  <c r="AC107" i="1"/>
  <c r="AD107" i="1"/>
  <c r="AB107" i="1"/>
  <c r="AC131" i="1"/>
  <c r="AD131" i="1"/>
  <c r="AB131" i="1"/>
  <c r="AD278" i="1"/>
  <c r="AC278" i="1"/>
  <c r="AB278" i="1"/>
  <c r="AC282" i="1"/>
  <c r="AD282" i="1"/>
  <c r="AB282" i="1"/>
  <c r="AC378" i="1"/>
  <c r="AD378" i="1"/>
  <c r="AB378" i="1"/>
  <c r="AD114" i="1"/>
  <c r="AC114" i="1"/>
  <c r="AB114" i="1"/>
  <c r="AC198" i="1"/>
  <c r="AD198" i="1"/>
  <c r="AB198" i="1"/>
  <c r="AC111" i="1"/>
  <c r="AD111" i="1"/>
  <c r="AB111" i="1"/>
  <c r="AC82" i="1"/>
  <c r="AD82" i="1"/>
  <c r="AB82" i="1"/>
  <c r="AC307" i="1"/>
  <c r="AD307" i="1"/>
  <c r="AB307" i="1"/>
  <c r="AD196" i="1"/>
  <c r="AC196" i="1"/>
  <c r="AB196" i="1"/>
  <c r="AC260" i="1"/>
  <c r="AD260" i="1"/>
  <c r="AB260" i="1"/>
  <c r="AD234" i="1"/>
  <c r="AC234" i="1"/>
  <c r="AB234" i="1"/>
  <c r="AC94" i="1"/>
  <c r="AD94" i="1"/>
  <c r="AB94" i="1"/>
  <c r="AC120" i="1"/>
  <c r="AD120" i="1"/>
  <c r="AB120" i="1"/>
  <c r="AC199" i="1"/>
  <c r="AD199" i="1"/>
  <c r="AC43" i="1"/>
  <c r="AD43" i="1"/>
  <c r="AB43" i="1"/>
  <c r="AC359" i="1"/>
  <c r="AD359" i="1"/>
  <c r="AB359" i="1"/>
  <c r="AU375" i="1"/>
  <c r="AB305" i="1"/>
  <c r="AD305" i="1"/>
  <c r="AC305" i="1"/>
  <c r="AB9" i="1"/>
  <c r="AD9" i="1"/>
  <c r="AC9" i="1"/>
  <c r="AB182" i="1"/>
  <c r="AD182" i="1"/>
  <c r="AC182" i="1"/>
  <c r="AD215" i="1"/>
  <c r="AB215" i="1"/>
  <c r="AC215" i="1"/>
  <c r="AD310" i="1"/>
  <c r="AB310" i="1"/>
  <c r="AC310" i="1"/>
  <c r="AB205" i="1"/>
  <c r="AD277" i="1"/>
  <c r="AB277" i="1"/>
  <c r="AC277" i="1"/>
  <c r="AD127" i="1"/>
  <c r="AB127" i="1"/>
  <c r="AC127" i="1"/>
  <c r="AC251" i="1"/>
  <c r="AB251" i="1"/>
  <c r="AD251" i="1"/>
  <c r="AD70" i="1"/>
  <c r="AC70" i="1"/>
  <c r="AB70" i="1"/>
  <c r="AB37" i="1"/>
  <c r="AC37" i="1"/>
  <c r="AD37" i="1"/>
  <c r="AD63" i="1"/>
  <c r="AB63" i="1"/>
  <c r="AC63" i="1"/>
  <c r="AB309" i="1"/>
  <c r="AD309" i="1"/>
  <c r="AC309" i="1"/>
  <c r="AC42" i="1"/>
  <c r="AD42" i="1"/>
  <c r="AB42" i="1"/>
  <c r="AD34" i="1"/>
  <c r="AC34" i="1"/>
  <c r="AB34" i="1"/>
  <c r="AC323" i="1"/>
  <c r="AD323" i="1"/>
  <c r="AB323" i="1"/>
  <c r="AD15" i="1"/>
  <c r="AC15" i="1"/>
  <c r="AB15" i="1"/>
  <c r="AC40" i="1"/>
  <c r="AD40" i="1"/>
  <c r="AB40" i="1"/>
  <c r="AD159" i="1"/>
  <c r="AC159" i="1"/>
  <c r="AB159" i="1"/>
  <c r="AC264" i="1"/>
  <c r="AD264" i="1"/>
  <c r="AB264" i="1"/>
  <c r="AC147" i="1"/>
  <c r="AD147" i="1"/>
  <c r="AB147" i="1"/>
  <c r="AD240" i="1"/>
  <c r="AC240" i="1"/>
  <c r="AB240" i="1"/>
  <c r="AC274" i="1"/>
  <c r="AD274" i="1"/>
  <c r="AB274" i="1"/>
  <c r="AD314" i="1"/>
  <c r="AC314" i="1"/>
  <c r="AB314" i="1"/>
  <c r="AC174" i="1"/>
  <c r="AD174" i="1"/>
  <c r="AB174" i="1"/>
  <c r="AD75" i="1"/>
  <c r="AC75" i="1"/>
  <c r="AB75" i="1"/>
  <c r="AC263" i="1"/>
  <c r="AD263" i="1"/>
  <c r="AB263" i="1"/>
  <c r="AC122" i="1"/>
  <c r="AD122" i="1"/>
  <c r="AB122" i="1"/>
  <c r="AC87" i="1"/>
  <c r="AD87" i="1"/>
  <c r="AB87" i="1"/>
  <c r="AD296" i="1"/>
  <c r="AC296" i="1"/>
  <c r="AB296" i="1"/>
  <c r="AD29" i="1"/>
  <c r="AC29" i="1"/>
  <c r="AB29" i="1"/>
  <c r="AC341" i="1"/>
  <c r="AD341" i="1"/>
  <c r="AB341" i="1"/>
  <c r="AC205" i="1"/>
  <c r="AD205" i="1"/>
  <c r="AD253" i="1"/>
  <c r="AC253" i="1"/>
  <c r="AB253" i="1"/>
  <c r="AC287" i="1"/>
  <c r="AD287" i="1"/>
  <c r="AB287" i="1"/>
  <c r="AC90" i="1"/>
  <c r="AD90" i="1"/>
  <c r="AB90" i="1"/>
  <c r="AD18" i="1"/>
  <c r="AC18" i="1"/>
  <c r="AB18" i="1"/>
  <c r="AC281" i="1"/>
  <c r="AD281" i="1"/>
  <c r="AB281" i="1"/>
  <c r="AD106" i="1"/>
  <c r="AC106" i="1"/>
  <c r="AB106" i="1"/>
  <c r="AD97" i="1"/>
  <c r="AC97" i="1"/>
  <c r="AB97" i="1"/>
  <c r="AD284" i="1"/>
  <c r="AC284" i="1"/>
  <c r="AB284" i="1"/>
  <c r="AD233" i="1"/>
  <c r="AC233" i="1"/>
  <c r="AB233" i="1"/>
  <c r="AD368" i="1"/>
  <c r="AC368" i="1"/>
  <c r="AB368" i="1"/>
  <c r="AC49" i="1"/>
  <c r="AD49" i="1"/>
  <c r="AB49" i="1"/>
  <c r="AD116" i="1"/>
  <c r="AC116" i="1"/>
  <c r="AB116" i="1"/>
  <c r="AD356" i="1"/>
  <c r="AC356" i="1"/>
  <c r="AB356" i="1"/>
  <c r="AD64" i="1"/>
  <c r="AC64" i="1"/>
  <c r="AB64" i="1"/>
  <c r="AD207" i="1"/>
  <c r="AC207" i="1"/>
  <c r="AB207" i="1"/>
  <c r="AH114" i="1"/>
  <c r="AI114" i="1"/>
  <c r="AW77" i="1"/>
  <c r="AH281" i="1"/>
  <c r="AJ281" i="1"/>
  <c r="AH199" i="1"/>
  <c r="AJ199" i="1"/>
  <c r="AW150" i="1"/>
  <c r="AW9" i="1"/>
  <c r="AU384" i="1"/>
  <c r="AU37" i="1"/>
  <c r="AD39" i="1"/>
  <c r="AC39" i="1"/>
  <c r="AB39" i="1"/>
  <c r="AC347" i="1"/>
  <c r="AD347" i="1"/>
  <c r="AB347" i="1"/>
  <c r="AC315" i="1"/>
  <c r="AB315" i="1"/>
  <c r="AD315" i="1"/>
  <c r="AB364" i="1"/>
  <c r="AD364" i="1"/>
  <c r="AC364" i="1"/>
  <c r="AD35" i="1"/>
  <c r="AB35" i="1"/>
  <c r="AC35" i="1"/>
  <c r="AC333" i="1"/>
  <c r="AB333" i="1"/>
  <c r="AD333" i="1"/>
  <c r="AD210" i="1"/>
  <c r="AC210" i="1"/>
  <c r="AB210" i="1"/>
  <c r="AC265" i="1"/>
  <c r="AB265" i="1"/>
  <c r="AD265" i="1"/>
  <c r="AC342" i="1"/>
  <c r="AB342" i="1"/>
  <c r="AD342" i="1"/>
  <c r="AC19" i="1"/>
  <c r="AB19" i="1"/>
  <c r="AD19" i="1"/>
  <c r="AD48" i="1"/>
  <c r="AC48" i="1"/>
  <c r="AB48" i="1"/>
  <c r="AC295" i="1"/>
  <c r="AD295" i="1"/>
  <c r="AB295" i="1"/>
  <c r="AD13" i="1"/>
  <c r="AC13" i="1"/>
  <c r="AB13" i="1"/>
  <c r="AC293" i="1"/>
  <c r="AD293" i="1"/>
  <c r="AB293" i="1"/>
  <c r="AC139" i="1"/>
  <c r="AD139" i="1"/>
  <c r="AB139" i="1"/>
  <c r="AC328" i="1"/>
  <c r="AD328" i="1"/>
  <c r="AB328" i="1"/>
  <c r="AD381" i="1"/>
  <c r="AC381" i="1"/>
  <c r="AB381" i="1"/>
  <c r="AD170" i="1"/>
  <c r="AC170" i="1"/>
  <c r="AB170" i="1"/>
  <c r="AD103" i="1"/>
  <c r="AC103" i="1"/>
  <c r="AB103" i="1"/>
  <c r="AD294" i="1"/>
  <c r="AC294" i="1"/>
  <c r="AB294" i="1"/>
  <c r="AC343" i="1"/>
  <c r="AD343" i="1"/>
  <c r="AB343" i="1"/>
  <c r="AD14" i="1"/>
  <c r="AC14" i="1"/>
  <c r="AB14" i="1"/>
  <c r="AD230" i="1"/>
  <c r="AC230" i="1"/>
  <c r="AB230" i="1"/>
  <c r="AD300" i="1"/>
  <c r="AC300" i="1"/>
  <c r="AB300" i="1"/>
  <c r="AD189" i="1"/>
  <c r="AC189" i="1"/>
  <c r="AB189" i="1"/>
  <c r="AD56" i="1"/>
  <c r="AC56" i="1"/>
  <c r="AB56" i="1"/>
  <c r="AD267" i="1"/>
  <c r="AC267" i="1"/>
  <c r="AB267" i="1"/>
  <c r="AC379" i="1"/>
  <c r="AD379" i="1"/>
  <c r="AB379" i="1"/>
  <c r="AD218" i="1"/>
  <c r="AC218" i="1"/>
  <c r="AB218" i="1"/>
  <c r="AC355" i="1"/>
  <c r="AD355" i="1"/>
  <c r="AB355" i="1"/>
  <c r="AC110" i="1"/>
  <c r="AD110" i="1"/>
  <c r="AB110" i="1"/>
  <c r="AD335" i="1"/>
  <c r="AC335" i="1"/>
  <c r="AB335" i="1"/>
  <c r="AC183" i="1"/>
  <c r="AD183" i="1"/>
  <c r="AB183" i="1"/>
  <c r="AC164" i="1"/>
  <c r="AD164" i="1"/>
  <c r="AB164" i="1"/>
  <c r="AD266" i="1"/>
  <c r="AC266" i="1"/>
  <c r="AB266" i="1"/>
  <c r="AC86" i="1"/>
  <c r="AD86" i="1"/>
  <c r="AB86" i="1"/>
  <c r="AC279" i="1"/>
  <c r="AD279" i="1"/>
  <c r="AB279" i="1"/>
  <c r="AC204" i="1"/>
  <c r="AD204" i="1"/>
  <c r="AB204" i="1"/>
  <c r="AD201" i="1"/>
  <c r="AC201" i="1"/>
  <c r="AB201" i="1"/>
  <c r="AC232" i="1"/>
  <c r="AD232" i="1"/>
  <c r="AB232" i="1"/>
  <c r="AD208" i="1"/>
  <c r="AC208" i="1"/>
  <c r="AB208" i="1"/>
  <c r="AD299" i="1"/>
  <c r="AC299" i="1"/>
  <c r="AB299" i="1"/>
  <c r="AD221" i="1"/>
  <c r="AC221" i="1"/>
  <c r="AB221" i="1"/>
  <c r="AD352" i="1"/>
  <c r="AC352" i="1"/>
  <c r="AB352" i="1"/>
  <c r="AD26" i="1"/>
  <c r="AC26" i="1"/>
  <c r="AB26" i="1"/>
  <c r="AC361" i="1"/>
  <c r="AD361" i="1"/>
  <c r="AB361" i="1"/>
  <c r="AC73" i="1"/>
  <c r="AD73" i="1"/>
  <c r="AB73" i="1"/>
  <c r="AB80" i="1"/>
  <c r="AC80" i="1"/>
  <c r="AD80" i="1"/>
  <c r="AC176" i="1"/>
  <c r="AB176" i="1"/>
  <c r="AD176" i="1"/>
  <c r="AD41" i="1"/>
  <c r="AC41" i="1"/>
  <c r="AB41" i="1"/>
  <c r="AD12" i="1"/>
  <c r="AC12" i="1"/>
  <c r="AB12" i="1"/>
  <c r="AB363" i="1"/>
  <c r="AD363" i="1"/>
  <c r="AC363" i="1"/>
  <c r="AD45" i="1"/>
  <c r="AC45" i="1"/>
  <c r="AB45" i="1"/>
  <c r="AC261" i="1"/>
  <c r="AD261" i="1"/>
  <c r="AB261" i="1"/>
  <c r="AD169" i="1"/>
  <c r="AC169" i="1"/>
  <c r="AB169" i="1"/>
  <c r="AD249" i="1"/>
  <c r="AC249" i="1"/>
  <c r="AB249" i="1"/>
  <c r="AD112" i="1"/>
  <c r="AC112" i="1"/>
  <c r="AB112" i="1"/>
  <c r="AC351" i="1"/>
  <c r="AD351" i="1"/>
  <c r="AB351" i="1"/>
  <c r="AC340" i="1"/>
  <c r="AD340" i="1"/>
  <c r="AB340" i="1"/>
  <c r="AW114" i="1"/>
  <c r="AW18" i="1"/>
  <c r="AU296" i="1"/>
  <c r="AH82" i="1"/>
  <c r="AJ82" i="1"/>
  <c r="AU241" i="1"/>
  <c r="AH120" i="1"/>
  <c r="AJ120" i="1"/>
  <c r="AU45" i="1"/>
  <c r="AC383" i="1"/>
  <c r="AB383" i="1"/>
  <c r="AD383" i="1"/>
  <c r="AD156" i="1"/>
  <c r="AC156" i="1"/>
  <c r="AB156" i="1"/>
  <c r="AC54" i="1"/>
  <c r="AD54" i="1"/>
  <c r="AB54" i="1"/>
  <c r="AB27" i="1"/>
  <c r="AD27" i="1"/>
  <c r="AC27" i="1"/>
  <c r="AD376" i="1"/>
  <c r="AC376" i="1"/>
  <c r="AB376" i="1"/>
  <c r="AC55" i="1"/>
  <c r="AB55" i="1"/>
  <c r="AD55" i="1"/>
  <c r="AC36" i="1"/>
  <c r="AD36" i="1"/>
  <c r="AB36" i="1"/>
  <c r="AC47" i="1"/>
  <c r="AB47" i="1"/>
  <c r="AD47" i="1"/>
  <c r="AC38" i="1"/>
  <c r="AB38" i="1"/>
  <c r="AD38" i="1"/>
  <c r="AB377" i="1"/>
  <c r="AD377" i="1"/>
  <c r="AC377" i="1"/>
  <c r="AD161" i="1"/>
  <c r="AC161" i="1"/>
  <c r="AB161" i="1"/>
  <c r="AC245" i="1"/>
  <c r="AD245" i="1"/>
  <c r="AB245" i="1"/>
  <c r="AC31" i="1"/>
  <c r="AD31" i="1"/>
  <c r="AB31" i="1"/>
  <c r="AC23" i="1"/>
  <c r="AD23" i="1"/>
  <c r="AB23" i="1"/>
  <c r="AD163" i="1"/>
  <c r="AC163" i="1"/>
  <c r="AB163" i="1"/>
  <c r="AC291" i="1"/>
  <c r="AD291" i="1"/>
  <c r="AB291" i="1"/>
  <c r="AD231" i="1"/>
  <c r="AC231" i="1"/>
  <c r="AB231" i="1"/>
  <c r="AC272" i="1"/>
  <c r="AD272" i="1"/>
  <c r="AB272" i="1"/>
  <c r="AC78" i="1"/>
  <c r="AD78" i="1"/>
  <c r="AB78" i="1"/>
  <c r="AD239" i="1"/>
  <c r="AC239" i="1"/>
  <c r="AB239" i="1"/>
  <c r="AC248" i="1"/>
  <c r="AD248" i="1"/>
  <c r="AB248" i="1"/>
  <c r="AC57" i="1"/>
  <c r="AD57" i="1"/>
  <c r="AB57" i="1"/>
  <c r="AC250" i="1"/>
  <c r="AD250" i="1"/>
  <c r="AB250" i="1"/>
  <c r="AD259" i="1"/>
  <c r="AC259" i="1"/>
  <c r="AB259" i="1"/>
  <c r="AC61" i="1"/>
  <c r="AD61" i="1"/>
  <c r="AB61" i="1"/>
  <c r="AC126" i="1"/>
  <c r="AD126" i="1"/>
  <c r="AB126" i="1"/>
  <c r="AD276" i="1"/>
  <c r="AC276" i="1"/>
  <c r="AB276" i="1"/>
  <c r="AC373" i="1"/>
  <c r="AD373" i="1"/>
  <c r="AB373" i="1"/>
  <c r="AD185" i="1"/>
  <c r="AC185" i="1"/>
  <c r="AB185" i="1"/>
  <c r="AC212" i="1"/>
  <c r="AD212" i="1"/>
  <c r="AB212" i="1"/>
  <c r="AC24" i="1"/>
  <c r="AD24" i="1"/>
  <c r="AB24" i="1"/>
  <c r="AD145" i="1"/>
  <c r="AC145" i="1"/>
  <c r="AB145" i="1"/>
  <c r="AD324" i="1"/>
  <c r="AC324" i="1"/>
  <c r="AB324" i="1"/>
  <c r="AD33" i="1"/>
  <c r="AC33" i="1"/>
  <c r="AB33" i="1"/>
  <c r="AD108" i="1"/>
  <c r="AC108" i="1"/>
  <c r="AD171" i="1"/>
  <c r="AC171" i="1"/>
  <c r="AB171" i="1"/>
  <c r="AC345" i="1"/>
  <c r="AD345" i="1"/>
  <c r="AB345" i="1"/>
  <c r="AC387" i="1"/>
  <c r="AD387" i="1"/>
  <c r="AB387" i="1"/>
  <c r="AD288" i="1"/>
  <c r="AC288" i="1"/>
  <c r="AB288" i="1"/>
  <c r="AD69" i="1"/>
  <c r="AC69" i="1"/>
  <c r="AB69" i="1"/>
  <c r="AC298" i="1"/>
  <c r="AD298" i="1"/>
  <c r="AB298" i="1"/>
  <c r="AD222" i="1"/>
  <c r="AC222" i="1"/>
  <c r="AB222" i="1"/>
  <c r="AC283" i="1"/>
  <c r="AD283" i="1"/>
  <c r="AB283" i="1"/>
  <c r="AD308" i="1"/>
  <c r="AC308" i="1"/>
  <c r="AB308" i="1"/>
  <c r="AC237" i="1"/>
  <c r="AD237" i="1"/>
  <c r="AB237" i="1"/>
  <c r="AC338" i="1"/>
  <c r="AD338" i="1"/>
  <c r="AB338" i="1"/>
  <c r="AC119" i="1"/>
  <c r="AD119" i="1"/>
  <c r="AB119" i="1"/>
  <c r="AH158" i="1"/>
  <c r="AI158" i="1"/>
  <c r="AU359" i="1"/>
  <c r="AW206" i="1"/>
  <c r="AH247" i="1"/>
  <c r="AI247" i="1"/>
  <c r="AH196" i="1"/>
  <c r="AI196" i="1"/>
  <c r="AU152" i="1"/>
  <c r="AU83" i="1"/>
  <c r="AB362" i="1"/>
  <c r="AD362" i="1"/>
  <c r="AC362" i="1"/>
  <c r="AC312" i="1"/>
  <c r="AB312" i="1"/>
  <c r="AD312" i="1"/>
  <c r="AB155" i="1"/>
  <c r="AD155" i="1"/>
  <c r="AC155" i="1"/>
  <c r="AB200" i="1"/>
  <c r="AD200" i="1"/>
  <c r="AC200" i="1"/>
  <c r="AC143" i="1"/>
  <c r="AB143" i="1"/>
  <c r="AD143" i="1"/>
  <c r="AD180" i="1"/>
  <c r="AB180" i="1"/>
  <c r="AC180" i="1"/>
  <c r="AD137" i="1"/>
  <c r="AC137" i="1"/>
  <c r="AB137" i="1"/>
  <c r="AD53" i="1"/>
  <c r="AB53" i="1"/>
  <c r="AC53" i="1"/>
  <c r="AD84" i="1"/>
  <c r="AC84" i="1"/>
  <c r="AB84" i="1"/>
  <c r="AC350" i="1"/>
  <c r="AD350" i="1"/>
  <c r="AB350" i="1"/>
  <c r="AD193" i="1"/>
  <c r="AB193" i="1"/>
  <c r="AC193" i="1"/>
  <c r="AC178" i="1"/>
  <c r="AB178" i="1"/>
  <c r="AD178" i="1"/>
  <c r="AD242" i="1"/>
  <c r="AC242" i="1"/>
  <c r="AB242" i="1"/>
  <c r="AD195" i="1"/>
  <c r="AC195" i="1"/>
  <c r="AB195" i="1"/>
  <c r="AC262" i="1"/>
  <c r="AD262" i="1"/>
  <c r="AB262" i="1"/>
  <c r="AC370" i="1"/>
  <c r="AD370" i="1"/>
  <c r="AB370" i="1"/>
  <c r="AD246" i="1"/>
  <c r="AC246" i="1"/>
  <c r="AB246" i="1"/>
  <c r="AD211" i="1"/>
  <c r="AC211" i="1"/>
  <c r="AB211" i="1"/>
  <c r="AC50" i="1"/>
  <c r="AD50" i="1"/>
  <c r="AB50" i="1"/>
  <c r="AD226" i="1"/>
  <c r="AC226" i="1"/>
  <c r="AB226" i="1"/>
  <c r="AC280" i="1"/>
  <c r="AD280" i="1"/>
  <c r="AB280" i="1"/>
  <c r="AC192" i="1"/>
  <c r="AD192" i="1"/>
  <c r="AB192" i="1"/>
  <c r="AD157" i="1"/>
  <c r="AC157" i="1"/>
  <c r="AB157" i="1"/>
  <c r="AC162" i="1"/>
  <c r="AD162" i="1"/>
  <c r="AB162" i="1"/>
  <c r="AC365" i="1"/>
  <c r="AD365" i="1"/>
  <c r="AB365" i="1"/>
  <c r="AC167" i="1"/>
  <c r="AD167" i="1"/>
  <c r="AB167" i="1"/>
  <c r="AC327" i="1"/>
  <c r="AD327" i="1"/>
  <c r="AB327" i="1"/>
  <c r="AC186" i="1"/>
  <c r="AD186" i="1"/>
  <c r="AB186" i="1"/>
  <c r="AC332" i="1"/>
  <c r="AD332" i="1"/>
  <c r="AB332" i="1"/>
  <c r="AD146" i="1"/>
  <c r="AC146" i="1"/>
  <c r="AB146" i="1"/>
  <c r="AD32" i="1"/>
  <c r="AC32" i="1"/>
  <c r="AB32" i="1"/>
  <c r="AC134" i="1"/>
  <c r="AD134" i="1"/>
  <c r="AB134" i="1"/>
  <c r="AD371" i="1"/>
  <c r="AC371" i="1"/>
  <c r="AB371" i="1"/>
  <c r="AC93" i="1"/>
  <c r="AD93" i="1"/>
  <c r="AB93" i="1"/>
  <c r="AC129" i="1"/>
  <c r="AD129" i="1"/>
  <c r="AB129" i="1"/>
  <c r="AC132" i="1"/>
  <c r="AD132" i="1"/>
  <c r="AB132" i="1"/>
  <c r="AD325" i="1"/>
  <c r="AC325" i="1"/>
  <c r="AB325" i="1"/>
  <c r="AC223" i="1"/>
  <c r="AD223" i="1"/>
  <c r="AB223" i="1"/>
  <c r="AC330" i="1"/>
  <c r="AD330" i="1"/>
  <c r="AB330" i="1"/>
  <c r="AD85" i="1"/>
  <c r="AC85" i="1"/>
  <c r="AB85" i="1"/>
  <c r="AC286" i="1"/>
  <c r="AD286" i="1"/>
  <c r="AB286" i="1"/>
  <c r="AD349" i="1"/>
  <c r="AC349" i="1"/>
  <c r="AB349" i="1"/>
  <c r="AC339" i="1"/>
  <c r="AD339" i="1"/>
  <c r="AB339" i="1"/>
  <c r="AD292" i="1"/>
  <c r="AC292" i="1"/>
  <c r="AB292" i="1"/>
  <c r="AD360" i="1"/>
  <c r="AC360" i="1"/>
  <c r="AB360" i="1"/>
  <c r="AD331" i="1"/>
  <c r="AC331" i="1"/>
  <c r="AB331" i="1"/>
  <c r="AC79" i="1"/>
  <c r="AD79" i="1"/>
  <c r="AB79" i="1"/>
  <c r="AW327" i="1"/>
  <c r="AW34" i="1"/>
  <c r="AW116" i="1"/>
  <c r="AW253" i="1"/>
  <c r="AH12" i="1"/>
  <c r="AI12" i="1"/>
  <c r="AW277" i="1"/>
  <c r="AH207" i="1"/>
  <c r="AI207" i="1"/>
  <c r="AU275" i="1"/>
  <c r="AC166" i="1"/>
  <c r="AD166" i="1"/>
  <c r="AB166" i="1"/>
  <c r="AD254" i="1"/>
  <c r="AC254" i="1"/>
  <c r="AB254" i="1"/>
  <c r="AC62" i="1"/>
  <c r="AD62" i="1"/>
  <c r="AB62" i="1"/>
  <c r="AD256" i="1"/>
  <c r="AB256" i="1"/>
  <c r="AC256" i="1"/>
  <c r="AB382" i="1"/>
  <c r="AC382" i="1"/>
  <c r="AD382" i="1"/>
  <c r="AB285" i="1"/>
  <c r="AC285" i="1"/>
  <c r="AD285" i="1"/>
  <c r="AB136" i="1"/>
  <c r="AD136" i="1"/>
  <c r="AC136" i="1"/>
  <c r="AD238" i="1"/>
  <c r="AB238" i="1"/>
  <c r="AC238" i="1"/>
  <c r="AD358" i="1"/>
  <c r="AB358" i="1"/>
  <c r="AC358" i="1"/>
  <c r="AB372" i="1"/>
  <c r="AD372" i="1"/>
  <c r="AC372" i="1"/>
  <c r="AD380" i="1"/>
  <c r="AC380" i="1"/>
  <c r="AB380" i="1"/>
  <c r="AD153" i="1"/>
  <c r="AC153" i="1"/>
  <c r="AB153" i="1"/>
  <c r="AD319" i="1"/>
  <c r="AC319" i="1"/>
  <c r="AB319" i="1"/>
  <c r="AD326" i="1"/>
  <c r="AC326" i="1"/>
  <c r="AB326" i="1"/>
  <c r="AC321" i="1"/>
  <c r="AD321" i="1"/>
  <c r="AB321" i="1"/>
  <c r="AC121" i="1"/>
  <c r="AD121" i="1"/>
  <c r="AB121" i="1"/>
  <c r="AC257" i="1"/>
  <c r="AD257" i="1"/>
  <c r="AB257" i="1"/>
  <c r="AD216" i="1"/>
  <c r="AC216" i="1"/>
  <c r="AB216" i="1"/>
  <c r="AD154" i="1"/>
  <c r="AC154" i="1"/>
  <c r="AB154" i="1"/>
  <c r="AD318" i="1"/>
  <c r="AC318" i="1"/>
  <c r="AB318" i="1"/>
  <c r="AD160" i="1"/>
  <c r="AC160" i="1"/>
  <c r="AB160" i="1"/>
  <c r="AC353" i="1"/>
  <c r="AD353" i="1"/>
  <c r="AB353" i="1"/>
  <c r="AC104" i="1"/>
  <c r="AD104" i="1"/>
  <c r="AB104" i="1"/>
  <c r="AD252" i="1"/>
  <c r="AC252" i="1"/>
  <c r="AB252" i="1"/>
  <c r="AD243" i="1"/>
  <c r="AC243" i="1"/>
  <c r="AB243" i="1"/>
  <c r="AD270" i="1"/>
  <c r="AC270" i="1"/>
  <c r="AB270" i="1"/>
  <c r="AC165" i="1"/>
  <c r="AD165" i="1"/>
  <c r="AB165" i="1"/>
  <c r="AC255" i="1"/>
  <c r="AD255" i="1"/>
  <c r="AB255" i="1"/>
  <c r="AC130" i="1"/>
  <c r="AD130" i="1"/>
  <c r="AB130" i="1"/>
  <c r="AC306" i="1"/>
  <c r="AD306" i="1"/>
  <c r="AB306" i="1"/>
  <c r="AD124" i="1"/>
  <c r="AC124" i="1"/>
  <c r="AB124" i="1"/>
  <c r="AC91" i="1"/>
  <c r="AD91" i="1"/>
  <c r="AB91" i="1"/>
  <c r="AC28" i="1"/>
  <c r="AD28" i="1"/>
  <c r="AB28" i="1"/>
  <c r="AC71" i="1"/>
  <c r="AD71" i="1"/>
  <c r="AB71" i="1"/>
  <c r="AC179" i="1"/>
  <c r="AD179" i="1"/>
  <c r="AB179" i="1"/>
  <c r="AC65" i="1"/>
  <c r="AD65" i="1"/>
  <c r="AB65" i="1"/>
  <c r="AD144" i="1"/>
  <c r="AC144" i="1"/>
  <c r="AB144" i="1"/>
  <c r="AC374" i="1"/>
  <c r="AD374" i="1"/>
  <c r="AB374" i="1"/>
  <c r="AC357" i="1"/>
  <c r="AD357" i="1"/>
  <c r="AB357" i="1"/>
  <c r="AC109" i="1"/>
  <c r="AD109" i="1"/>
  <c r="AB109" i="1"/>
  <c r="AC344" i="1"/>
  <c r="AD344" i="1"/>
  <c r="AB344" i="1"/>
  <c r="AD366" i="1"/>
  <c r="AC366" i="1"/>
  <c r="AB366" i="1"/>
  <c r="AC369" i="1"/>
  <c r="AD369" i="1"/>
  <c r="AB369" i="1"/>
  <c r="AD138" i="1"/>
  <c r="AC138" i="1"/>
  <c r="AB138" i="1"/>
  <c r="AC142" i="1"/>
  <c r="AD142" i="1"/>
  <c r="AB142" i="1"/>
  <c r="AD244" i="1"/>
  <c r="AC244" i="1"/>
  <c r="AB244" i="1"/>
  <c r="AC113" i="1"/>
  <c r="AD113" i="1"/>
  <c r="AB113" i="1"/>
  <c r="AC88" i="1"/>
  <c r="AD88" i="1"/>
  <c r="AB88" i="1"/>
  <c r="AD301" i="1"/>
  <c r="AC301" i="1"/>
  <c r="AB301" i="1"/>
  <c r="AD322" i="1"/>
  <c r="AB322" i="1"/>
  <c r="AC322" i="1"/>
  <c r="AD316" i="1"/>
  <c r="AC316" i="1"/>
  <c r="AB316" i="1"/>
  <c r="AD51" i="1"/>
  <c r="AC51" i="1"/>
  <c r="AB51" i="1"/>
  <c r="AC11" i="1"/>
  <c r="AD11" i="1"/>
  <c r="AB11" i="1"/>
  <c r="AC290" i="1"/>
  <c r="AD290" i="1"/>
  <c r="AB290" i="1"/>
  <c r="AD98" i="1"/>
  <c r="AC98" i="1"/>
  <c r="AB98" i="1"/>
  <c r="AC385" i="1"/>
  <c r="AD385" i="1"/>
  <c r="AB385" i="1"/>
  <c r="AC76" i="1"/>
  <c r="AD76" i="1"/>
  <c r="AB76" i="1"/>
  <c r="AD81" i="1"/>
  <c r="AC81" i="1"/>
  <c r="AB81" i="1"/>
  <c r="AD115" i="1"/>
  <c r="AC115" i="1"/>
  <c r="AB115" i="1"/>
  <c r="AW356" i="1"/>
  <c r="AH337" i="1"/>
  <c r="AJ337" i="1"/>
  <c r="AU75" i="1"/>
  <c r="AH186" i="1"/>
  <c r="AI186" i="1"/>
  <c r="AH175" i="1"/>
  <c r="AJ175" i="1"/>
  <c r="AU246" i="1"/>
  <c r="AH141" i="1"/>
  <c r="AJ141" i="1"/>
  <c r="AB44" i="1"/>
  <c r="AD44" i="1"/>
  <c r="AC44" i="1"/>
  <c r="AC235" i="1"/>
  <c r="AB235" i="1"/>
  <c r="AD235" i="1"/>
  <c r="AC273" i="1"/>
  <c r="AD273" i="1"/>
  <c r="AB273" i="1"/>
  <c r="AD209" i="1"/>
  <c r="AB209" i="1"/>
  <c r="AC209" i="1"/>
  <c r="AD336" i="1"/>
  <c r="AC336" i="1"/>
  <c r="AB336" i="1"/>
  <c r="AB118" i="1"/>
  <c r="AD118" i="1"/>
  <c r="AC118" i="1"/>
  <c r="AB108" i="1"/>
  <c r="AB22" i="1"/>
  <c r="AD22" i="1"/>
  <c r="AC22" i="1"/>
  <c r="AB191" i="1"/>
  <c r="AD191" i="1"/>
  <c r="AC191" i="1"/>
  <c r="AD354" i="1"/>
  <c r="AB354" i="1"/>
  <c r="AC354" i="1"/>
  <c r="AB217" i="1"/>
  <c r="AC217" i="1"/>
  <c r="AD217" i="1"/>
  <c r="AC187" i="1"/>
  <c r="AB187" i="1"/>
  <c r="AD187" i="1"/>
  <c r="AB225" i="1"/>
  <c r="AD225" i="1"/>
  <c r="AC225" i="1"/>
  <c r="AD16" i="1"/>
  <c r="AC16" i="1"/>
  <c r="AB16" i="1"/>
  <c r="AC105" i="1"/>
  <c r="AD105" i="1"/>
  <c r="AB105" i="1"/>
  <c r="AD123" i="1"/>
  <c r="AC123" i="1"/>
  <c r="AB123" i="1"/>
  <c r="AD214" i="1"/>
  <c r="AC214" i="1"/>
  <c r="AB214" i="1"/>
  <c r="AC220" i="1"/>
  <c r="AD220" i="1"/>
  <c r="AB220" i="1"/>
  <c r="AC269" i="1"/>
  <c r="AD269" i="1"/>
  <c r="AB269" i="1"/>
  <c r="AD302" i="1"/>
  <c r="AC302" i="1"/>
  <c r="AB302" i="1"/>
  <c r="AD68" i="1"/>
  <c r="AC68" i="1"/>
  <c r="AB68" i="1"/>
  <c r="AD236" i="1"/>
  <c r="AC236" i="1"/>
  <c r="AB236" i="1"/>
  <c r="AC101" i="1"/>
  <c r="AD101" i="1"/>
  <c r="AB101" i="1"/>
  <c r="AC224" i="1"/>
  <c r="AD224" i="1"/>
  <c r="AB224" i="1"/>
  <c r="AD99" i="1"/>
  <c r="AC99" i="1"/>
  <c r="AB99" i="1"/>
  <c r="AD67" i="1"/>
  <c r="AC67" i="1"/>
  <c r="AB67" i="1"/>
  <c r="AC313" i="1"/>
  <c r="AD313" i="1"/>
  <c r="AB313" i="1"/>
  <c r="AD194" i="1"/>
  <c r="AC194" i="1"/>
  <c r="AB194" i="1"/>
  <c r="AD52" i="1"/>
  <c r="AC52" i="1"/>
  <c r="AB52" i="1"/>
  <c r="AC148" i="1"/>
  <c r="AD148" i="1"/>
  <c r="AB148" i="1"/>
  <c r="AC117" i="1"/>
  <c r="AD117" i="1"/>
  <c r="AB117" i="1"/>
  <c r="AC213" i="1"/>
  <c r="AD213" i="1"/>
  <c r="AB213" i="1"/>
  <c r="AC346" i="1"/>
  <c r="AD346" i="1"/>
  <c r="AB346" i="1"/>
  <c r="AC30" i="1"/>
  <c r="AD30" i="1"/>
  <c r="AB30" i="1"/>
  <c r="AC21" i="1"/>
  <c r="AD21" i="1"/>
  <c r="AB21" i="1"/>
  <c r="AC190" i="1"/>
  <c r="AD190" i="1"/>
  <c r="AB190" i="1"/>
  <c r="AC219" i="1"/>
  <c r="AD219" i="1"/>
  <c r="AB219" i="1"/>
  <c r="AD228" i="1"/>
  <c r="AC228" i="1"/>
  <c r="AB228" i="1"/>
  <c r="AD311" i="1"/>
  <c r="AC311" i="1"/>
  <c r="AB311" i="1"/>
  <c r="AD289" i="1"/>
  <c r="AC289" i="1"/>
  <c r="AB289" i="1"/>
  <c r="AC59" i="1"/>
  <c r="AD59" i="1"/>
  <c r="AB59" i="1"/>
  <c r="AC202" i="1"/>
  <c r="AD202" i="1"/>
  <c r="AB202" i="1"/>
  <c r="AC96" i="1"/>
  <c r="AD96" i="1"/>
  <c r="AB96" i="1"/>
  <c r="AC184" i="1"/>
  <c r="AD184" i="1"/>
  <c r="AB184" i="1"/>
  <c r="AC17" i="1"/>
  <c r="AD17" i="1"/>
  <c r="AB17" i="1"/>
  <c r="AC172" i="1"/>
  <c r="AD172" i="1"/>
  <c r="AB172" i="1"/>
  <c r="AC348" i="1"/>
  <c r="AD348" i="1"/>
  <c r="AB348" i="1"/>
  <c r="AC227" i="1"/>
  <c r="AD227" i="1"/>
  <c r="AB227" i="1"/>
  <c r="AC297" i="1"/>
  <c r="AD297" i="1"/>
  <c r="AB297" i="1"/>
  <c r="F240" i="3"/>
  <c r="F243" i="3"/>
  <c r="F242" i="3"/>
  <c r="F244" i="3"/>
  <c r="G213" i="3"/>
  <c r="AW185" i="1"/>
  <c r="B257" i="2"/>
  <c r="AJ366" i="1"/>
  <c r="AH322" i="1"/>
  <c r="AI322" i="1"/>
  <c r="AU237" i="1"/>
  <c r="AU301" i="1"/>
  <c r="AU38" i="1"/>
  <c r="AW154" i="1"/>
  <c r="AU105" i="1"/>
  <c r="AU76" i="1"/>
  <c r="AH206" i="1"/>
  <c r="AI206" i="1"/>
  <c r="AW247" i="1"/>
  <c r="AH193" i="1"/>
  <c r="AI193" i="1"/>
  <c r="AW197" i="1"/>
  <c r="AH128" i="1"/>
  <c r="AJ128" i="1"/>
  <c r="AU106" i="1"/>
  <c r="AU96" i="1"/>
  <c r="AU247" i="1"/>
  <c r="AH36" i="1"/>
  <c r="AJ36" i="1"/>
  <c r="AH268" i="1"/>
  <c r="AJ268" i="1"/>
  <c r="AU101" i="1"/>
  <c r="AW171" i="1"/>
  <c r="AH197" i="1"/>
  <c r="AI197" i="1"/>
  <c r="AW113" i="1"/>
  <c r="AU273" i="1"/>
  <c r="AU277" i="1"/>
  <c r="AU374" i="1"/>
  <c r="AW281" i="1"/>
  <c r="AU210" i="1"/>
  <c r="AW75" i="1"/>
  <c r="AW166" i="1"/>
  <c r="AH294" i="1"/>
  <c r="AJ294" i="1"/>
  <c r="AW230" i="1"/>
  <c r="AU128" i="1"/>
  <c r="AW85" i="1"/>
  <c r="AH385" i="1"/>
  <c r="AI385" i="1"/>
  <c r="AW128" i="1"/>
  <c r="AW124" i="1"/>
  <c r="AW263" i="1"/>
  <c r="AH185" i="1"/>
  <c r="AI185" i="1"/>
  <c r="AU206" i="1"/>
  <c r="AH359" i="1"/>
  <c r="AJ359" i="1"/>
  <c r="AU388" i="1"/>
  <c r="AW366" i="1"/>
  <c r="H167" i="4"/>
  <c r="AU197" i="1"/>
  <c r="AH95" i="1"/>
  <c r="AI95" i="1"/>
  <c r="AH111" i="1"/>
  <c r="AJ111" i="1"/>
  <c r="AU193" i="1"/>
  <c r="AU85" i="1"/>
  <c r="AH49" i="1"/>
  <c r="AJ49" i="1"/>
  <c r="AU171" i="1"/>
  <c r="AH365" i="1"/>
  <c r="AI365" i="1"/>
  <c r="AW275" i="1"/>
  <c r="AH116" i="1"/>
  <c r="AI116" i="1"/>
  <c r="AH275" i="1"/>
  <c r="AI275" i="1"/>
  <c r="AH217" i="1"/>
  <c r="AJ217" i="1"/>
  <c r="AW317" i="1"/>
  <c r="AU217" i="1"/>
  <c r="B65" i="4"/>
  <c r="H65" i="4"/>
  <c r="AH16" i="1"/>
  <c r="AI16" i="1"/>
  <c r="AW249" i="1"/>
  <c r="AI379" i="1"/>
  <c r="AU97" i="1"/>
  <c r="AU35" i="1"/>
  <c r="B167" i="4"/>
  <c r="AH210" i="1"/>
  <c r="AJ210" i="1"/>
  <c r="AH227" i="1"/>
  <c r="AJ227" i="1"/>
  <c r="AW296" i="1"/>
  <c r="AH154" i="1"/>
  <c r="AI154" i="1"/>
  <c r="AW49" i="1"/>
  <c r="AH171" i="1"/>
  <c r="AI171" i="1"/>
  <c r="AW126" i="1"/>
  <c r="AU366" i="1"/>
  <c r="AH266" i="1"/>
  <c r="AJ266" i="1"/>
  <c r="AH118" i="1"/>
  <c r="AI118" i="1"/>
  <c r="AW66" i="1"/>
  <c r="AH282" i="1"/>
  <c r="AI282" i="1"/>
  <c r="AJ273" i="1"/>
  <c r="AW97" i="1"/>
  <c r="AU34" i="1"/>
  <c r="AU227" i="1"/>
  <c r="AU49" i="1"/>
  <c r="AH125" i="1"/>
  <c r="AI125" i="1"/>
  <c r="AU126" i="1"/>
  <c r="AH126" i="1"/>
  <c r="AJ126" i="1"/>
  <c r="AW237" i="1"/>
  <c r="AW309" i="1"/>
  <c r="AH166" i="1"/>
  <c r="AI166" i="1"/>
  <c r="AU385" i="1"/>
  <c r="AW36" i="1"/>
  <c r="AH188" i="1"/>
  <c r="AI188" i="1"/>
  <c r="AU356" i="1"/>
  <c r="AW256" i="1"/>
  <c r="AU281" i="1"/>
  <c r="AU240" i="1"/>
  <c r="AU288" i="1"/>
  <c r="AU72" i="1"/>
  <c r="AU32" i="1"/>
  <c r="AW24" i="1"/>
  <c r="AU256" i="1"/>
  <c r="AH13" i="1"/>
  <c r="AJ13" i="1"/>
  <c r="AH297" i="1"/>
  <c r="AI297" i="1"/>
  <c r="AU125" i="1"/>
  <c r="AW120" i="1"/>
  <c r="AH253" i="1"/>
  <c r="AI253" i="1"/>
  <c r="AW338" i="1"/>
  <c r="AW264" i="1"/>
  <c r="AH45" i="1"/>
  <c r="AI45" i="1"/>
  <c r="AU327" i="1"/>
  <c r="AU379" i="1"/>
  <c r="AI301" i="1"/>
  <c r="AW259" i="1"/>
  <c r="AH34" i="1"/>
  <c r="AI34" i="1"/>
  <c r="AH338" i="1"/>
  <c r="AI338" i="1"/>
  <c r="AU253" i="1"/>
  <c r="AU357" i="1"/>
  <c r="AH40" i="1"/>
  <c r="AJ40" i="1"/>
  <c r="AW106" i="1"/>
  <c r="AH231" i="1"/>
  <c r="AI231" i="1"/>
  <c r="AH96" i="1"/>
  <c r="AJ96" i="1"/>
  <c r="AH302" i="1"/>
  <c r="AI302" i="1"/>
  <c r="AU134" i="1"/>
  <c r="AU102" i="1"/>
  <c r="AW266" i="1"/>
  <c r="AU119" i="1"/>
  <c r="AH248" i="1"/>
  <c r="AJ248" i="1"/>
  <c r="AW101" i="1"/>
  <c r="AJ35" i="1"/>
  <c r="AH97" i="1"/>
  <c r="AI97" i="1"/>
  <c r="AU338" i="1"/>
  <c r="AH106" i="1"/>
  <c r="AJ106" i="1"/>
  <c r="AH357" i="1"/>
  <c r="AJ357" i="1"/>
  <c r="AH51" i="1"/>
  <c r="AJ51" i="1"/>
  <c r="AU188" i="1"/>
  <c r="AW357" i="1"/>
  <c r="AH211" i="1"/>
  <c r="AI211" i="1"/>
  <c r="AH159" i="1"/>
  <c r="AJ159" i="1"/>
  <c r="AW167" i="1"/>
  <c r="AU266" i="1"/>
  <c r="AH144" i="1"/>
  <c r="AJ144" i="1"/>
  <c r="AU352" i="1"/>
  <c r="AH222" i="1"/>
  <c r="AJ222" i="1"/>
  <c r="AW13" i="1"/>
  <c r="AH22" i="1"/>
  <c r="AJ22" i="1"/>
  <c r="AU89" i="1"/>
  <c r="AH122" i="1"/>
  <c r="AJ122" i="1"/>
  <c r="AI64" i="1"/>
  <c r="AH259" i="1"/>
  <c r="AI259" i="1"/>
  <c r="AH252" i="1"/>
  <c r="AI252" i="1"/>
  <c r="AU386" i="1"/>
  <c r="AW301" i="1"/>
  <c r="AW162" i="1"/>
  <c r="AU369" i="1"/>
  <c r="AW178" i="1"/>
  <c r="AW269" i="1"/>
  <c r="AH269" i="1"/>
  <c r="AI269" i="1"/>
  <c r="AU222" i="1"/>
  <c r="AU33" i="1"/>
  <c r="AU252" i="1"/>
  <c r="AU367" i="1"/>
  <c r="AH202" i="1"/>
  <c r="AJ202" i="1"/>
  <c r="AU207" i="1"/>
  <c r="B201" i="4"/>
  <c r="H201" i="4"/>
  <c r="AI204" i="1"/>
  <c r="AW330" i="1"/>
  <c r="AH147" i="1"/>
  <c r="AJ147" i="1"/>
  <c r="AU62" i="1"/>
  <c r="AU337" i="1"/>
  <c r="AU64" i="1"/>
  <c r="AW345" i="1"/>
  <c r="AU322" i="1"/>
  <c r="AH356" i="1"/>
  <c r="AJ356" i="1"/>
  <c r="AH309" i="1"/>
  <c r="AI309" i="1"/>
  <c r="AU130" i="1"/>
  <c r="AU263" i="1"/>
  <c r="AH388" i="1"/>
  <c r="AI388" i="1"/>
  <c r="AU371" i="1"/>
  <c r="AW76" i="1"/>
  <c r="AW32" i="1"/>
  <c r="AH347" i="1"/>
  <c r="AJ347" i="1"/>
  <c r="AU261" i="1"/>
  <c r="AW315" i="1"/>
  <c r="AI270" i="1"/>
  <c r="AJ110" i="1"/>
  <c r="AH200" i="1"/>
  <c r="AJ200" i="1"/>
  <c r="AW130" i="1"/>
  <c r="AH332" i="1"/>
  <c r="AJ332" i="1"/>
  <c r="AH150" i="1"/>
  <c r="AJ150" i="1"/>
  <c r="AU204" i="1"/>
  <c r="AH93" i="1"/>
  <c r="AI93" i="1"/>
  <c r="AH285" i="1"/>
  <c r="AI285" i="1"/>
  <c r="AU320" i="1"/>
  <c r="AU192" i="1"/>
  <c r="AW28" i="1"/>
  <c r="AW314" i="1"/>
  <c r="AW57" i="1"/>
  <c r="AH85" i="1"/>
  <c r="AI85" i="1"/>
  <c r="AW38" i="1"/>
  <c r="AW331" i="1"/>
  <c r="AH54" i="1"/>
  <c r="AI54" i="1"/>
  <c r="AU69" i="1"/>
  <c r="AW95" i="1"/>
  <c r="AH261" i="1"/>
  <c r="AI261" i="1"/>
  <c r="AH320" i="1"/>
  <c r="AJ320" i="1"/>
  <c r="AU230" i="1"/>
  <c r="AW174" i="1"/>
  <c r="AH354" i="1"/>
  <c r="AI354" i="1"/>
  <c r="AU314" i="1"/>
  <c r="AW354" i="1"/>
  <c r="AH30" i="1"/>
  <c r="AJ30" i="1"/>
  <c r="AI67" i="1"/>
  <c r="AU67" i="1"/>
  <c r="AH79" i="1"/>
  <c r="AI79" i="1"/>
  <c r="AU79" i="1"/>
  <c r="AW67" i="1"/>
  <c r="AW141" i="1"/>
  <c r="AH174" i="1"/>
  <c r="AI174" i="1"/>
  <c r="AH279" i="1"/>
  <c r="AJ279" i="1"/>
  <c r="AH88" i="1"/>
  <c r="AI88" i="1"/>
  <c r="AI28" i="1"/>
  <c r="AH57" i="1"/>
  <c r="AJ57" i="1"/>
  <c r="AU200" i="1"/>
  <c r="AH38" i="1"/>
  <c r="AI38" i="1"/>
  <c r="AW255" i="1"/>
  <c r="AU95" i="1"/>
  <c r="AH293" i="1"/>
  <c r="AJ293" i="1"/>
  <c r="AW72" i="1"/>
  <c r="AH62" i="1"/>
  <c r="AJ62" i="1"/>
  <c r="AH230" i="1"/>
  <c r="AJ230" i="1"/>
  <c r="AW62" i="1"/>
  <c r="AW69" i="1"/>
  <c r="AH331" i="1"/>
  <c r="AJ331" i="1"/>
  <c r="AU111" i="1"/>
  <c r="AH271" i="1"/>
  <c r="AI271" i="1"/>
  <c r="AU191" i="1"/>
  <c r="AU162" i="1"/>
  <c r="AH48" i="1"/>
  <c r="AI48" i="1"/>
  <c r="AU48" i="1"/>
  <c r="AW352" i="1"/>
  <c r="AU160" i="1"/>
  <c r="AW388" i="1"/>
  <c r="AW200" i="1"/>
  <c r="AW268" i="1"/>
  <c r="AW385" i="1"/>
  <c r="AU14" i="1"/>
  <c r="AU344" i="1"/>
  <c r="AW64" i="1"/>
  <c r="AU40" i="1"/>
  <c r="AU297" i="1"/>
  <c r="AU90" i="1"/>
  <c r="AU345" i="1"/>
  <c r="AH255" i="1"/>
  <c r="AI255" i="1"/>
  <c r="AW147" i="1"/>
  <c r="AW40" i="1"/>
  <c r="AH352" i="1"/>
  <c r="AJ352" i="1"/>
  <c r="AU158" i="1"/>
  <c r="AU147" i="1"/>
  <c r="AW231" i="1"/>
  <c r="AH123" i="1"/>
  <c r="AI123" i="1"/>
  <c r="AD334" i="1"/>
  <c r="AW93" i="1"/>
  <c r="AW294" i="1"/>
  <c r="AU166" i="1"/>
  <c r="AW216" i="1"/>
  <c r="AU66" i="1"/>
  <c r="AW45" i="1"/>
  <c r="AU174" i="1"/>
  <c r="AH386" i="1"/>
  <c r="AJ386" i="1"/>
  <c r="AU150" i="1"/>
  <c r="AW282" i="1"/>
  <c r="AU282" i="1"/>
  <c r="AU248" i="1"/>
  <c r="AW207" i="1"/>
  <c r="AW110" i="1"/>
  <c r="AU63" i="1"/>
  <c r="AU73" i="1"/>
  <c r="AH327" i="1"/>
  <c r="AJ327" i="1"/>
  <c r="AH283" i="1"/>
  <c r="AI283" i="1"/>
  <c r="AW375" i="1"/>
  <c r="AU332" i="1"/>
  <c r="AU255" i="1"/>
  <c r="AU54" i="1"/>
  <c r="AU196" i="1"/>
  <c r="AU287" i="1"/>
  <c r="AU93" i="1"/>
  <c r="AU123" i="1"/>
  <c r="AW374" i="1"/>
  <c r="AW204" i="1"/>
  <c r="AH160" i="1"/>
  <c r="AJ160" i="1"/>
  <c r="AW79" i="1"/>
  <c r="AW320" i="1"/>
  <c r="AW159" i="1"/>
  <c r="AU141" i="1"/>
  <c r="AH102" i="1"/>
  <c r="AI102" i="1"/>
  <c r="AH191" i="1"/>
  <c r="AJ191" i="1"/>
  <c r="AU317" i="1"/>
  <c r="AW125" i="1"/>
  <c r="AH240" i="1"/>
  <c r="AJ240" i="1"/>
  <c r="AU315" i="1"/>
  <c r="AW337" i="1"/>
  <c r="AU201" i="1"/>
  <c r="AU294" i="1"/>
  <c r="AH369" i="1"/>
  <c r="AI369" i="1"/>
  <c r="AH63" i="1"/>
  <c r="AI63" i="1"/>
  <c r="AU116" i="1"/>
  <c r="AW177" i="1"/>
  <c r="AU331" i="1"/>
  <c r="AW201" i="1"/>
  <c r="AH130" i="1"/>
  <c r="AJ130" i="1"/>
  <c r="AH201" i="1"/>
  <c r="AJ201" i="1"/>
  <c r="AH32" i="1"/>
  <c r="AI32" i="1"/>
  <c r="AI287" i="1"/>
  <c r="AI119" i="1"/>
  <c r="AW96" i="1"/>
  <c r="AW90" i="1"/>
  <c r="AH296" i="1"/>
  <c r="AJ296" i="1"/>
  <c r="AW35" i="1"/>
  <c r="AH374" i="1"/>
  <c r="AJ374" i="1"/>
  <c r="AW199" i="1"/>
  <c r="AW48" i="1"/>
  <c r="AU36" i="1"/>
  <c r="AW51" i="1"/>
  <c r="AW273" i="1"/>
  <c r="AU28" i="1"/>
  <c r="AU231" i="1"/>
  <c r="AW188" i="1"/>
  <c r="AW192" i="1"/>
  <c r="AH192" i="1"/>
  <c r="AI192" i="1"/>
  <c r="AW158" i="1"/>
  <c r="AU159" i="1"/>
  <c r="AH66" i="1"/>
  <c r="AI66" i="1"/>
  <c r="AW102" i="1"/>
  <c r="AW191" i="1"/>
  <c r="AH317" i="1"/>
  <c r="AJ317" i="1"/>
  <c r="AU120" i="1"/>
  <c r="AH177" i="1"/>
  <c r="AI177" i="1"/>
  <c r="AU110" i="1"/>
  <c r="AW248" i="1"/>
  <c r="AH73" i="1"/>
  <c r="AW379" i="1"/>
  <c r="AU177" i="1"/>
  <c r="AU279" i="1"/>
  <c r="AW240" i="1"/>
  <c r="AW270" i="1"/>
  <c r="AU270" i="1"/>
  <c r="AW288" i="1"/>
  <c r="AH288" i="1"/>
  <c r="AJ288" i="1"/>
  <c r="AH315" i="1"/>
  <c r="AI315" i="1"/>
  <c r="AH375" i="1"/>
  <c r="AI375" i="1"/>
  <c r="AH77" i="1"/>
  <c r="AJ77" i="1"/>
  <c r="AW222" i="1"/>
  <c r="AH90" i="1"/>
  <c r="AJ90" i="1"/>
  <c r="AH345" i="1"/>
  <c r="AJ345" i="1"/>
  <c r="AH9" i="1"/>
  <c r="AI9" i="1"/>
  <c r="AU9" i="1"/>
  <c r="AW287" i="1"/>
  <c r="AU51" i="1"/>
  <c r="AW196" i="1"/>
  <c r="AH69" i="1"/>
  <c r="AJ69" i="1"/>
  <c r="AW285" i="1"/>
  <c r="AH256" i="1"/>
  <c r="AJ256" i="1"/>
  <c r="AH75" i="1"/>
  <c r="AI75" i="1"/>
  <c r="AH216" i="1"/>
  <c r="AI216" i="1"/>
  <c r="AH101" i="1"/>
  <c r="AI101" i="1"/>
  <c r="AW369" i="1"/>
  <c r="AU88" i="1"/>
  <c r="AW119" i="1"/>
  <c r="AU285" i="1"/>
  <c r="AH318" i="1"/>
  <c r="AJ318" i="1"/>
  <c r="AW11" i="1"/>
  <c r="AW234" i="1"/>
  <c r="AU138" i="1"/>
  <c r="AH138" i="1"/>
  <c r="AI138" i="1"/>
  <c r="AW15" i="1"/>
  <c r="AH15" i="1"/>
  <c r="AI15" i="1"/>
  <c r="AU15" i="1"/>
  <c r="AH291" i="1"/>
  <c r="AW291" i="1"/>
  <c r="AH328" i="1"/>
  <c r="AU328" i="1"/>
  <c r="AW328" i="1"/>
  <c r="AU108" i="1"/>
  <c r="AW108" i="1"/>
  <c r="AH108" i="1"/>
  <c r="AJ108" i="1"/>
  <c r="AW59" i="1"/>
  <c r="AH59" i="1"/>
  <c r="AJ59" i="1"/>
  <c r="AU122" i="1"/>
  <c r="AU173" i="1"/>
  <c r="AH173" i="1"/>
  <c r="AJ173" i="1"/>
  <c r="AU189" i="1"/>
  <c r="AH189" i="1"/>
  <c r="AJ189" i="1"/>
  <c r="AW189" i="1"/>
  <c r="AW367" i="1"/>
  <c r="AW78" i="1"/>
  <c r="AH78" i="1"/>
  <c r="AI78" i="1"/>
  <c r="AU78" i="1"/>
  <c r="AW319" i="1"/>
  <c r="AU319" i="1"/>
  <c r="AH161" i="1"/>
  <c r="AU161" i="1"/>
  <c r="AW161" i="1"/>
  <c r="AH336" i="1"/>
  <c r="AW336" i="1"/>
  <c r="AU336" i="1"/>
  <c r="AW278" i="1"/>
  <c r="AU278" i="1"/>
  <c r="AH278" i="1"/>
  <c r="AJ278" i="1"/>
  <c r="AW380" i="1"/>
  <c r="AU380" i="1"/>
  <c r="AH380" i="1"/>
  <c r="AJ380" i="1"/>
  <c r="AH311" i="1"/>
  <c r="AJ311" i="1"/>
  <c r="AW311" i="1"/>
  <c r="AU21" i="1"/>
  <c r="AH21" i="1"/>
  <c r="AJ21" i="1"/>
  <c r="AW21" i="1"/>
  <c r="AW179" i="1"/>
  <c r="AH179" i="1"/>
  <c r="AJ179" i="1"/>
  <c r="AW144" i="1"/>
  <c r="AH81" i="1"/>
  <c r="AJ81" i="1"/>
  <c r="AU81" i="1"/>
  <c r="AW81" i="1"/>
  <c r="AW89" i="1"/>
  <c r="AH89" i="1"/>
  <c r="AJ89" i="1"/>
  <c r="AH362" i="1"/>
  <c r="AU362" i="1"/>
  <c r="AU117" i="1"/>
  <c r="AW117" i="1"/>
  <c r="AW272" i="1"/>
  <c r="AH272" i="1"/>
  <c r="AI272" i="1"/>
  <c r="AU272" i="1"/>
  <c r="AH209" i="1"/>
  <c r="AU209" i="1"/>
  <c r="AW209" i="1"/>
  <c r="AW33" i="1"/>
  <c r="AW26" i="1"/>
  <c r="AU26" i="1"/>
  <c r="AU330" i="1"/>
  <c r="AH330" i="1"/>
  <c r="AI330" i="1"/>
  <c r="AW139" i="1"/>
  <c r="AH139" i="1"/>
  <c r="AJ139" i="1"/>
  <c r="AU139" i="1"/>
  <c r="AU213" i="1"/>
  <c r="AW213" i="1"/>
  <c r="AW132" i="1"/>
  <c r="AH132" i="1"/>
  <c r="AI132" i="1"/>
  <c r="AU132" i="1"/>
  <c r="AW382" i="1"/>
  <c r="AH382" i="1"/>
  <c r="AJ382" i="1"/>
  <c r="AH131" i="1"/>
  <c r="AW131" i="1"/>
  <c r="AU131" i="1"/>
  <c r="AH221" i="1"/>
  <c r="AJ221" i="1"/>
  <c r="AU221" i="1"/>
  <c r="AW221" i="1"/>
  <c r="AU218" i="1"/>
  <c r="AH218" i="1"/>
  <c r="AI218" i="1"/>
  <c r="AW342" i="1"/>
  <c r="AU342" i="1"/>
  <c r="AH342" i="1"/>
  <c r="AI342" i="1"/>
  <c r="AH363" i="1"/>
  <c r="AJ363" i="1"/>
  <c r="AU363" i="1"/>
  <c r="AH198" i="1"/>
  <c r="AI198" i="1"/>
  <c r="AW198" i="1"/>
  <c r="AW323" i="1"/>
  <c r="AU323" i="1"/>
  <c r="AH323" i="1"/>
  <c r="AI323" i="1"/>
  <c r="AH238" i="1"/>
  <c r="AI238" i="1"/>
  <c r="AW238" i="1"/>
  <c r="AU68" i="1"/>
  <c r="AH68" i="1"/>
  <c r="AJ68" i="1"/>
  <c r="AH258" i="1"/>
  <c r="AJ258" i="1"/>
  <c r="AW223" i="1"/>
  <c r="AH223" i="1"/>
  <c r="AI223" i="1"/>
  <c r="AU223" i="1"/>
  <c r="AH351" i="1"/>
  <c r="AU351" i="1"/>
  <c r="AW351" i="1"/>
  <c r="AH361" i="1"/>
  <c r="AU361" i="1"/>
  <c r="AW182" i="1"/>
  <c r="AU311" i="1"/>
  <c r="AH100" i="1"/>
  <c r="AI100" i="1"/>
  <c r="AH319" i="1"/>
  <c r="AJ319" i="1"/>
  <c r="AH267" i="1"/>
  <c r="AJ267" i="1"/>
  <c r="AH112" i="1"/>
  <c r="AI112" i="1"/>
  <c r="AW112" i="1"/>
  <c r="AH46" i="1"/>
  <c r="AJ46" i="1"/>
  <c r="AU46" i="1"/>
  <c r="AW243" i="1"/>
  <c r="AH243" i="1"/>
  <c r="AJ243" i="1"/>
  <c r="AU387" i="1"/>
  <c r="AH219" i="1"/>
  <c r="AI219" i="1"/>
  <c r="AH376" i="1"/>
  <c r="AH350" i="1"/>
  <c r="AU350" i="1"/>
  <c r="AW181" i="1"/>
  <c r="AU220" i="1"/>
  <c r="AW341" i="1"/>
  <c r="AH286" i="1"/>
  <c r="AI286" i="1"/>
  <c r="AH306" i="1"/>
  <c r="AI306" i="1"/>
  <c r="AU145" i="1"/>
  <c r="AU298" i="1"/>
  <c r="AH298" i="1"/>
  <c r="AI298" i="1"/>
  <c r="AW242" i="1"/>
  <c r="AU242" i="1"/>
  <c r="AW305" i="1"/>
  <c r="AH305" i="1"/>
  <c r="AI305" i="1"/>
  <c r="AW373" i="1"/>
  <c r="AH55" i="1"/>
  <c r="AI55" i="1"/>
  <c r="AH208" i="1"/>
  <c r="AI208" i="1"/>
  <c r="AU208" i="1"/>
  <c r="AW378" i="1"/>
  <c r="AU346" i="1"/>
  <c r="AW377" i="1"/>
  <c r="AH377" i="1"/>
  <c r="AI377" i="1"/>
  <c r="AW129" i="1"/>
  <c r="AH143" i="1"/>
  <c r="AI143" i="1"/>
  <c r="AH214" i="1"/>
  <c r="AI214" i="1"/>
  <c r="AU214" i="1"/>
  <c r="AH265" i="1"/>
  <c r="AI265" i="1"/>
  <c r="AU265" i="1"/>
  <c r="AW361" i="1"/>
  <c r="AW173" i="1"/>
  <c r="AH42" i="1"/>
  <c r="AI42" i="1"/>
  <c r="AH176" i="1"/>
  <c r="AJ176" i="1"/>
  <c r="AW145" i="1"/>
  <c r="AW363" i="1"/>
  <c r="AW122" i="1"/>
  <c r="AW214" i="1"/>
  <c r="AU25" i="1"/>
  <c r="AW304" i="1"/>
  <c r="AH99" i="1"/>
  <c r="AJ99" i="1"/>
  <c r="AW99" i="1"/>
  <c r="AH340" i="1"/>
  <c r="AI340" i="1"/>
  <c r="AW236" i="1"/>
  <c r="AH236" i="1"/>
  <c r="AI236" i="1"/>
  <c r="AU61" i="1"/>
  <c r="AH61" i="1"/>
  <c r="AJ61" i="1"/>
  <c r="AH17" i="1"/>
  <c r="AI17" i="1"/>
  <c r="AW17" i="1"/>
  <c r="AW310" i="1"/>
  <c r="AH310" i="1"/>
  <c r="AI310" i="1"/>
  <c r="AH353" i="1"/>
  <c r="AJ353" i="1"/>
  <c r="AH348" i="1"/>
  <c r="AJ348" i="1"/>
  <c r="AU233" i="1"/>
  <c r="AH98" i="1"/>
  <c r="AJ98" i="1"/>
  <c r="AU98" i="1"/>
  <c r="AW98" i="1"/>
  <c r="AH104" i="1"/>
  <c r="AI104" i="1"/>
  <c r="AU238" i="1"/>
  <c r="AU258" i="1"/>
  <c r="AU84" i="1"/>
  <c r="AW84" i="1"/>
  <c r="AH84" i="1"/>
  <c r="AI84" i="1"/>
  <c r="AH292" i="1"/>
  <c r="AI292" i="1"/>
  <c r="AW292" i="1"/>
  <c r="AU284" i="1"/>
  <c r="AH284" i="1"/>
  <c r="AJ284" i="1"/>
  <c r="AH18" i="1"/>
  <c r="AJ18" i="1"/>
  <c r="AU18" i="1"/>
  <c r="AU302" i="1"/>
  <c r="AU183" i="1"/>
  <c r="AW183" i="1"/>
  <c r="AH183" i="1"/>
  <c r="AI183" i="1"/>
  <c r="AW271" i="1"/>
  <c r="AU271" i="1"/>
  <c r="AU372" i="1"/>
  <c r="AW100" i="1"/>
  <c r="AU100" i="1"/>
  <c r="AW289" i="1"/>
  <c r="AH289" i="1"/>
  <c r="AI289" i="1"/>
  <c r="AH56" i="1"/>
  <c r="AW56" i="1"/>
  <c r="AW30" i="1"/>
  <c r="AU30" i="1"/>
  <c r="AH205" i="1"/>
  <c r="AI205" i="1"/>
  <c r="AW205" i="1"/>
  <c r="AU205" i="1"/>
  <c r="AU239" i="1"/>
  <c r="AW239" i="1"/>
  <c r="AU175" i="1"/>
  <c r="AW175" i="1"/>
  <c r="AH312" i="1"/>
  <c r="AI312" i="1"/>
  <c r="AU312" i="1"/>
  <c r="AW312" i="1"/>
  <c r="AU260" i="1"/>
  <c r="AW260" i="1"/>
  <c r="AH260" i="1"/>
  <c r="AJ260" i="1"/>
  <c r="AH333" i="1"/>
  <c r="AW333" i="1"/>
  <c r="AU333" i="1"/>
  <c r="AH308" i="1"/>
  <c r="AJ308" i="1"/>
  <c r="AW308" i="1"/>
  <c r="AU308" i="1"/>
  <c r="AW16" i="1"/>
  <c r="AU16" i="1"/>
  <c r="AU169" i="1"/>
  <c r="AW169" i="1"/>
  <c r="AH194" i="1"/>
  <c r="AJ194" i="1"/>
  <c r="AU194" i="1"/>
  <c r="AU167" i="1"/>
  <c r="AH167" i="1"/>
  <c r="AJ167" i="1"/>
  <c r="AW284" i="1"/>
  <c r="AH117" i="1"/>
  <c r="AI117" i="1"/>
  <c r="AU376" i="1"/>
  <c r="AH215" i="1"/>
  <c r="AJ215" i="1"/>
  <c r="AU198" i="1"/>
  <c r="AW258" i="1"/>
  <c r="AW265" i="1"/>
  <c r="AW58" i="1"/>
  <c r="AU335" i="1"/>
  <c r="AH381" i="1"/>
  <c r="AJ381" i="1"/>
  <c r="AU313" i="1"/>
  <c r="AU104" i="1"/>
  <c r="AW104" i="1"/>
  <c r="AU267" i="1"/>
  <c r="AW267" i="1"/>
  <c r="AU262" i="1"/>
  <c r="AH262" i="1"/>
  <c r="AI262" i="1"/>
  <c r="AW262" i="1"/>
  <c r="AW92" i="1"/>
  <c r="AU92" i="1"/>
  <c r="AH92" i="1"/>
  <c r="AJ92" i="1"/>
  <c r="AW276" i="1"/>
  <c r="AW343" i="1"/>
  <c r="AU343" i="1"/>
  <c r="AH343" i="1"/>
  <c r="AI343" i="1"/>
  <c r="AU318" i="1"/>
  <c r="AW318" i="1"/>
  <c r="AU203" i="1"/>
  <c r="AH203" i="1"/>
  <c r="AI203" i="1"/>
  <c r="AW203" i="1"/>
  <c r="AU264" i="1"/>
  <c r="AH264" i="1"/>
  <c r="AJ264" i="1"/>
  <c r="AH274" i="1"/>
  <c r="AJ274" i="1"/>
  <c r="AU115" i="1"/>
  <c r="AW115" i="1"/>
  <c r="AH115" i="1"/>
  <c r="AJ115" i="1"/>
  <c r="AH228" i="1"/>
  <c r="AU228" i="1"/>
  <c r="AW228" i="1"/>
  <c r="AU307" i="1"/>
  <c r="AH307" i="1"/>
  <c r="AJ307" i="1"/>
  <c r="AW307" i="1"/>
  <c r="AW241" i="1"/>
  <c r="AH241" i="1"/>
  <c r="AI241" i="1"/>
  <c r="AU329" i="1"/>
  <c r="AW329" i="1"/>
  <c r="AH329" i="1"/>
  <c r="AI329" i="1"/>
  <c r="AW23" i="1"/>
  <c r="AU23" i="1"/>
  <c r="AH190" i="1"/>
  <c r="AW190" i="1"/>
  <c r="AU190" i="1"/>
  <c r="AH71" i="1"/>
  <c r="AU71" i="1"/>
  <c r="AW71" i="1"/>
  <c r="AH368" i="1"/>
  <c r="AI368" i="1"/>
  <c r="AW368" i="1"/>
  <c r="AU172" i="1"/>
  <c r="AW172" i="1"/>
  <c r="AH172" i="1"/>
  <c r="AI172" i="1"/>
  <c r="AW220" i="1"/>
  <c r="AU276" i="1"/>
  <c r="AW362" i="1"/>
  <c r="AH26" i="1"/>
  <c r="AI26" i="1"/>
  <c r="AH372" i="1"/>
  <c r="AI372" i="1"/>
  <c r="AW274" i="1"/>
  <c r="AH25" i="1"/>
  <c r="AI25" i="1"/>
  <c r="AU289" i="1"/>
  <c r="AH121" i="1"/>
  <c r="AJ121" i="1"/>
  <c r="AW384" i="1"/>
  <c r="AH384" i="1"/>
  <c r="AI384" i="1"/>
  <c r="AW303" i="1"/>
  <c r="AU303" i="1"/>
  <c r="AW134" i="1"/>
  <c r="AW37" i="1"/>
  <c r="AH37" i="1"/>
  <c r="AJ37" i="1"/>
  <c r="AW165" i="1"/>
  <c r="AU165" i="1"/>
  <c r="AH303" i="1"/>
  <c r="AJ303" i="1"/>
  <c r="AU249" i="1"/>
  <c r="AH249" i="1"/>
  <c r="AJ249" i="1"/>
  <c r="B320" i="2"/>
  <c r="B303" i="2"/>
  <c r="B316" i="2"/>
  <c r="AU283" i="1"/>
  <c r="AW283" i="1"/>
  <c r="AU211" i="1"/>
  <c r="AH164" i="1"/>
  <c r="AI164" i="1"/>
  <c r="AU164" i="1"/>
  <c r="AW164" i="1"/>
  <c r="AU195" i="1"/>
  <c r="AW195" i="1"/>
  <c r="AW39" i="1"/>
  <c r="AU39" i="1"/>
  <c r="AH39" i="1"/>
  <c r="AJ39" i="1"/>
  <c r="AU358" i="1"/>
  <c r="AW358" i="1"/>
  <c r="AW22" i="1"/>
  <c r="AU31" i="1"/>
  <c r="AW31" i="1"/>
  <c r="AW364" i="1"/>
  <c r="AH364" i="1"/>
  <c r="AI364" i="1"/>
  <c r="AU364" i="1"/>
  <c r="AH232" i="1"/>
  <c r="AU232" i="1"/>
  <c r="AW232" i="1"/>
  <c r="AU149" i="1"/>
  <c r="AW149" i="1"/>
  <c r="AH149" i="1"/>
  <c r="AI149" i="1"/>
  <c r="AH80" i="1"/>
  <c r="AW80" i="1"/>
  <c r="AU80" i="1"/>
  <c r="AH229" i="1"/>
  <c r="AI229" i="1"/>
  <c r="AU229" i="1"/>
  <c r="AW229" i="1"/>
  <c r="AU202" i="1"/>
  <c r="AH60" i="1"/>
  <c r="AU60" i="1"/>
  <c r="AW60" i="1"/>
  <c r="AU295" i="1"/>
  <c r="AH295" i="1"/>
  <c r="AJ295" i="1"/>
  <c r="AH235" i="1"/>
  <c r="AU235" i="1"/>
  <c r="AH52" i="1"/>
  <c r="AU52" i="1"/>
  <c r="AW52" i="1"/>
  <c r="AU250" i="1"/>
  <c r="AW250" i="1"/>
  <c r="AH360" i="1"/>
  <c r="AW360" i="1"/>
  <c r="AU360" i="1"/>
  <c r="AW155" i="1"/>
  <c r="AH155" i="1"/>
  <c r="AJ155" i="1"/>
  <c r="AU155" i="1"/>
  <c r="AW186" i="1"/>
  <c r="AU186" i="1"/>
  <c r="AH41" i="1"/>
  <c r="AW41" i="1"/>
  <c r="AU41" i="1"/>
  <c r="AW244" i="1"/>
  <c r="AU244" i="1"/>
  <c r="AH27" i="1"/>
  <c r="AJ27" i="1"/>
  <c r="AU27" i="1"/>
  <c r="AW27" i="1"/>
  <c r="AH334" i="1"/>
  <c r="AI334" i="1"/>
  <c r="AW334" i="1"/>
  <c r="AC334" i="1"/>
  <c r="AA5" i="1"/>
  <c r="AA7" i="1"/>
  <c r="AB334" i="1"/>
  <c r="AU334" i="1"/>
  <c r="AU199" i="1"/>
  <c r="AW142" i="1"/>
  <c r="AH142" i="1"/>
  <c r="AJ142" i="1"/>
  <c r="AU142" i="1"/>
  <c r="AU50" i="1"/>
  <c r="AW50" i="1"/>
  <c r="AH50" i="1"/>
  <c r="AI50" i="1"/>
  <c r="AU339" i="1"/>
  <c r="AH339" i="1"/>
  <c r="AW339" i="1"/>
  <c r="AH19" i="1"/>
  <c r="AH47" i="1"/>
  <c r="AU47" i="1"/>
  <c r="AW47" i="1"/>
  <c r="AH170" i="1"/>
  <c r="AI170" i="1"/>
  <c r="AU170" i="1"/>
  <c r="AW246" i="1"/>
  <c r="AH246" i="1"/>
  <c r="AI246" i="1"/>
  <c r="AH70" i="1"/>
  <c r="AI70" i="1"/>
  <c r="AU70" i="1"/>
  <c r="AW70" i="1"/>
  <c r="AW43" i="1"/>
  <c r="AU43" i="1"/>
  <c r="AH43" i="1"/>
  <c r="AJ43" i="1"/>
  <c r="AU44" i="1"/>
  <c r="AH44" i="1"/>
  <c r="AI44" i="1"/>
  <c r="AH184" i="1"/>
  <c r="AI184" i="1"/>
  <c r="AU184" i="1"/>
  <c r="AH148" i="1"/>
  <c r="AU148" i="1"/>
  <c r="AW300" i="1"/>
  <c r="AU300" i="1"/>
  <c r="AH300" i="1"/>
  <c r="AI300" i="1"/>
  <c r="AU349" i="1"/>
  <c r="AW349" i="1"/>
  <c r="AW224" i="1"/>
  <c r="AH224" i="1"/>
  <c r="AJ224" i="1"/>
  <c r="AU224" i="1"/>
  <c r="AU153" i="1"/>
  <c r="AW153" i="1"/>
  <c r="AH153" i="1"/>
  <c r="AJ153" i="1"/>
  <c r="AU146" i="1"/>
  <c r="AW146" i="1"/>
  <c r="AA3" i="1"/>
  <c r="AA4" i="1"/>
  <c r="AU22" i="1"/>
  <c r="AW148" i="1"/>
  <c r="AW44" i="1"/>
  <c r="AW19" i="1"/>
  <c r="AH250" i="1"/>
  <c r="AI250" i="1"/>
  <c r="AW350" i="1"/>
  <c r="AU290" i="1"/>
  <c r="AW346" i="1"/>
  <c r="AW65" i="1"/>
  <c r="AH370" i="1"/>
  <c r="AJ370" i="1"/>
  <c r="AU58" i="1"/>
  <c r="AH58" i="1"/>
  <c r="AJ58" i="1"/>
  <c r="AU112" i="1"/>
  <c r="AW53" i="1"/>
  <c r="AH53" i="1"/>
  <c r="AJ53" i="1"/>
  <c r="AU53" i="1"/>
  <c r="AW46" i="1"/>
  <c r="AH335" i="1"/>
  <c r="AW335" i="1"/>
  <c r="AH234" i="1"/>
  <c r="AI234" i="1"/>
  <c r="AU293" i="1"/>
  <c r="AW25" i="1"/>
  <c r="AU304" i="1"/>
  <c r="AH304" i="1"/>
  <c r="AI304" i="1"/>
  <c r="AU243" i="1"/>
  <c r="AW381" i="1"/>
  <c r="AU381" i="1"/>
  <c r="AU99" i="1"/>
  <c r="AH387" i="1"/>
  <c r="AJ387" i="1"/>
  <c r="AW387" i="1"/>
  <c r="AU340" i="1"/>
  <c r="AW340" i="1"/>
  <c r="AU236" i="1"/>
  <c r="AH324" i="1"/>
  <c r="AJ324" i="1"/>
  <c r="AU324" i="1"/>
  <c r="AW324" i="1"/>
  <c r="AW87" i="1"/>
  <c r="AU87" i="1"/>
  <c r="AH87" i="1"/>
  <c r="AI87" i="1"/>
  <c r="AU121" i="1"/>
  <c r="AW121" i="1"/>
  <c r="AU127" i="1"/>
  <c r="AW127" i="1"/>
  <c r="AW61" i="1"/>
  <c r="AU187" i="1"/>
  <c r="AW187" i="1"/>
  <c r="AU257" i="1"/>
  <c r="AW257" i="1"/>
  <c r="AH257" i="1"/>
  <c r="AI257" i="1"/>
  <c r="AU82" i="1"/>
  <c r="AW82" i="1"/>
  <c r="AW176" i="1"/>
  <c r="AU176" i="1"/>
  <c r="AU17" i="1"/>
  <c r="AW94" i="1"/>
  <c r="AU94" i="1"/>
  <c r="AU157" i="1"/>
  <c r="AH157" i="1"/>
  <c r="AJ157" i="1"/>
  <c r="AW157" i="1"/>
  <c r="AU310" i="1"/>
  <c r="AH313" i="1"/>
  <c r="AI313" i="1"/>
  <c r="AU219" i="1"/>
  <c r="AW219" i="1"/>
  <c r="AH182" i="1"/>
  <c r="AU182" i="1"/>
  <c r="AU86" i="1"/>
  <c r="AH86" i="1"/>
  <c r="AJ86" i="1"/>
  <c r="AU11" i="1"/>
  <c r="AU109" i="1"/>
  <c r="AH109" i="1"/>
  <c r="AI109" i="1"/>
  <c r="AU168" i="1"/>
  <c r="AW168" i="1"/>
  <c r="AU353" i="1"/>
  <c r="AW353" i="1"/>
  <c r="AU107" i="1"/>
  <c r="AW107" i="1"/>
  <c r="AW152" i="1"/>
  <c r="AH152" i="1"/>
  <c r="AI152" i="1"/>
  <c r="AU348" i="1"/>
  <c r="AW348" i="1"/>
  <c r="AW251" i="1"/>
  <c r="AU251" i="1"/>
  <c r="AH251" i="1"/>
  <c r="AI251" i="1"/>
  <c r="AW83" i="1"/>
  <c r="AH83" i="1"/>
  <c r="AJ83" i="1"/>
  <c r="AW233" i="1"/>
  <c r="AH233" i="1"/>
  <c r="AJ233" i="1"/>
  <c r="AU326" i="1"/>
  <c r="AW326" i="1"/>
  <c r="AH326" i="1"/>
  <c r="AJ326" i="1"/>
  <c r="AH29" i="1"/>
  <c r="AW29" i="1"/>
  <c r="AU29" i="1"/>
  <c r="AH225" i="1"/>
  <c r="AW225" i="1"/>
  <c r="AW290" i="1"/>
  <c r="AU20" i="1"/>
  <c r="AH20" i="1"/>
  <c r="AJ20" i="1"/>
  <c r="AW20" i="1"/>
  <c r="AU306" i="1"/>
  <c r="AW306" i="1"/>
  <c r="AW370" i="1"/>
  <c r="AU370" i="1"/>
  <c r="AH103" i="1"/>
  <c r="AJ103" i="1"/>
  <c r="AW103" i="1"/>
  <c r="AH145" i="1"/>
  <c r="AI145" i="1"/>
  <c r="AW137" i="1"/>
  <c r="AU136" i="1"/>
  <c r="AH136" i="1"/>
  <c r="AI136" i="1"/>
  <c r="AW136" i="1"/>
  <c r="AU321" i="1"/>
  <c r="AW321" i="1"/>
  <c r="AH383" i="1"/>
  <c r="AI383" i="1"/>
  <c r="AW383" i="1"/>
  <c r="AU383" i="1"/>
  <c r="AW151" i="1"/>
  <c r="AH151" i="1"/>
  <c r="AJ151" i="1"/>
  <c r="AW245" i="1"/>
  <c r="AU245" i="1"/>
  <c r="AW299" i="1"/>
  <c r="AH299" i="1"/>
  <c r="AI299" i="1"/>
  <c r="AU299" i="1"/>
  <c r="AW55" i="1"/>
  <c r="AU55" i="1"/>
  <c r="AU316" i="1"/>
  <c r="AU377" i="1"/>
  <c r="AU129" i="1"/>
  <c r="AW14" i="1"/>
  <c r="AH14" i="1"/>
  <c r="AJ14" i="1"/>
  <c r="AW10" i="1"/>
  <c r="AH10" i="1"/>
  <c r="AI10" i="1"/>
  <c r="AU151" i="1"/>
  <c r="AU378" i="1"/>
  <c r="AW298" i="1"/>
  <c r="AH181" i="1"/>
  <c r="AI181" i="1"/>
  <c r="AU137" i="1"/>
  <c r="AH254" i="1"/>
  <c r="AI254" i="1"/>
  <c r="AU77" i="1"/>
  <c r="AH91" i="1"/>
  <c r="AJ91" i="1"/>
  <c r="AW91" i="1"/>
  <c r="AH341" i="1"/>
  <c r="AI341" i="1"/>
  <c r="AU341" i="1"/>
  <c r="AU286" i="1"/>
  <c r="AH133" i="1"/>
  <c r="AW133" i="1"/>
  <c r="AU133" i="1"/>
  <c r="AW226" i="1"/>
  <c r="AH226" i="1"/>
  <c r="AI226" i="1"/>
  <c r="AU74" i="1"/>
  <c r="AH74" i="1"/>
  <c r="AI74" i="1"/>
  <c r="AW74" i="1"/>
  <c r="AW215" i="1"/>
  <c r="AU215" i="1"/>
  <c r="AW42" i="1"/>
  <c r="AU305" i="1"/>
  <c r="AH373" i="1"/>
  <c r="AI373" i="1"/>
  <c r="AU373" i="1"/>
  <c r="AW12" i="1"/>
  <c r="AW208" i="1"/>
  <c r="AU65" i="1"/>
  <c r="AH65" i="1"/>
  <c r="AJ65" i="1"/>
  <c r="AW180" i="1"/>
  <c r="AH180" i="1"/>
  <c r="AI180" i="1"/>
  <c r="AU180" i="1"/>
  <c r="AH346" i="1"/>
  <c r="AW143" i="1"/>
  <c r="AU143" i="1"/>
  <c r="AH220" i="1"/>
  <c r="AI220" i="1"/>
  <c r="AH378" i="1"/>
  <c r="AJ378" i="1"/>
  <c r="AU42" i="1"/>
  <c r="AH242" i="1"/>
  <c r="AJ242" i="1"/>
  <c r="AU12" i="1"/>
  <c r="AU226" i="1"/>
  <c r="AH316" i="1"/>
  <c r="AI316" i="1"/>
  <c r="AH129" i="1"/>
  <c r="AJ129" i="1"/>
  <c r="AU10" i="1"/>
  <c r="AU254" i="1"/>
  <c r="AU103" i="1"/>
  <c r="AU24" i="1"/>
  <c r="AH24" i="1"/>
  <c r="AJ24" i="1"/>
  <c r="AU355" i="1"/>
  <c r="AW355" i="1"/>
  <c r="AH355" i="1"/>
  <c r="AI355" i="1"/>
  <c r="AW347" i="1"/>
  <c r="AU309" i="1"/>
  <c r="AH124" i="1"/>
  <c r="AI124" i="1"/>
  <c r="AU124" i="1"/>
  <c r="AW111" i="1"/>
  <c r="AU212" i="1"/>
  <c r="AW212" i="1"/>
  <c r="AW193" i="1"/>
  <c r="AU156" i="1"/>
  <c r="AH156" i="1"/>
  <c r="AI156" i="1"/>
  <c r="AU178" i="1"/>
  <c r="AH178" i="1"/>
  <c r="AJ178" i="1"/>
  <c r="AU135" i="1"/>
  <c r="AW135" i="1"/>
  <c r="AH135" i="1"/>
  <c r="AJ135" i="1"/>
  <c r="AW105" i="1"/>
  <c r="AW359" i="1"/>
  <c r="AU365" i="1"/>
  <c r="AW365" i="1"/>
  <c r="AU325" i="1"/>
  <c r="AH325" i="1"/>
  <c r="AI325" i="1"/>
  <c r="AU113" i="1"/>
  <c r="AH277" i="1"/>
  <c r="AH163" i="1"/>
  <c r="AI163" i="1"/>
  <c r="AU163" i="1"/>
  <c r="AW163" i="1"/>
  <c r="AH371" i="1"/>
  <c r="AW371" i="1"/>
  <c r="AH76" i="1"/>
  <c r="AI76" i="1"/>
  <c r="AW118" i="1"/>
  <c r="AH344" i="1"/>
  <c r="AI344" i="1"/>
  <c r="AU280" i="1"/>
  <c r="AH280" i="1"/>
  <c r="AW280" i="1"/>
  <c r="B305" i="2"/>
  <c r="B300" i="2"/>
  <c r="B313" i="2"/>
  <c r="B315" i="2"/>
  <c r="B310" i="2"/>
  <c r="B307" i="2"/>
  <c r="B314" i="2"/>
  <c r="B306" i="2"/>
  <c r="B309" i="2"/>
  <c r="B311" i="2"/>
  <c r="B319" i="2"/>
  <c r="AJ11" i="1"/>
  <c r="B302" i="2"/>
  <c r="B301" i="2"/>
  <c r="B312" i="2"/>
  <c r="B317" i="2"/>
  <c r="B308" i="2"/>
  <c r="B318" i="2"/>
  <c r="AJ321" i="1"/>
  <c r="AI276" i="1"/>
  <c r="AI212" i="1"/>
  <c r="H182" i="2"/>
  <c r="H257" i="2"/>
  <c r="B182" i="2"/>
  <c r="H108" i="2"/>
  <c r="AJ146" i="1"/>
  <c r="AI213" i="1"/>
  <c r="AJ263" i="1"/>
  <c r="AI314" i="1"/>
  <c r="AJ187" i="1"/>
  <c r="AI349" i="1"/>
  <c r="B108" i="2"/>
  <c r="B145" i="2"/>
  <c r="H145" i="2"/>
  <c r="B208" i="4"/>
  <c r="AI168" i="1"/>
  <c r="AJ165" i="1"/>
  <c r="AI358" i="1"/>
  <c r="AI162" i="1"/>
  <c r="H219" i="2"/>
  <c r="B219" i="2"/>
  <c r="AJ31" i="1"/>
  <c r="AI290" i="1"/>
  <c r="AI169" i="1"/>
  <c r="B133" i="4"/>
  <c r="H133" i="4"/>
  <c r="AJ127" i="1"/>
  <c r="AI113" i="1"/>
  <c r="B206" i="4"/>
  <c r="B215" i="4"/>
  <c r="AI137" i="1"/>
  <c r="AI367" i="1"/>
  <c r="AJ23" i="1"/>
  <c r="AI237" i="1"/>
  <c r="AJ107" i="1"/>
  <c r="AJ134" i="1"/>
  <c r="B218" i="4"/>
  <c r="B209" i="4"/>
  <c r="AJ94" i="1"/>
  <c r="AJ105" i="1"/>
  <c r="AJ195" i="1"/>
  <c r="B222" i="4"/>
  <c r="AI239" i="1"/>
  <c r="B211" i="4"/>
  <c r="AI33" i="1"/>
  <c r="B223" i="4"/>
  <c r="AI244" i="1"/>
  <c r="B217" i="4"/>
  <c r="B212" i="4"/>
  <c r="B224" i="4"/>
  <c r="H71" i="2"/>
  <c r="B71" i="2"/>
  <c r="B219" i="4"/>
  <c r="B210" i="4"/>
  <c r="B225" i="4"/>
  <c r="B227" i="4"/>
  <c r="B214" i="4"/>
  <c r="AJ245" i="1"/>
  <c r="B220" i="4"/>
  <c r="B226" i="4"/>
  <c r="B213" i="4"/>
  <c r="B221" i="4"/>
  <c r="B207" i="4"/>
  <c r="B294" i="2"/>
  <c r="H294" i="2"/>
  <c r="H34" i="2"/>
  <c r="B34" i="2"/>
  <c r="AJ196" i="1"/>
  <c r="AK196" i="1"/>
  <c r="B83" i="3"/>
  <c r="F151" i="3"/>
  <c r="B327" i="3"/>
  <c r="B324" i="3"/>
  <c r="B328" i="3"/>
  <c r="B321" i="3"/>
  <c r="B320" i="3"/>
  <c r="B322" i="3"/>
  <c r="B333" i="3"/>
  <c r="B317" i="3"/>
  <c r="B319" i="3"/>
  <c r="B314" i="3"/>
  <c r="B316" i="3"/>
  <c r="B330" i="3"/>
  <c r="B331" i="3"/>
  <c r="AI120" i="1"/>
  <c r="AK120" i="1"/>
  <c r="B315" i="3"/>
  <c r="B329" i="3"/>
  <c r="B332" i="3"/>
  <c r="AJ247" i="1"/>
  <c r="AK247" i="1"/>
  <c r="B323" i="3"/>
  <c r="B325" i="3"/>
  <c r="B326" i="3"/>
  <c r="AJ207" i="1"/>
  <c r="AK207" i="1"/>
  <c r="AI281" i="1"/>
  <c r="AK281" i="1"/>
  <c r="G182" i="3"/>
  <c r="B182" i="3"/>
  <c r="AI175" i="1"/>
  <c r="AK175" i="1"/>
  <c r="AI382" i="1"/>
  <c r="AK382" i="1"/>
  <c r="AI141" i="1"/>
  <c r="AK141" i="1"/>
  <c r="AI268" i="1"/>
  <c r="AK268" i="1"/>
  <c r="AJ158" i="1"/>
  <c r="AK158" i="1"/>
  <c r="AI337" i="1"/>
  <c r="AK337" i="1"/>
  <c r="AJ72" i="1"/>
  <c r="AK72" i="1"/>
  <c r="AI82" i="1"/>
  <c r="AK82" i="1"/>
  <c r="AJ114" i="1"/>
  <c r="AK114" i="1"/>
  <c r="AI199" i="1"/>
  <c r="AK199" i="1"/>
  <c r="AI140" i="1"/>
  <c r="AJ140" i="1"/>
  <c r="AJ186" i="1"/>
  <c r="AK186" i="1"/>
  <c r="AJ12" i="1"/>
  <c r="AK12" i="1"/>
  <c r="G244" i="3"/>
  <c r="B244" i="3"/>
  <c r="AJ16" i="1"/>
  <c r="AK16" i="1"/>
  <c r="AJ297" i="1"/>
  <c r="AK297" i="1"/>
  <c r="AJ322" i="1"/>
  <c r="AK322" i="1"/>
  <c r="AI359" i="1"/>
  <c r="AK359" i="1"/>
  <c r="AJ185" i="1"/>
  <c r="AK185" i="1"/>
  <c r="AJ365" i="1"/>
  <c r="AK365" i="1"/>
  <c r="AJ79" i="1"/>
  <c r="AK79" i="1"/>
  <c r="AJ275" i="1"/>
  <c r="AK275" i="1"/>
  <c r="AI128" i="1"/>
  <c r="AK128" i="1"/>
  <c r="AJ197" i="1"/>
  <c r="AK197" i="1"/>
  <c r="AJ116" i="1"/>
  <c r="AK116" i="1"/>
  <c r="AJ154" i="1"/>
  <c r="AK154" i="1"/>
  <c r="AI96" i="1"/>
  <c r="AK96" i="1"/>
  <c r="AJ188" i="1"/>
  <c r="AK188" i="1"/>
  <c r="AK366" i="1"/>
  <c r="AJ42" i="1"/>
  <c r="AK42" i="1"/>
  <c r="AJ193" i="1"/>
  <c r="AK193" i="1"/>
  <c r="AJ385" i="1"/>
  <c r="AK385" i="1"/>
  <c r="AI294" i="1"/>
  <c r="AK294" i="1"/>
  <c r="AI202" i="1"/>
  <c r="AK202" i="1"/>
  <c r="AJ206" i="1"/>
  <c r="AK206" i="1"/>
  <c r="AJ95" i="1"/>
  <c r="AK95" i="1"/>
  <c r="AI36" i="1"/>
  <c r="AK36" i="1"/>
  <c r="AJ32" i="1"/>
  <c r="AK32" i="1"/>
  <c r="AI111" i="1"/>
  <c r="AK111" i="1"/>
  <c r="AI356" i="1"/>
  <c r="AK356" i="1"/>
  <c r="AK301" i="1"/>
  <c r="AK105" i="1"/>
  <c r="AI278" i="1"/>
  <c r="AK278" i="1"/>
  <c r="AI49" i="1"/>
  <c r="AK49" i="1"/>
  <c r="AJ171" i="1"/>
  <c r="AK171" i="1"/>
  <c r="AI217" i="1"/>
  <c r="AK217" i="1"/>
  <c r="AJ252" i="1"/>
  <c r="AK252" i="1"/>
  <c r="AJ271" i="1"/>
  <c r="AK271" i="1"/>
  <c r="AI13" i="1"/>
  <c r="AK13" i="1"/>
  <c r="AJ282" i="1"/>
  <c r="AK282" i="1"/>
  <c r="AI126" i="1"/>
  <c r="AK126" i="1"/>
  <c r="AI61" i="1"/>
  <c r="AK61" i="1"/>
  <c r="AI200" i="1"/>
  <c r="AK200" i="1"/>
  <c r="AJ269" i="1"/>
  <c r="AK269" i="1"/>
  <c r="AJ97" i="1"/>
  <c r="AK97" i="1"/>
  <c r="AI18" i="1"/>
  <c r="AK18" i="1"/>
  <c r="AJ192" i="1"/>
  <c r="AK192" i="1"/>
  <c r="AJ118" i="1"/>
  <c r="AK118" i="1"/>
  <c r="AI266" i="1"/>
  <c r="AK266" i="1"/>
  <c r="AJ45" i="1"/>
  <c r="AK45" i="1"/>
  <c r="AI159" i="1"/>
  <c r="AK159" i="1"/>
  <c r="AK64" i="1"/>
  <c r="AK204" i="1"/>
  <c r="AJ166" i="1"/>
  <c r="AK166" i="1"/>
  <c r="AJ48" i="1"/>
  <c r="AK48" i="1"/>
  <c r="AI227" i="1"/>
  <c r="AK227" i="1"/>
  <c r="AJ315" i="1"/>
  <c r="AK315" i="1"/>
  <c r="AI210" i="1"/>
  <c r="AK210" i="1"/>
  <c r="AI279" i="1"/>
  <c r="AK279" i="1"/>
  <c r="AJ17" i="1"/>
  <c r="AK17" i="1"/>
  <c r="AJ125" i="1"/>
  <c r="AK125" i="1"/>
  <c r="AK35" i="1"/>
  <c r="AI22" i="1"/>
  <c r="AK22" i="1"/>
  <c r="AI150" i="1"/>
  <c r="AK150" i="1"/>
  <c r="AK237" i="1"/>
  <c r="AJ88" i="1"/>
  <c r="AK88" i="1"/>
  <c r="AJ211" i="1"/>
  <c r="AK211" i="1"/>
  <c r="AI77" i="1"/>
  <c r="AK77" i="1"/>
  <c r="AI62" i="1"/>
  <c r="AK62" i="1"/>
  <c r="AI40" i="1"/>
  <c r="AK40" i="1"/>
  <c r="AJ183" i="1"/>
  <c r="AK183" i="1"/>
  <c r="AI222" i="1"/>
  <c r="AK222" i="1"/>
  <c r="AI173" i="1"/>
  <c r="AK173" i="1"/>
  <c r="AJ306" i="1"/>
  <c r="AK306" i="1"/>
  <c r="AJ289" i="1"/>
  <c r="AK289" i="1"/>
  <c r="AJ312" i="1"/>
  <c r="AK312" i="1"/>
  <c r="AJ298" i="1"/>
  <c r="AK298" i="1"/>
  <c r="AI320" i="1"/>
  <c r="AK320" i="1"/>
  <c r="AI256" i="1"/>
  <c r="AK256" i="1"/>
  <c r="AJ15" i="1"/>
  <c r="AK15" i="1"/>
  <c r="AK33" i="1"/>
  <c r="AI387" i="1"/>
  <c r="AK387" i="1"/>
  <c r="AJ184" i="1"/>
  <c r="AK184" i="1"/>
  <c r="AJ305" i="1"/>
  <c r="AK305" i="1"/>
  <c r="AJ26" i="1"/>
  <c r="AK26" i="1"/>
  <c r="AJ117" i="1"/>
  <c r="AK117" i="1"/>
  <c r="AJ123" i="1"/>
  <c r="AK123" i="1"/>
  <c r="AI51" i="1"/>
  <c r="AK51" i="1"/>
  <c r="AJ54" i="1"/>
  <c r="AK54" i="1"/>
  <c r="AI243" i="1"/>
  <c r="AK243" i="1"/>
  <c r="AJ368" i="1"/>
  <c r="AK368" i="1"/>
  <c r="AI221" i="1"/>
  <c r="AK221" i="1"/>
  <c r="AJ75" i="1"/>
  <c r="AK75" i="1"/>
  <c r="AI57" i="1"/>
  <c r="AK57" i="1"/>
  <c r="AJ253" i="1"/>
  <c r="AK253" i="1"/>
  <c r="AJ302" i="1"/>
  <c r="AK302" i="1"/>
  <c r="AJ34" i="1"/>
  <c r="AK34" i="1"/>
  <c r="AI14" i="1"/>
  <c r="AK14" i="1"/>
  <c r="AJ375" i="1"/>
  <c r="AK375" i="1"/>
  <c r="AJ388" i="1"/>
  <c r="AK388" i="1"/>
  <c r="AI106" i="1"/>
  <c r="AK106" i="1"/>
  <c r="AJ174" i="1"/>
  <c r="AK174" i="1"/>
  <c r="AI191" i="1"/>
  <c r="AK191" i="1"/>
  <c r="AJ384" i="1"/>
  <c r="AK384" i="1"/>
  <c r="AJ338" i="1"/>
  <c r="AK338" i="1"/>
  <c r="AJ231" i="1"/>
  <c r="AK231" i="1"/>
  <c r="AK276" i="1"/>
  <c r="AJ66" i="1"/>
  <c r="AK66" i="1"/>
  <c r="AI296" i="1"/>
  <c r="AK296" i="1"/>
  <c r="AI357" i="1"/>
  <c r="AK357" i="1"/>
  <c r="AI248" i="1"/>
  <c r="AK248" i="1"/>
  <c r="AI144" i="1"/>
  <c r="AK144" i="1"/>
  <c r="AJ355" i="1"/>
  <c r="AK355" i="1"/>
  <c r="AJ330" i="1"/>
  <c r="AK330" i="1"/>
  <c r="AI293" i="1"/>
  <c r="AK293" i="1"/>
  <c r="AJ93" i="1"/>
  <c r="AK93" i="1"/>
  <c r="AI122" i="1"/>
  <c r="AK122" i="1"/>
  <c r="AI331" i="1"/>
  <c r="AK331" i="1"/>
  <c r="AJ292" i="1"/>
  <c r="AK292" i="1"/>
  <c r="AI160" i="1"/>
  <c r="AK160" i="1"/>
  <c r="AJ262" i="1"/>
  <c r="AK262" i="1"/>
  <c r="AI147" i="1"/>
  <c r="AK147" i="1"/>
  <c r="AJ265" i="1"/>
  <c r="AK265" i="1"/>
  <c r="AJ219" i="1"/>
  <c r="AK219" i="1"/>
  <c r="AJ109" i="1"/>
  <c r="AK109" i="1"/>
  <c r="AJ272" i="1"/>
  <c r="AK272" i="1"/>
  <c r="AI201" i="1"/>
  <c r="AK201" i="1"/>
  <c r="AJ164" i="1"/>
  <c r="AK164" i="1"/>
  <c r="AK119" i="1"/>
  <c r="AK67" i="1"/>
  <c r="AK110" i="1"/>
  <c r="AI240" i="1"/>
  <c r="AK240" i="1"/>
  <c r="AI90" i="1"/>
  <c r="AK90" i="1"/>
  <c r="AK367" i="1"/>
  <c r="AI230" i="1"/>
  <c r="AK230" i="1"/>
  <c r="AI24" i="1"/>
  <c r="AK24" i="1"/>
  <c r="AK287" i="1"/>
  <c r="AI69" i="1"/>
  <c r="AK69" i="1"/>
  <c r="AJ138" i="1"/>
  <c r="AK138" i="1"/>
  <c r="AI58" i="1"/>
  <c r="AK58" i="1"/>
  <c r="AJ342" i="1"/>
  <c r="AK342" i="1"/>
  <c r="AJ143" i="1"/>
  <c r="AK143" i="1"/>
  <c r="AJ63" i="1"/>
  <c r="AK63" i="1"/>
  <c r="AK314" i="1"/>
  <c r="AI374" i="1"/>
  <c r="AK374" i="1"/>
  <c r="AI332" i="1"/>
  <c r="AK332" i="1"/>
  <c r="AJ285" i="1"/>
  <c r="AK285" i="1"/>
  <c r="AJ85" i="1"/>
  <c r="AK85" i="1"/>
  <c r="AJ216" i="1"/>
  <c r="AK216" i="1"/>
  <c r="AI352" i="1"/>
  <c r="AK352" i="1"/>
  <c r="AJ309" i="1"/>
  <c r="AK309" i="1"/>
  <c r="AJ283" i="1"/>
  <c r="AK283" i="1"/>
  <c r="AI91" i="1"/>
  <c r="AK91" i="1"/>
  <c r="AK379" i="1"/>
  <c r="AK28" i="1"/>
  <c r="AJ259" i="1"/>
  <c r="AK259" i="1"/>
  <c r="AK195" i="1"/>
  <c r="AI318" i="1"/>
  <c r="AK318" i="1"/>
  <c r="AI347" i="1"/>
  <c r="AK347" i="1"/>
  <c r="AI308" i="1"/>
  <c r="AK308" i="1"/>
  <c r="AI121" i="1"/>
  <c r="AK121" i="1"/>
  <c r="AJ104" i="1"/>
  <c r="AK104" i="1"/>
  <c r="AK245" i="1"/>
  <c r="AJ203" i="1"/>
  <c r="AK203" i="1"/>
  <c r="AI348" i="1"/>
  <c r="AK348" i="1"/>
  <c r="AI59" i="1"/>
  <c r="AK59" i="1"/>
  <c r="AK263" i="1"/>
  <c r="AI179" i="1"/>
  <c r="AK179" i="1"/>
  <c r="AK270" i="1"/>
  <c r="AI317" i="1"/>
  <c r="AK317" i="1"/>
  <c r="AJ9" i="1"/>
  <c r="AK9" i="1"/>
  <c r="AI83" i="1"/>
  <c r="AK83" i="1"/>
  <c r="AJ261" i="1"/>
  <c r="AK261" i="1"/>
  <c r="AI319" i="1"/>
  <c r="AK319" i="1"/>
  <c r="AI130" i="1"/>
  <c r="AK130" i="1"/>
  <c r="AI249" i="1"/>
  <c r="AK249" i="1"/>
  <c r="AJ38" i="1"/>
  <c r="AK38" i="1"/>
  <c r="AI155" i="1"/>
  <c r="AK155" i="1"/>
  <c r="AJ246" i="1"/>
  <c r="AK246" i="1"/>
  <c r="AJ177" i="1"/>
  <c r="AK177" i="1"/>
  <c r="AJ316" i="1"/>
  <c r="AK316" i="1"/>
  <c r="AI139" i="1"/>
  <c r="AK139" i="1"/>
  <c r="AJ354" i="1"/>
  <c r="AK354" i="1"/>
  <c r="AI30" i="1"/>
  <c r="AK30" i="1"/>
  <c r="AK358" i="1"/>
  <c r="AJ25" i="1"/>
  <c r="AK25" i="1"/>
  <c r="AK213" i="1"/>
  <c r="AJ78" i="1"/>
  <c r="AK78" i="1"/>
  <c r="AK273" i="1"/>
  <c r="AJ241" i="1"/>
  <c r="AK241" i="1"/>
  <c r="AJ102" i="1"/>
  <c r="AK102" i="1"/>
  <c r="AJ163" i="1"/>
  <c r="AK163" i="1"/>
  <c r="AI288" i="1"/>
  <c r="AK288" i="1"/>
  <c r="AJ214" i="1"/>
  <c r="AK214" i="1"/>
  <c r="AI189" i="1"/>
  <c r="AK189" i="1"/>
  <c r="AI370" i="1"/>
  <c r="AK370" i="1"/>
  <c r="AJ124" i="1"/>
  <c r="AK124" i="1"/>
  <c r="AJ70" i="1"/>
  <c r="AK70" i="1"/>
  <c r="AJ234" i="1"/>
  <c r="AK234" i="1"/>
  <c r="AJ55" i="1"/>
  <c r="AK55" i="1"/>
  <c r="AJ132" i="1"/>
  <c r="AK132" i="1"/>
  <c r="AI20" i="1"/>
  <c r="AK20" i="1"/>
  <c r="AI264" i="1"/>
  <c r="AK264" i="1"/>
  <c r="AU3" i="1"/>
  <c r="AI215" i="1"/>
  <c r="AK215" i="1"/>
  <c r="AI37" i="1"/>
  <c r="AK37" i="1"/>
  <c r="AI68" i="1"/>
  <c r="AK68" i="1"/>
  <c r="AJ101" i="1"/>
  <c r="AK101" i="1"/>
  <c r="AJ255" i="1"/>
  <c r="AK255" i="1"/>
  <c r="AI89" i="1"/>
  <c r="AK89" i="1"/>
  <c r="AI307" i="1"/>
  <c r="AK307" i="1"/>
  <c r="AJ152" i="1"/>
  <c r="AK152" i="1"/>
  <c r="AJ208" i="1"/>
  <c r="AK208" i="1"/>
  <c r="AK321" i="1"/>
  <c r="AI386" i="1"/>
  <c r="AK386" i="1"/>
  <c r="AI81" i="1"/>
  <c r="AK81" i="1"/>
  <c r="AK168" i="1"/>
  <c r="AJ310" i="1"/>
  <c r="AK310" i="1"/>
  <c r="AI129" i="1"/>
  <c r="AK129" i="1"/>
  <c r="AI73" i="1"/>
  <c r="AJ73" i="1"/>
  <c r="AJ323" i="1"/>
  <c r="AK323" i="1"/>
  <c r="AJ377" i="1"/>
  <c r="AK377" i="1"/>
  <c r="AJ334" i="1"/>
  <c r="AK334" i="1"/>
  <c r="AJ343" i="1"/>
  <c r="AK343" i="1"/>
  <c r="AK239" i="1"/>
  <c r="AI303" i="1"/>
  <c r="AK303" i="1"/>
  <c r="AK31" i="1"/>
  <c r="AI233" i="1"/>
  <c r="AK233" i="1"/>
  <c r="AJ223" i="1"/>
  <c r="AK223" i="1"/>
  <c r="AI176" i="1"/>
  <c r="AK176" i="1"/>
  <c r="AI43" i="1"/>
  <c r="AK43" i="1"/>
  <c r="AI345" i="1"/>
  <c r="AK345" i="1"/>
  <c r="AI380" i="1"/>
  <c r="AK380" i="1"/>
  <c r="AJ198" i="1"/>
  <c r="AK198" i="1"/>
  <c r="AI267" i="1"/>
  <c r="AK267" i="1"/>
  <c r="AJ238" i="1"/>
  <c r="AK238" i="1"/>
  <c r="AI142" i="1"/>
  <c r="AK142" i="1"/>
  <c r="AI98" i="1"/>
  <c r="AK98" i="1"/>
  <c r="AJ369" i="1"/>
  <c r="AK369" i="1"/>
  <c r="AJ373" i="1"/>
  <c r="AK373" i="1"/>
  <c r="AI327" i="1"/>
  <c r="AK327" i="1"/>
  <c r="AI53" i="1"/>
  <c r="AK53" i="1"/>
  <c r="AJ131" i="1"/>
  <c r="AI131" i="1"/>
  <c r="AJ209" i="1"/>
  <c r="AI209" i="1"/>
  <c r="AJ291" i="1"/>
  <c r="AI291" i="1"/>
  <c r="AJ286" i="1"/>
  <c r="AK286" i="1"/>
  <c r="AI157" i="1"/>
  <c r="AK157" i="1"/>
  <c r="AJ218" i="1"/>
  <c r="AK218" i="1"/>
  <c r="AK134" i="1"/>
  <c r="AK127" i="1"/>
  <c r="AJ340" i="1"/>
  <c r="AK340" i="1"/>
  <c r="AJ383" i="1"/>
  <c r="AK383" i="1"/>
  <c r="AJ112" i="1"/>
  <c r="AK112" i="1"/>
  <c r="AK165" i="1"/>
  <c r="AI194" i="1"/>
  <c r="AK194" i="1"/>
  <c r="AJ84" i="1"/>
  <c r="AK84" i="1"/>
  <c r="AI135" i="1"/>
  <c r="AK135" i="1"/>
  <c r="AJ100" i="1"/>
  <c r="AK100" i="1"/>
  <c r="AK146" i="1"/>
  <c r="AK212" i="1"/>
  <c r="AJ350" i="1"/>
  <c r="AI350" i="1"/>
  <c r="AA6" i="1"/>
  <c r="AI353" i="1"/>
  <c r="AK353" i="1"/>
  <c r="AI108" i="1"/>
  <c r="AK108" i="1"/>
  <c r="AJ372" i="1"/>
  <c r="AK372" i="1"/>
  <c r="AI260" i="1"/>
  <c r="AK260" i="1"/>
  <c r="AI274" i="1"/>
  <c r="AK274" i="1"/>
  <c r="AJ329" i="1"/>
  <c r="AK329" i="1"/>
  <c r="AJ87" i="1"/>
  <c r="AK87" i="1"/>
  <c r="AJ156" i="1"/>
  <c r="AK156" i="1"/>
  <c r="AI46" i="1"/>
  <c r="AK46" i="1"/>
  <c r="AJ172" i="1"/>
  <c r="AK172" i="1"/>
  <c r="AJ74" i="1"/>
  <c r="AK74" i="1"/>
  <c r="AJ313" i="1"/>
  <c r="AK313" i="1"/>
  <c r="AI284" i="1"/>
  <c r="AK284" i="1"/>
  <c r="AJ190" i="1"/>
  <c r="AI190" i="1"/>
  <c r="AJ228" i="1"/>
  <c r="AI228" i="1"/>
  <c r="AJ333" i="1"/>
  <c r="AI333" i="1"/>
  <c r="AJ56" i="1"/>
  <c r="AI56" i="1"/>
  <c r="AJ328" i="1"/>
  <c r="AI328" i="1"/>
  <c r="AJ351" i="1"/>
  <c r="AI351" i="1"/>
  <c r="AJ336" i="1"/>
  <c r="AI336" i="1"/>
  <c r="AI242" i="1"/>
  <c r="AK242" i="1"/>
  <c r="AI86" i="1"/>
  <c r="AK86" i="1"/>
  <c r="AJ205" i="1"/>
  <c r="AK205" i="1"/>
  <c r="AI178" i="1"/>
  <c r="AK178" i="1"/>
  <c r="AI65" i="1"/>
  <c r="AK65" i="1"/>
  <c r="AI376" i="1"/>
  <c r="AJ376" i="1"/>
  <c r="AJ361" i="1"/>
  <c r="AI361" i="1"/>
  <c r="AJ50" i="1"/>
  <c r="AK50" i="1"/>
  <c r="AI381" i="1"/>
  <c r="AK381" i="1"/>
  <c r="AI167" i="1"/>
  <c r="AK167" i="1"/>
  <c r="AI363" i="1"/>
  <c r="AK363" i="1"/>
  <c r="AI311" i="1"/>
  <c r="AK311" i="1"/>
  <c r="AI258" i="1"/>
  <c r="AK258" i="1"/>
  <c r="AI115" i="1"/>
  <c r="AK115" i="1"/>
  <c r="AJ236" i="1"/>
  <c r="AK236" i="1"/>
  <c r="AI99" i="1"/>
  <c r="AK99" i="1"/>
  <c r="AJ149" i="1"/>
  <c r="AK149" i="1"/>
  <c r="AJ362" i="1"/>
  <c r="AI362" i="1"/>
  <c r="AI324" i="1"/>
  <c r="AK324" i="1"/>
  <c r="AK169" i="1"/>
  <c r="AJ136" i="1"/>
  <c r="AK136" i="1"/>
  <c r="AK23" i="1"/>
  <c r="AK349" i="1"/>
  <c r="AI21" i="1"/>
  <c r="AK21" i="1"/>
  <c r="AI92" i="1"/>
  <c r="AK92" i="1"/>
  <c r="AU5" i="1"/>
  <c r="AJ71" i="1"/>
  <c r="AI71" i="1"/>
  <c r="AI161" i="1"/>
  <c r="AJ161" i="1"/>
  <c r="AI153" i="1"/>
  <c r="AK153" i="1"/>
  <c r="AI224" i="1"/>
  <c r="AK224" i="1"/>
  <c r="AJ364" i="1"/>
  <c r="AK364" i="1"/>
  <c r="AI295" i="1"/>
  <c r="AK295" i="1"/>
  <c r="AJ254" i="1"/>
  <c r="AK254" i="1"/>
  <c r="AJ180" i="1"/>
  <c r="AK180" i="1"/>
  <c r="AI346" i="1"/>
  <c r="AJ346" i="1"/>
  <c r="AJ182" i="1"/>
  <c r="AI182" i="1"/>
  <c r="AJ52" i="1"/>
  <c r="AI52" i="1"/>
  <c r="AJ44" i="1"/>
  <c r="AK44" i="1"/>
  <c r="AJ251" i="1"/>
  <c r="AK251" i="1"/>
  <c r="AJ226" i="1"/>
  <c r="AK226" i="1"/>
  <c r="AJ304" i="1"/>
  <c r="AK304" i="1"/>
  <c r="AI326" i="1"/>
  <c r="AK326" i="1"/>
  <c r="AI103" i="1"/>
  <c r="AK103" i="1"/>
  <c r="AJ229" i="1"/>
  <c r="AK229" i="1"/>
  <c r="AJ325" i="1"/>
  <c r="AK325" i="1"/>
  <c r="AJ145" i="1"/>
  <c r="AK145" i="1"/>
  <c r="AJ344" i="1"/>
  <c r="AK344" i="1"/>
  <c r="AI27" i="1"/>
  <c r="AK27" i="1"/>
  <c r="AJ181" i="1"/>
  <c r="AK181" i="1"/>
  <c r="AJ257" i="1"/>
  <c r="AK257" i="1"/>
  <c r="AI29" i="1"/>
  <c r="AJ29" i="1"/>
  <c r="AI335" i="1"/>
  <c r="AJ335" i="1"/>
  <c r="AJ60" i="1"/>
  <c r="AI60" i="1"/>
  <c r="AJ80" i="1"/>
  <c r="AI80" i="1"/>
  <c r="AJ300" i="1"/>
  <c r="AK300" i="1"/>
  <c r="AJ148" i="1"/>
  <c r="AI148" i="1"/>
  <c r="AJ47" i="1"/>
  <c r="AI47" i="1"/>
  <c r="AJ341" i="1"/>
  <c r="AK341" i="1"/>
  <c r="AK290" i="1"/>
  <c r="AK162" i="1"/>
  <c r="AJ250" i="1"/>
  <c r="AK250" i="1"/>
  <c r="AK187" i="1"/>
  <c r="AJ225" i="1"/>
  <c r="AI225" i="1"/>
  <c r="AJ41" i="1"/>
  <c r="AI41" i="1"/>
  <c r="AI151" i="1"/>
  <c r="AK151" i="1"/>
  <c r="AI277" i="1"/>
  <c r="AJ277" i="1"/>
  <c r="AK244" i="1"/>
  <c r="AJ299" i="1"/>
  <c r="AK299" i="1"/>
  <c r="AI39" i="1"/>
  <c r="AK39" i="1"/>
  <c r="AI378" i="1"/>
  <c r="AK378" i="1"/>
  <c r="AK94" i="1"/>
  <c r="AJ170" i="1"/>
  <c r="AK170" i="1"/>
  <c r="AJ76" i="1"/>
  <c r="AK76" i="1"/>
  <c r="AJ10" i="1"/>
  <c r="AK10" i="1"/>
  <c r="AI371" i="1"/>
  <c r="AJ371" i="1"/>
  <c r="AI360" i="1"/>
  <c r="AJ360" i="1"/>
  <c r="AJ235" i="1"/>
  <c r="AI235" i="1"/>
  <c r="AJ232" i="1"/>
  <c r="AI232" i="1"/>
  <c r="AU4" i="1"/>
  <c r="AI133" i="1"/>
  <c r="AJ133" i="1"/>
  <c r="AI339" i="1"/>
  <c r="AJ339" i="1"/>
  <c r="AJ220" i="1"/>
  <c r="AK220" i="1"/>
  <c r="AH3" i="1"/>
  <c r="AH4" i="1"/>
  <c r="AH6" i="1"/>
  <c r="AH5" i="1"/>
  <c r="AH7" i="1"/>
  <c r="AK107" i="1"/>
  <c r="AK137" i="1"/>
  <c r="AK113" i="1"/>
  <c r="AK11" i="1"/>
  <c r="AI280" i="1"/>
  <c r="AJ280" i="1"/>
  <c r="AI19" i="1"/>
  <c r="AJ19" i="1"/>
  <c r="B321" i="2"/>
  <c r="G325" i="2"/>
  <c r="B228" i="4"/>
  <c r="G232" i="4"/>
  <c r="F87" i="3"/>
  <c r="F148" i="3"/>
  <c r="F89" i="3"/>
  <c r="F147" i="3"/>
  <c r="F149" i="3"/>
  <c r="F150" i="3"/>
  <c r="B151" i="3"/>
  <c r="F86" i="3"/>
  <c r="F303" i="3"/>
  <c r="F305" i="3"/>
  <c r="F85" i="3"/>
  <c r="B334" i="3"/>
  <c r="F88" i="3"/>
  <c r="F302" i="3"/>
  <c r="F304" i="3"/>
  <c r="F306" i="3"/>
  <c r="B306" i="3"/>
  <c r="AK140" i="1"/>
  <c r="AK71" i="1"/>
  <c r="AK148" i="1"/>
  <c r="AK336" i="1"/>
  <c r="AK56" i="1"/>
  <c r="AK131" i="1"/>
  <c r="AK362" i="1"/>
  <c r="AK333" i="1"/>
  <c r="AK80" i="1"/>
  <c r="AK52" i="1"/>
  <c r="AK371" i="1"/>
  <c r="AK225" i="1"/>
  <c r="AK328" i="1"/>
  <c r="AK350" i="1"/>
  <c r="AK73" i="1"/>
  <c r="AK335" i="1"/>
  <c r="AK346" i="1"/>
  <c r="AK161" i="1"/>
  <c r="AK209" i="1"/>
  <c r="AK133" i="1"/>
  <c r="AK277" i="1"/>
  <c r="AK376" i="1"/>
  <c r="AK190" i="1"/>
  <c r="AK280" i="1"/>
  <c r="AK361" i="1"/>
  <c r="AK351" i="1"/>
  <c r="AK291" i="1"/>
  <c r="AK228" i="1"/>
  <c r="AK19" i="1"/>
  <c r="AK360" i="1"/>
  <c r="AK29" i="1"/>
  <c r="AK339" i="1"/>
  <c r="AK235" i="1"/>
  <c r="AK41" i="1"/>
  <c r="AK47" i="1"/>
  <c r="AK232" i="1"/>
  <c r="AK60" i="1"/>
  <c r="AK182" i="1"/>
  <c r="G326" i="2"/>
  <c r="G324" i="2"/>
  <c r="G323" i="2"/>
  <c r="G327" i="2"/>
  <c r="G231" i="4"/>
  <c r="G230" i="4"/>
  <c r="G234" i="4"/>
  <c r="G233" i="4"/>
  <c r="G89" i="3"/>
  <c r="B89" i="3"/>
  <c r="B327" i="2"/>
  <c r="H327" i="2"/>
  <c r="H234" i="4"/>
  <c r="B234" i="4"/>
  <c r="AX4" i="1"/>
  <c r="AX5" i="1"/>
</calcChain>
</file>

<file path=xl/comments1.xml><?xml version="1.0" encoding="utf-8"?>
<comments xmlns="http://schemas.openxmlformats.org/spreadsheetml/2006/main">
  <authors>
    <author>Rich Pattis</author>
    <author>Bren School of Information and Computers Science</author>
  </authors>
  <commentList>
    <comment ref="K9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9" authorId="0">
      <text>
        <r>
          <rPr>
            <b/>
            <sz val="8"/>
            <color indexed="81"/>
            <rFont val="Tahoma"/>
            <family val="2"/>
          </rPr>
          <t>44-2=42
-2 late</t>
        </r>
      </text>
    </comment>
    <comment ref="M13" authorId="0">
      <text>
        <r>
          <rPr>
            <b/>
            <sz val="8"/>
            <color indexed="81"/>
            <rFont val="Tahoma"/>
            <family val="2"/>
          </rPr>
          <t>48-2=46
-2: regrade Heap</t>
        </r>
      </text>
    </comment>
    <comment ref="K15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7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19" authorId="0">
      <text>
        <r>
          <rPr>
            <b/>
            <sz val="8"/>
            <color indexed="81"/>
            <rFont val="Tahoma"/>
            <family val="2"/>
          </rPr>
          <t>30-2=28
-2: comment out code in Heap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16-2=14
-2: empty submission</t>
        </r>
      </text>
    </comment>
    <comment ref="H21" authorId="0">
      <text>
        <r>
          <rPr>
            <b/>
            <sz val="8"/>
            <color indexed="81"/>
            <rFont val="Tahoma"/>
            <family val="2"/>
          </rPr>
          <t xml:space="preserve">24-2=22
-2: commented code uncommented
</t>
        </r>
      </text>
    </comment>
    <comment ref="K21" authorId="0">
      <text>
        <r>
          <rPr>
            <b/>
            <sz val="8"/>
            <color indexed="81"/>
            <rFont val="Tahoma"/>
            <family val="2"/>
          </rPr>
          <t>57-1=56
Late:-1</t>
        </r>
      </text>
    </comment>
    <comment ref="K25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9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9" authorId="0">
      <text>
        <r>
          <rPr>
            <b/>
            <sz val="8"/>
            <color indexed="81"/>
            <rFont val="Tahoma"/>
            <family val="2"/>
          </rPr>
          <t>55-2=53
-2: return reference to local variable</t>
        </r>
      </text>
    </comment>
    <comment ref="N29" authorId="0">
      <text>
        <r>
          <rPr>
            <b/>
            <sz val="8"/>
            <color indexed="81"/>
            <rFont val="Tahoma"/>
            <family val="2"/>
          </rPr>
          <t>58-2=56
-2: delete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34" authorId="0">
      <text>
        <r>
          <rPr>
            <b/>
            <sz val="8"/>
            <color indexed="81"/>
            <rFont val="Tahoma"/>
            <family val="2"/>
          </rPr>
          <t>24-2=22
-2: uncomment code</t>
        </r>
      </text>
    </comment>
    <comment ref="K35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5" authorId="0">
      <text>
        <r>
          <rPr>
            <b/>
            <sz val="8"/>
            <color indexed="81"/>
            <rFont val="Tahoma"/>
            <family val="2"/>
          </rPr>
          <t>45-2+10=53
-2: rreturn error
+8, cost to same node</t>
        </r>
      </text>
    </comment>
    <comment ref="H38" authorId="0">
      <text>
        <r>
          <rPr>
            <b/>
            <sz val="8"/>
            <color indexed="81"/>
            <rFont val="Tahoma"/>
            <family val="2"/>
          </rPr>
          <t>25-5=20
-5; empty for loop</t>
        </r>
      </text>
    </comment>
    <comment ref="K38" authorId="0">
      <text>
        <r>
          <rPr>
            <b/>
            <sz val="8"/>
            <color indexed="81"/>
            <rFont val="Tahoma"/>
            <family val="2"/>
          </rPr>
          <t>53-2=51
-2: Mispelled partner</t>
        </r>
      </text>
    </comment>
    <comment ref="L38" authorId="0">
      <text>
        <r>
          <rPr>
            <b/>
            <sz val="8"/>
            <color indexed="81"/>
            <rFont val="Tahoma"/>
            <family val="2"/>
          </rPr>
          <t>60-2=58
-2: Mispelled partner</t>
        </r>
      </text>
    </comment>
    <comment ref="K40" authorId="0">
      <text>
        <r>
          <rPr>
            <b/>
            <sz val="8"/>
            <color indexed="81"/>
            <rFont val="Tahoma"/>
            <family val="2"/>
          </rPr>
          <t>60-6=54
-6: submitted empty files</t>
        </r>
      </text>
    </comment>
    <comment ref="L40" authorId="0">
      <text>
        <r>
          <rPr>
            <b/>
            <sz val="8"/>
            <color indexed="81"/>
            <rFont val="Tahoma"/>
            <family val="2"/>
          </rPr>
          <t xml:space="preserve">52-2=50
-2: partner not specified
</t>
        </r>
      </text>
    </comment>
    <comment ref="K43" authorId="0">
      <text>
        <r>
          <rPr>
            <b/>
            <sz val="8"/>
            <color indexed="81"/>
            <rFont val="Tahoma"/>
            <family val="2"/>
          </rPr>
          <t>OS not general</t>
        </r>
      </text>
    </comment>
    <comment ref="M44" authorId="0">
      <text>
        <r>
          <rPr>
            <b/>
            <sz val="8"/>
            <color indexed="81"/>
            <rFont val="Tahoma"/>
            <family val="2"/>
          </rPr>
          <t>52-2=50
-2: comment out code</t>
        </r>
      </text>
    </comment>
    <comment ref="N46" authorId="0">
      <text>
        <r>
          <rPr>
            <b/>
            <sz val="8"/>
            <color indexed="81"/>
            <rFont val="Tahoma"/>
            <family val="2"/>
          </rPr>
          <t xml:space="preserve">47: regrade
</t>
        </r>
      </text>
    </comment>
    <comment ref="M49" authorId="0">
      <text>
        <r>
          <rPr>
            <b/>
            <sz val="8"/>
            <color indexed="81"/>
            <rFont val="Tahoma"/>
            <family val="2"/>
          </rPr>
          <t xml:space="preserve">59-2=57
-2: regrade wordgenerator
</t>
        </r>
      </text>
    </comment>
    <comment ref="O49" authorId="0">
      <text>
        <r>
          <rPr>
            <b/>
            <sz val="8"/>
            <color indexed="81"/>
            <rFont val="Tahoma"/>
            <family val="2"/>
          </rPr>
          <t>41-2=39
-2</t>
        </r>
      </text>
    </comment>
    <comment ref="M51" authorId="0">
      <text>
        <r>
          <rPr>
            <b/>
            <sz val="8"/>
            <color indexed="81"/>
            <rFont val="Tahoma"/>
            <family val="2"/>
          </rPr>
          <t xml:space="preserve">61-2=59
-2: implicit conversion warning
</t>
        </r>
      </text>
    </comment>
    <comment ref="K55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56" authorId="0">
      <text>
        <r>
          <rPr>
            <b/>
            <sz val="8"/>
            <color indexed="81"/>
            <rFont val="Tahoma"/>
            <family val="2"/>
          </rPr>
          <t>Late Registering
Grade interpolated</t>
        </r>
      </text>
    </comment>
    <comment ref="N56" authorId="0">
      <text>
        <r>
          <rPr>
            <b/>
            <sz val="8"/>
            <color indexed="81"/>
            <rFont val="Tahoma"/>
            <family val="2"/>
          </rPr>
          <t>60-2=58
-2: Comment in wrong form.</t>
        </r>
      </text>
    </comment>
    <comment ref="O56" authorId="0">
      <text>
        <r>
          <rPr>
            <b/>
            <sz val="8"/>
            <color indexed="81"/>
            <rFont val="Tahoma"/>
            <family val="2"/>
          </rPr>
          <t>25-2=23
-2: different return</t>
        </r>
      </text>
    </comment>
    <comment ref="K57" authorId="0">
      <text>
        <r>
          <rPr>
            <b/>
            <sz val="8"/>
            <color indexed="81"/>
            <rFont val="Tahoma"/>
            <family val="2"/>
          </rPr>
          <t>60-2=58
-2: Partner incorrect</t>
        </r>
      </text>
    </comment>
    <comment ref="L57" authorId="0">
      <text>
        <r>
          <rPr>
            <b/>
            <sz val="8"/>
            <color indexed="81"/>
            <rFont val="Tahoma"/>
            <family val="2"/>
          </rPr>
          <t>44-2=42
-2: No partner header comment</t>
        </r>
      </text>
    </comment>
    <comment ref="L62" authorId="0">
      <text>
        <r>
          <rPr>
            <b/>
            <sz val="8"/>
            <color indexed="81"/>
            <rFont val="Tahoma"/>
            <family val="2"/>
          </rPr>
          <t>52-2=50
-2: correction of variable name.</t>
        </r>
      </text>
    </comment>
    <comment ref="D69" authorId="0">
      <text>
        <r>
          <rPr>
            <b/>
            <sz val="8"/>
            <color indexed="81"/>
            <rFont val="Tahoma"/>
            <family val="2"/>
          </rPr>
          <t>24-2=22
-2: Late</t>
        </r>
      </text>
    </comment>
    <comment ref="O71" authorId="0">
      <text>
        <r>
          <rPr>
            <b/>
            <sz val="8"/>
            <color indexed="81"/>
            <rFont val="Tahoma"/>
            <family val="2"/>
          </rPr>
          <t>60-15=45
-15: &gt; 24 hrs late</t>
        </r>
      </text>
    </comment>
    <comment ref="M73" authorId="0">
      <text>
        <r>
          <rPr>
            <b/>
            <sz val="8"/>
            <color indexed="81"/>
            <rFont val="Tahoma"/>
            <family val="2"/>
          </rPr>
          <t xml:space="preserve">11-2=9
-2: commenting out code
</t>
        </r>
      </text>
    </comment>
    <comment ref="O73" authorId="0">
      <text>
        <r>
          <rPr>
            <b/>
            <sz val="8"/>
            <color indexed="81"/>
            <rFont val="Tahoma"/>
            <family val="2"/>
          </rPr>
          <t>33-2=31
-2: commented code</t>
        </r>
      </text>
    </comment>
    <comment ref="F83" authorId="0">
      <text>
        <r>
          <rPr>
            <b/>
            <sz val="8"/>
            <color indexed="81"/>
            <rFont val="Tahoma"/>
            <family val="2"/>
          </rPr>
          <t>25-2-2=21
-2: Paper Late
-2: Online Late</t>
        </r>
      </text>
    </comment>
    <comment ref="R83" authorId="0">
      <text>
        <r>
          <rPr>
            <b/>
            <sz val="8"/>
            <color indexed="81"/>
            <rFont val="Tahoma"/>
            <family val="2"/>
          </rPr>
          <t xml:space="preserve">102-4=98
-4: Continued working after time called
</t>
        </r>
      </text>
    </comment>
    <comment ref="K88" authorId="0">
      <text>
        <r>
          <rPr>
            <b/>
            <sz val="8"/>
            <color indexed="81"/>
            <rFont val="Tahoma"/>
            <family val="2"/>
          </rPr>
          <t>53-2=51
-2: Mispelled partner</t>
        </r>
      </text>
    </comment>
    <comment ref="L88" authorId="0">
      <text>
        <r>
          <rPr>
            <b/>
            <sz val="8"/>
            <color indexed="81"/>
            <rFont val="Tahoma"/>
            <family val="2"/>
          </rPr>
          <t>60-2=58
-2: Mispelled partner</t>
        </r>
      </text>
    </comment>
    <comment ref="K90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91" authorId="0">
      <text>
        <r>
          <rPr>
            <b/>
            <sz val="8"/>
            <color indexed="81"/>
            <rFont val="Tahoma"/>
            <family val="2"/>
          </rPr>
          <t>60-15=45
-15: &gt; 24 hrs late</t>
        </r>
      </text>
    </comment>
    <comment ref="K94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94" authorId="0">
      <text>
        <r>
          <rPr>
            <b/>
            <sz val="8"/>
            <color indexed="81"/>
            <rFont val="Tahoma"/>
            <family val="2"/>
          </rPr>
          <t>47-2=45
-2: fixed syntax error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97" authorId="0">
      <text>
        <r>
          <rPr>
            <b/>
            <sz val="8"/>
            <color indexed="81"/>
            <rFont val="Tahoma"/>
            <family val="2"/>
          </rPr>
          <t>59-4=55
-4 late (44 minutes)</t>
        </r>
      </text>
    </comment>
    <comment ref="O100" authorId="0">
      <text>
        <r>
          <rPr>
            <b/>
            <sz val="8"/>
            <color indexed="81"/>
            <rFont val="Tahoma"/>
            <family val="2"/>
          </rPr>
          <t>16-2=14
-2: comment out destructor code that is incorrect</t>
        </r>
      </text>
    </comment>
    <comment ref="D105" authorId="0">
      <text>
        <r>
          <rPr>
            <b/>
            <sz val="8"/>
            <color indexed="81"/>
            <rFont val="Tahoma"/>
            <family val="2"/>
          </rPr>
          <t>21-2=19
-2: Late</t>
        </r>
      </text>
    </comment>
    <comment ref="C106" authorId="0">
      <text>
        <r>
          <rPr>
            <b/>
            <sz val="8"/>
            <color indexed="81"/>
            <rFont val="Tahoma"/>
            <family val="2"/>
          </rPr>
          <t>20-2=18
-2:Late (emailed)</t>
        </r>
      </text>
    </comment>
    <comment ref="D107" authorId="0">
      <text>
        <r>
          <rPr>
            <b/>
            <sz val="8"/>
            <color indexed="81"/>
            <rFont val="Tahoma"/>
            <family val="2"/>
          </rPr>
          <t>23-2=21
-2:Late</t>
        </r>
      </text>
    </comment>
    <comment ref="K107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08" authorId="0">
      <text>
        <r>
          <rPr>
            <b/>
            <sz val="8"/>
            <color indexed="81"/>
            <rFont val="Tahoma"/>
            <family val="2"/>
          </rPr>
          <t xml:space="preserve">14-2=12
-2: commented out methods
</t>
        </r>
      </text>
    </comment>
    <comment ref="K109" authorId="0">
      <text>
        <r>
          <rPr>
            <b/>
            <sz val="8"/>
            <color indexed="81"/>
            <rFont val="Tahoma"/>
            <family val="2"/>
          </rPr>
          <t>53-2=51
-2: access outside vector</t>
        </r>
      </text>
    </comment>
    <comment ref="K111" authorId="0">
      <text>
        <r>
          <rPr>
            <b/>
            <sz val="8"/>
            <color indexed="81"/>
            <rFont val="Tahoma"/>
            <family val="2"/>
          </rPr>
          <t>58-2=56
-2: missing 1 line of code, regrade</t>
        </r>
      </text>
    </comment>
    <comment ref="N112" authorId="0">
      <text>
        <r>
          <rPr>
            <b/>
            <sz val="8"/>
            <color indexed="81"/>
            <rFont val="Tahoma"/>
            <family val="2"/>
          </rPr>
          <t xml:space="preserve">15-2=13
-2: "partern on spreadsheet" was submitter
</t>
        </r>
      </text>
    </comment>
    <comment ref="O112" authorId="0">
      <text>
        <r>
          <rPr>
            <b/>
            <sz val="8"/>
            <color indexed="81"/>
            <rFont val="Tahoma"/>
            <family val="2"/>
          </rPr>
          <t>60-2=58
-2: missing return</t>
        </r>
      </text>
    </comment>
    <comment ref="N113" authorId="0">
      <text>
        <r>
          <rPr>
            <b/>
            <sz val="8"/>
            <color indexed="81"/>
            <rFont val="Tahoma"/>
            <family val="2"/>
          </rPr>
          <t>53-2=51
-2: commented out code</t>
        </r>
      </text>
    </comment>
    <comment ref="O113" authorId="0">
      <text>
        <r>
          <rPr>
            <b/>
            <sz val="8"/>
            <color indexed="81"/>
            <rFont val="Tahoma"/>
            <family val="2"/>
          </rPr>
          <t>60-4=56
-4: commented code (second time)</t>
        </r>
      </text>
    </comment>
    <comment ref="D114" authorId="0">
      <text>
        <r>
          <rPr>
            <b/>
            <sz val="8"/>
            <color indexed="81"/>
            <rFont val="Tahoma"/>
            <family val="2"/>
          </rPr>
          <t>15-2=13
-2: Late</t>
        </r>
      </text>
    </comment>
    <comment ref="K114" authorId="0">
      <text>
        <r>
          <rPr>
            <b/>
            <sz val="8"/>
            <color indexed="81"/>
            <rFont val="Tahoma"/>
            <family val="2"/>
          </rPr>
          <t>45-3=42
-2: Partner error</t>
        </r>
      </text>
    </comment>
    <comment ref="N114" authorId="0">
      <text>
        <r>
          <rPr>
            <b/>
            <sz val="8"/>
            <color indexed="81"/>
            <rFont val="Tahoma"/>
            <family val="2"/>
          </rPr>
          <t xml:space="preserve">15-2=13
-2: "partern on spreadsheet" was submitter
</t>
        </r>
      </text>
    </comment>
    <comment ref="N116" authorId="0">
      <text>
        <r>
          <rPr>
            <b/>
            <sz val="8"/>
            <color indexed="81"/>
            <rFont val="Tahoma"/>
            <family val="2"/>
          </rPr>
          <t>60-2=58
-2: Comment in wrong form.</t>
        </r>
      </text>
    </comment>
    <comment ref="R116" authorId="0">
      <text>
        <r>
          <rPr>
            <b/>
            <sz val="8"/>
            <color indexed="81"/>
            <rFont val="Tahoma"/>
            <family val="2"/>
          </rPr>
          <t xml:space="preserve">105-4=101
-4: Continued working after time called
</t>
        </r>
      </text>
    </comment>
    <comment ref="N120" authorId="0">
      <text>
        <r>
          <rPr>
            <b/>
            <sz val="8"/>
            <color indexed="81"/>
            <rFont val="Tahoma"/>
            <family val="2"/>
          </rPr>
          <t>52-2=50
-2: corrected variable name</t>
        </r>
      </text>
    </comment>
    <comment ref="M121" authorId="0">
      <text>
        <r>
          <rPr>
            <b/>
            <sz val="8"/>
            <color indexed="81"/>
            <rFont val="Tahoma"/>
            <family val="2"/>
          </rPr>
          <t>59-2=57
-2: late</t>
        </r>
      </text>
    </comment>
    <comment ref="O122" authorId="0">
      <text>
        <r>
          <rPr>
            <b/>
            <sz val="8"/>
            <color indexed="81"/>
            <rFont val="Tahoma"/>
            <family val="2"/>
          </rPr>
          <t>+10: works if not to self</t>
        </r>
      </text>
    </comment>
    <comment ref="N124" authorId="0">
      <text>
        <r>
          <rPr>
            <b/>
            <sz val="8"/>
            <color indexed="81"/>
            <rFont val="Tahoma"/>
            <family val="2"/>
          </rPr>
          <t>regrade</t>
        </r>
      </text>
    </comment>
    <comment ref="D125" authorId="0">
      <text>
        <r>
          <rPr>
            <b/>
            <sz val="8"/>
            <color indexed="81"/>
            <rFont val="Tahoma"/>
            <family val="2"/>
          </rPr>
          <t xml:space="preserve">20-2=18
-2: Late
</t>
        </r>
      </text>
    </comment>
    <comment ref="E125" authorId="0">
      <text>
        <r>
          <rPr>
            <b/>
            <sz val="8"/>
            <color indexed="81"/>
            <rFont val="Tahoma"/>
            <family val="2"/>
          </rPr>
          <t xml:space="preserve">22-4=18
-4: Late Second Time
</t>
        </r>
      </text>
    </comment>
    <comment ref="M125" authorId="0">
      <text>
        <r>
          <rPr>
            <b/>
            <sz val="8"/>
            <color indexed="81"/>
            <rFont val="Tahoma"/>
            <family val="2"/>
          </rPr>
          <t>29-2=27
-2: submitter/partner form wrong</t>
        </r>
      </text>
    </comment>
    <comment ref="O126" authorId="0">
      <text>
        <r>
          <rPr>
            <b/>
            <sz val="8"/>
            <color indexed="81"/>
            <rFont val="Tahoma"/>
            <family val="2"/>
          </rPr>
          <t>62-2=2
-2: INFINITY problem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27" authorId="0">
      <text>
        <r>
          <rPr>
            <b/>
            <sz val="8"/>
            <color indexed="81"/>
            <rFont val="Tahoma"/>
            <family val="2"/>
          </rPr>
          <t>59-2=57
-2:commented out code</t>
        </r>
      </text>
    </comment>
    <comment ref="G128" authorId="0">
      <text>
        <r>
          <rPr>
            <b/>
            <sz val="8"/>
            <color indexed="81"/>
            <rFont val="Tahoma"/>
            <family val="2"/>
          </rPr>
          <t>25-5=20
-5: 5 hours late</t>
        </r>
      </text>
    </comment>
    <comment ref="K131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31" authorId="0">
      <text>
        <r>
          <rPr>
            <b/>
            <sz val="8"/>
            <color indexed="81"/>
            <rFont val="Tahoma"/>
            <family val="2"/>
          </rPr>
          <t>40-2=38
-2: omitted partner's name</t>
        </r>
      </text>
    </comment>
    <comment ref="M133" authorId="0">
      <text>
        <r>
          <rPr>
            <b/>
            <sz val="8"/>
            <color indexed="81"/>
            <rFont val="Tahoma"/>
            <family val="2"/>
          </rPr>
          <t>Regraded</t>
        </r>
      </text>
    </comment>
    <comment ref="M134" authorId="1">
      <text>
        <r>
          <rPr>
            <b/>
            <sz val="8"/>
            <color indexed="81"/>
            <rFont val="Tahoma"/>
            <family val="2"/>
          </rPr>
          <t xml:space="preserve">59-2=57
-2: implicit conversion
</t>
        </r>
      </text>
    </comment>
    <comment ref="N135" authorId="0">
      <text>
        <r>
          <rPr>
            <b/>
            <sz val="8"/>
            <color indexed="81"/>
            <rFont val="Tahoma"/>
            <family val="2"/>
          </rPr>
          <t xml:space="preserve">57-2=55
-2: regrading erase
</t>
        </r>
      </text>
    </comment>
    <comment ref="K136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38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39" authorId="0">
      <text>
        <r>
          <rPr>
            <b/>
            <sz val="8"/>
            <color indexed="81"/>
            <rFont val="Tahoma"/>
            <family val="2"/>
          </rPr>
          <t>42-2=40
-2: Partner's Name</t>
        </r>
      </text>
    </comment>
    <comment ref="L139" authorId="0">
      <text>
        <r>
          <rPr>
            <b/>
            <sz val="8"/>
            <color indexed="81"/>
            <rFont val="Tahoma"/>
            <family val="2"/>
          </rPr>
          <t>51-2=49
-2: Partner's Name</t>
        </r>
      </text>
    </comment>
    <comment ref="O139" authorId="0">
      <text>
        <r>
          <rPr>
            <b/>
            <sz val="8"/>
            <color indexed="81"/>
            <rFont val="Tahoma"/>
            <family val="2"/>
          </rPr>
          <t>62-2=60
-2: returns</t>
        </r>
      </text>
    </comment>
    <comment ref="K140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43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46" authorId="0">
      <text>
        <r>
          <rPr>
            <b/>
            <sz val="8"/>
            <color indexed="81"/>
            <rFont val="Tahoma"/>
            <family val="2"/>
          </rPr>
          <t>Regrade</t>
        </r>
      </text>
    </comment>
    <comment ref="N148" authorId="0">
      <text>
        <r>
          <rPr>
            <b/>
            <sz val="8"/>
            <color indexed="81"/>
            <rFont val="Tahoma"/>
            <family val="2"/>
          </rPr>
          <t xml:space="preserve">57-2=55
-2: regrading erase
</t>
        </r>
      </text>
    </comment>
    <comment ref="N155" authorId="0">
      <text>
        <r>
          <rPr>
            <b/>
            <sz val="8"/>
            <color indexed="81"/>
            <rFont val="Tahoma"/>
            <family val="2"/>
          </rPr>
          <t>17-2=15
-2: regrade/warning</t>
        </r>
      </text>
    </comment>
    <comment ref="O156" authorId="0">
      <text>
        <r>
          <rPr>
            <b/>
            <sz val="8"/>
            <color indexed="81"/>
            <rFont val="Tahoma"/>
            <family val="2"/>
          </rPr>
          <t>45-2=43
-2: late</t>
        </r>
      </text>
    </comment>
    <comment ref="M157" authorId="0">
      <text>
        <r>
          <rPr>
            <b/>
            <sz val="8"/>
            <color indexed="81"/>
            <rFont val="Tahoma"/>
            <family val="2"/>
          </rPr>
          <t xml:space="preserve">56-2=54
-2: warning 
</t>
        </r>
      </text>
    </comment>
    <comment ref="N158" authorId="0">
      <text>
        <r>
          <rPr>
            <b/>
            <sz val="8"/>
            <color indexed="81"/>
            <rFont val="Tahoma"/>
            <family val="2"/>
          </rPr>
          <t>56-2=54
-2 compiler error str()</t>
        </r>
      </text>
    </comment>
    <comment ref="M159" authorId="0">
      <text>
        <r>
          <rPr>
            <b/>
            <sz val="8"/>
            <color indexed="81"/>
            <rFont val="Tahoma"/>
            <family val="2"/>
          </rPr>
          <t>59-2=57
-2: missing return</t>
        </r>
      </text>
    </comment>
    <comment ref="L160" authorId="0">
      <text>
        <r>
          <rPr>
            <b/>
            <sz val="8"/>
            <color indexed="81"/>
            <rFont val="Tahoma"/>
            <family val="2"/>
          </rPr>
          <t>62-2=60
-2: delete error</t>
        </r>
      </text>
    </comment>
    <comment ref="D162" authorId="0">
      <text>
        <r>
          <rPr>
            <b/>
            <sz val="8"/>
            <color indexed="81"/>
            <rFont val="Tahoma"/>
            <family val="2"/>
          </rPr>
          <t>21-3=18
-3: Late</t>
        </r>
      </text>
    </comment>
    <comment ref="F162" authorId="0">
      <text>
        <r>
          <rPr>
            <b/>
            <sz val="8"/>
            <color indexed="81"/>
            <rFont val="Tahoma"/>
            <family val="2"/>
          </rPr>
          <t>24-4=20
-4: Late, 2nd time</t>
        </r>
      </text>
    </comment>
    <comment ref="K162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165" authorId="0">
      <text>
        <r>
          <rPr>
            <b/>
            <sz val="8"/>
            <color indexed="81"/>
            <rFont val="Tahoma"/>
            <family val="2"/>
          </rPr>
          <t xml:space="preserve">11-2=9
-2: commenting out code
</t>
        </r>
      </text>
    </comment>
    <comment ref="L170" authorId="0">
      <text>
        <r>
          <rPr>
            <b/>
            <sz val="8"/>
            <color indexed="81"/>
            <rFont val="Tahoma"/>
            <family val="2"/>
          </rPr>
          <t>51-4=47
-2: two differenct delete bugs</t>
        </r>
      </text>
    </comment>
    <comment ref="O170" authorId="0">
      <text>
        <r>
          <rPr>
            <b/>
            <sz val="8"/>
            <color indexed="81"/>
            <rFont val="Tahoma"/>
            <family val="2"/>
          </rPr>
          <t>45-2=43
-2: file opened in wrong directory</t>
        </r>
      </text>
    </comment>
    <comment ref="K173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73" authorId="0">
      <text>
        <r>
          <rPr>
            <b/>
            <sz val="8"/>
            <color indexed="81"/>
            <rFont val="Tahoma"/>
            <family val="2"/>
          </rPr>
          <t>Regrade</t>
        </r>
      </text>
    </comment>
    <comment ref="K176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77" authorId="0">
      <text>
        <r>
          <rPr>
            <b/>
            <sz val="8"/>
            <color indexed="81"/>
            <rFont val="Tahoma"/>
            <family val="2"/>
          </rPr>
          <t>17-1=16
-1: late</t>
        </r>
      </text>
    </comment>
    <comment ref="M179" authorId="0">
      <text>
        <r>
          <rPr>
            <b/>
            <sz val="8"/>
            <color indexed="81"/>
            <rFont val="Tahoma"/>
            <family val="2"/>
          </rPr>
          <t xml:space="preserve">56-2=54
-2: warning 
</t>
        </r>
      </text>
    </comment>
    <comment ref="H180" authorId="0">
      <text>
        <r>
          <rPr>
            <b/>
            <sz val="8"/>
            <color indexed="81"/>
            <rFont val="Tahoma"/>
            <family val="2"/>
          </rPr>
          <t>25-2=23
-2: uncomment loop</t>
        </r>
      </text>
    </comment>
    <comment ref="D181" authorId="0">
      <text>
        <r>
          <rPr>
            <b/>
            <sz val="8"/>
            <color indexed="81"/>
            <rFont val="Tahoma"/>
            <family val="2"/>
          </rPr>
          <t>21-3=18
-3: Late</t>
        </r>
      </text>
    </comment>
    <comment ref="M181" authorId="0">
      <text>
        <r>
          <rPr>
            <b/>
            <sz val="8"/>
            <color indexed="81"/>
            <rFont val="Tahoma"/>
            <family val="2"/>
          </rPr>
          <t>29-2=27
-2: submitter/partner form wrong</t>
        </r>
      </text>
    </comment>
    <comment ref="K182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84" authorId="0">
      <text>
        <r>
          <rPr>
            <b/>
            <sz val="8"/>
            <color indexed="81"/>
            <rFont val="Tahoma"/>
            <family val="2"/>
          </rPr>
          <t>+10: works if not to self</t>
        </r>
      </text>
    </comment>
    <comment ref="C187" authorId="0">
      <text>
        <r>
          <rPr>
            <b/>
            <sz val="8"/>
            <color indexed="81"/>
            <rFont val="Tahoma"/>
            <family val="2"/>
          </rPr>
          <t>20-2=18
-2: Late Paper</t>
        </r>
      </text>
    </comment>
    <comment ref="K187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2" authorId="0">
      <text>
        <r>
          <rPr>
            <b/>
            <sz val="8"/>
            <color indexed="81"/>
            <rFont val="Tahoma"/>
            <family val="2"/>
          </rPr>
          <t>25/2=13
/2: Submitted empty</t>
        </r>
      </text>
    </comment>
    <comment ref="L192" authorId="0">
      <text>
        <r>
          <rPr>
            <b/>
            <sz val="8"/>
            <color indexed="81"/>
            <rFont val="Tahoma"/>
            <family val="2"/>
          </rPr>
          <t>61-2=59
-2: No closing } in namespace</t>
        </r>
      </text>
    </comment>
    <comment ref="I195" authorId="0">
      <text>
        <r>
          <rPr>
            <b/>
            <sz val="8"/>
            <color indexed="81"/>
            <rFont val="Tahoma"/>
            <family val="2"/>
          </rPr>
          <t>25-2=23
-2: late</t>
        </r>
      </text>
    </comment>
    <comment ref="O195" authorId="0">
      <text>
        <r>
          <rPr>
            <b/>
            <sz val="8"/>
            <color indexed="81"/>
            <rFont val="Tahoma"/>
            <family val="2"/>
          </rPr>
          <t>+10: works if not to self</t>
        </r>
      </text>
    </comment>
    <comment ref="N196" authorId="0">
      <text>
        <r>
          <rPr>
            <b/>
            <sz val="8"/>
            <color indexed="81"/>
            <rFont val="Tahoma"/>
            <family val="2"/>
          </rPr>
          <t>34-2=32
-2: uncommenting code</t>
        </r>
      </text>
    </comment>
    <comment ref="M197" authorId="0">
      <text>
        <r>
          <rPr>
            <b/>
            <sz val="8"/>
            <color indexed="81"/>
            <rFont val="Tahoma"/>
            <family val="2"/>
          </rPr>
          <t xml:space="preserve">60-2=58
-2: incorrect submitter
</t>
        </r>
      </text>
    </comment>
    <comment ref="E198" authorId="0">
      <text>
        <r>
          <rPr>
            <b/>
            <sz val="8"/>
            <color indexed="81"/>
            <rFont val="Tahoma"/>
            <family val="2"/>
          </rPr>
          <t>20-2=18
-2: Late</t>
        </r>
      </text>
    </comment>
    <comment ref="K199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99" authorId="0">
      <text>
        <r>
          <rPr>
            <b/>
            <sz val="8"/>
            <color indexed="81"/>
            <rFont val="Tahoma"/>
            <family val="2"/>
          </rPr>
          <t>47-2=45
-2: fixed syntax error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00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00" authorId="0">
      <text>
        <r>
          <rPr>
            <b/>
            <sz val="8"/>
            <color indexed="81"/>
            <rFont val="Tahoma"/>
            <family val="2"/>
          </rPr>
          <t>56-2=54
-2: delete problem</t>
        </r>
      </text>
    </comment>
    <comment ref="K201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02" authorId="0">
      <text>
        <r>
          <rPr>
            <b/>
            <sz val="8"/>
            <color indexed="81"/>
            <rFont val="Tahoma"/>
            <family val="2"/>
          </rPr>
          <t>61-2=59
-2: regrade</t>
        </r>
      </text>
    </comment>
    <comment ref="K203" authorId="0">
      <text>
        <r>
          <rPr>
            <b/>
            <sz val="8"/>
            <color indexed="81"/>
            <rFont val="Tahoma"/>
            <family val="2"/>
          </rPr>
          <t>57-1=56
Late:-1</t>
        </r>
      </text>
    </comment>
    <comment ref="N207" authorId="0">
      <text>
        <r>
          <rPr>
            <b/>
            <sz val="8"/>
            <color indexed="81"/>
            <rFont val="Tahoma"/>
            <family val="2"/>
          </rPr>
          <t>34-2=32
-2: uncommenting code</t>
        </r>
      </text>
    </comment>
    <comment ref="H209" authorId="0">
      <text>
        <r>
          <rPr>
            <b/>
            <sz val="8"/>
            <color indexed="81"/>
            <rFont val="Tahoma"/>
            <family val="2"/>
          </rPr>
          <t>25-2=23
-2: uncomment code</t>
        </r>
      </text>
    </comment>
    <comment ref="H216" authorId="0">
      <text>
        <r>
          <rPr>
            <b/>
            <sz val="8"/>
            <color indexed="81"/>
            <rFont val="Tahoma"/>
            <family val="2"/>
          </rPr>
          <t>25-2=23
-2: omitted }</t>
        </r>
      </text>
    </comment>
    <comment ref="K216" authorId="0">
      <text>
        <r>
          <rPr>
            <b/>
            <sz val="8"/>
            <color indexed="81"/>
            <rFont val="Tahoma"/>
            <family val="2"/>
          </rPr>
          <t>42-2=40
-2: Partner's Name</t>
        </r>
      </text>
    </comment>
    <comment ref="L216" authorId="0">
      <text>
        <r>
          <rPr>
            <b/>
            <sz val="8"/>
            <color indexed="81"/>
            <rFont val="Tahoma"/>
            <family val="2"/>
          </rPr>
          <t>51-2=49
-2: Partner's Name</t>
        </r>
      </text>
    </comment>
    <comment ref="K219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21" authorId="0">
      <text>
        <r>
          <rPr>
            <b/>
            <sz val="8"/>
            <color indexed="81"/>
            <rFont val="Tahoma"/>
            <family val="2"/>
          </rPr>
          <t>54-2=52
-2: various errors</t>
        </r>
      </text>
    </comment>
    <comment ref="K222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23" authorId="0">
      <text>
        <r>
          <rPr>
            <b/>
            <sz val="8"/>
            <color indexed="81"/>
            <rFont val="Tahoma"/>
            <family val="2"/>
          </rPr>
          <t xml:space="preserve">25-2=23
-2: Late
</t>
        </r>
      </text>
    </comment>
    <comment ref="C224" authorId="0">
      <text>
        <r>
          <rPr>
            <b/>
            <sz val="8"/>
            <color indexed="81"/>
            <rFont val="Tahoma"/>
            <family val="2"/>
          </rPr>
          <t>25-2=23
-2: Late Online</t>
        </r>
      </text>
    </comment>
    <comment ref="D224" authorId="0">
      <text>
        <r>
          <rPr>
            <b/>
            <sz val="8"/>
            <color indexed="81"/>
            <rFont val="Tahoma"/>
            <family val="2"/>
          </rPr>
          <t>Correction on last problem</t>
        </r>
      </text>
    </comment>
    <comment ref="N224" authorId="0">
      <text>
        <r>
          <rPr>
            <b/>
            <sz val="8"/>
            <color indexed="81"/>
            <rFont val="Tahoma"/>
            <family val="2"/>
          </rPr>
          <t>17-2=15
-2: regrade/warning</t>
        </r>
      </text>
    </comment>
    <comment ref="K225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25" authorId="0">
      <text>
        <r>
          <rPr>
            <b/>
            <sz val="8"/>
            <color indexed="81"/>
            <rFont val="Tahoma"/>
            <family val="2"/>
          </rPr>
          <t>62-2=60
-2: std::all_of on clang</t>
        </r>
      </text>
    </comment>
    <comment ref="K227" authorId="0">
      <text>
        <r>
          <rPr>
            <b/>
            <sz val="8"/>
            <color indexed="81"/>
            <rFont val="Tahoma"/>
            <family val="2"/>
          </rPr>
          <t>31-1=30
Late: -1</t>
        </r>
      </text>
    </comment>
    <comment ref="O227" authorId="0">
      <text>
        <r>
          <rPr>
            <b/>
            <sz val="8"/>
            <color indexed="81"/>
            <rFont val="Tahoma"/>
            <family val="2"/>
          </rPr>
          <t>55-4=51
-4: late &gt;1 hour</t>
        </r>
      </text>
    </comment>
    <comment ref="C230" authorId="0">
      <text>
        <r>
          <rPr>
            <b/>
            <sz val="8"/>
            <color indexed="81"/>
            <rFont val="Tahoma"/>
            <family val="2"/>
          </rPr>
          <t>25-2=23
-2: Late Paper</t>
        </r>
      </text>
    </comment>
    <comment ref="D230" authorId="0">
      <text>
        <r>
          <rPr>
            <b/>
            <sz val="8"/>
            <color indexed="81"/>
            <rFont val="Tahoma"/>
            <family val="2"/>
          </rPr>
          <t>21-4=17
-4: Late (2nd time)</t>
        </r>
      </text>
    </comment>
    <comment ref="N230" authorId="0">
      <text>
        <r>
          <rPr>
            <b/>
            <sz val="8"/>
            <color indexed="81"/>
            <rFont val="Tahoma"/>
            <family val="2"/>
          </rPr>
          <t xml:space="preserve">47: regrade
</t>
        </r>
      </text>
    </comment>
    <comment ref="K232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35" authorId="0">
      <text>
        <r>
          <rPr>
            <b/>
            <sz val="8"/>
            <color indexed="81"/>
            <rFont val="Tahoma"/>
            <family val="2"/>
          </rPr>
          <t>35-2=33
-2: partner/submitter reversed</t>
        </r>
      </text>
    </comment>
    <comment ref="K236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36" authorId="0">
      <text>
        <r>
          <rPr>
            <b/>
            <sz val="8"/>
            <color indexed="81"/>
            <rFont val="Tahoma"/>
            <family val="2"/>
          </rPr>
          <t>62-2=60
-2: std::all_of on clang</t>
        </r>
      </text>
    </comment>
    <comment ref="O236" authorId="0">
      <text>
        <r>
          <rPr>
            <b/>
            <sz val="8"/>
            <color indexed="81"/>
            <rFont val="Tahoma"/>
            <family val="2"/>
          </rPr>
          <t>62-2=60
-2: not compiling</t>
        </r>
      </text>
    </comment>
    <comment ref="B237" authorId="0">
      <text>
        <r>
          <rPr>
            <b/>
            <sz val="8"/>
            <color indexed="81"/>
            <rFont val="Tahoma"/>
            <family val="2"/>
          </rPr>
          <t>18-2=16
-2: Late</t>
        </r>
      </text>
    </comment>
    <comment ref="O237" authorId="0">
      <text>
        <r>
          <rPr>
            <b/>
            <sz val="8"/>
            <color indexed="81"/>
            <rFont val="Tahoma"/>
            <family val="2"/>
          </rPr>
          <t>33-2=31
-2: commented code</t>
        </r>
      </text>
    </comment>
    <comment ref="L238" authorId="0">
      <text>
        <r>
          <rPr>
            <b/>
            <sz val="8"/>
            <color indexed="81"/>
            <rFont val="Tahoma"/>
            <family val="2"/>
          </rPr>
          <t>Late with previous permission</t>
        </r>
      </text>
    </comment>
    <comment ref="D240" authorId="0">
      <text>
        <r>
          <rPr>
            <b/>
            <sz val="8"/>
            <color indexed="81"/>
            <rFont val="Tahoma"/>
            <family val="2"/>
          </rPr>
          <t>22-3=19
-2: Late</t>
        </r>
      </text>
    </comment>
    <comment ref="E240" authorId="0">
      <text>
        <r>
          <rPr>
            <b/>
            <sz val="8"/>
            <color indexed="81"/>
            <rFont val="Tahoma"/>
            <family val="2"/>
          </rPr>
          <t xml:space="preserve">19-4=15
-4: Late Second Time
</t>
        </r>
      </text>
    </comment>
    <comment ref="N240" authorId="0">
      <text>
        <r>
          <rPr>
            <b/>
            <sz val="8"/>
            <color indexed="81"/>
            <rFont val="Tahoma"/>
            <family val="2"/>
          </rPr>
          <t>62-2=60
-2: not rehashed</t>
        </r>
      </text>
    </comment>
    <comment ref="K245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45" authorId="0">
      <text>
        <r>
          <rPr>
            <b/>
            <sz val="8"/>
            <color indexed="81"/>
            <rFont val="Tahoma"/>
            <family val="2"/>
          </rPr>
          <t>55-2=53
-2: return reference to local variable</t>
        </r>
      </text>
    </comment>
    <comment ref="K246" authorId="0">
      <text>
        <r>
          <rPr>
            <b/>
            <sz val="8"/>
            <color indexed="81"/>
            <rFont val="Tahoma"/>
            <family val="2"/>
          </rPr>
          <t>14+38/2
/2: submitted emptyu</t>
        </r>
      </text>
    </comment>
    <comment ref="K249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49" authorId="1">
      <text>
        <r>
          <rPr>
            <b/>
            <sz val="8"/>
            <color indexed="81"/>
            <rFont val="Tahoma"/>
            <family val="2"/>
          </rPr>
          <t>59-2=57
-2: warning</t>
        </r>
      </text>
    </comment>
    <comment ref="K252" authorId="0">
      <text>
        <r>
          <rPr>
            <b/>
            <sz val="8"/>
            <color indexed="81"/>
            <rFont val="Tahoma"/>
            <family val="2"/>
          </rPr>
          <t>49-2=47
Late: -2</t>
        </r>
      </text>
    </comment>
    <comment ref="L255" authorId="0">
      <text>
        <r>
          <rPr>
            <b/>
            <sz val="8"/>
            <color indexed="81"/>
            <rFont val="Tahoma"/>
            <family val="2"/>
          </rPr>
          <t>62-2-2=58
-2: no } for namespace
-2; all 3 programs (so not counted early).</t>
        </r>
      </text>
    </comment>
    <comment ref="D256" authorId="0">
      <text>
        <r>
          <rPr>
            <b/>
            <sz val="8"/>
            <color indexed="81"/>
            <rFont val="Tahoma"/>
            <family val="2"/>
          </rPr>
          <t>23-2=21
-2: Late</t>
        </r>
      </text>
    </comment>
    <comment ref="G257" authorId="0">
      <text>
        <r>
          <rPr>
            <b/>
            <sz val="8"/>
            <color indexed="81"/>
            <rFont val="Tahoma"/>
            <family val="2"/>
          </rPr>
          <t>25-2=23
-2: queues[10]</t>
        </r>
      </text>
    </comment>
    <comment ref="N260" authorId="0">
      <text>
        <r>
          <rPr>
            <b/>
            <sz val="8"/>
            <color indexed="81"/>
            <rFont val="Tahoma"/>
            <family val="2"/>
          </rPr>
          <t>59-2=57
-2: regrade missing rehash</t>
        </r>
      </text>
    </comment>
    <comment ref="K261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65" authorId="0">
      <text>
        <r>
          <rPr>
            <b/>
            <sz val="8"/>
            <color indexed="81"/>
            <rFont val="Tahoma"/>
            <family val="2"/>
          </rPr>
          <t>regrade</t>
        </r>
      </text>
    </comment>
    <comment ref="L266" authorId="0">
      <text>
        <r>
          <rPr>
            <b/>
            <sz val="8"/>
            <color indexed="81"/>
            <rFont val="Tahoma"/>
            <family val="2"/>
          </rPr>
          <t>59-2=57
-2:commented out code</t>
        </r>
      </text>
    </comment>
    <comment ref="O270" authorId="0">
      <text>
        <r>
          <rPr>
            <b/>
            <sz val="8"/>
            <color indexed="81"/>
            <rFont val="Tahoma"/>
            <family val="2"/>
          </rPr>
          <t>62-2=60
-2: changed typedef</t>
        </r>
      </text>
    </comment>
    <comment ref="N271" authorId="0">
      <text>
        <r>
          <rPr>
            <b/>
            <sz val="8"/>
            <color indexed="81"/>
            <rFont val="Tahoma"/>
            <family val="2"/>
          </rPr>
          <t>40-2=38
-2: omitted partner's name</t>
        </r>
      </text>
    </comment>
    <comment ref="K273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74" authorId="0">
      <text>
        <r>
          <rPr>
            <b/>
            <sz val="8"/>
            <color indexed="81"/>
            <rFont val="Tahoma"/>
            <family val="2"/>
          </rPr>
          <t xml:space="preserve">14-2=12
-2: Late
</t>
        </r>
      </text>
    </comment>
    <comment ref="M276" authorId="0">
      <text>
        <r>
          <rPr>
            <b/>
            <sz val="8"/>
            <color indexed="81"/>
            <rFont val="Tahoma"/>
            <family val="2"/>
          </rPr>
          <t xml:space="preserve">60-2=58
-2: incorrect submitter
</t>
        </r>
      </text>
    </comment>
    <comment ref="H277" authorId="0">
      <text>
        <r>
          <rPr>
            <b/>
            <sz val="8"/>
            <color indexed="81"/>
            <rFont val="Tahoma"/>
            <family val="2"/>
          </rPr>
          <t>25-2=23
-2: commented out compression</t>
        </r>
      </text>
    </comment>
    <comment ref="L279" authorId="0">
      <text>
        <r>
          <rPr>
            <b/>
            <sz val="8"/>
            <color indexed="81"/>
            <rFont val="Tahoma"/>
            <family val="2"/>
          </rPr>
          <t xml:space="preserve">62-2=60
-2: Igor compilation error
</t>
        </r>
      </text>
    </comment>
    <comment ref="M279" authorId="0">
      <text>
        <r>
          <rPr>
            <b/>
            <sz val="8"/>
            <color indexed="81"/>
            <rFont val="Tahoma"/>
            <family val="2"/>
          </rPr>
          <t>Regrade</t>
        </r>
      </text>
    </comment>
    <comment ref="K281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81" authorId="0">
      <text>
        <r>
          <rPr>
            <b/>
            <sz val="8"/>
            <color indexed="81"/>
            <rFont val="Tahoma"/>
            <family val="2"/>
          </rPr>
          <t>61-2=59
-2: No closing } in namespace</t>
        </r>
      </text>
    </comment>
    <comment ref="K282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3" authorId="0">
      <text>
        <r>
          <rPr>
            <b/>
            <sz val="8"/>
            <color indexed="81"/>
            <rFont val="Tahoma"/>
            <family val="2"/>
          </rPr>
          <t>25-5=20
-5: empty submission</t>
        </r>
      </text>
    </comment>
    <comment ref="M284" authorId="0">
      <text>
        <r>
          <rPr>
            <b/>
            <sz val="8"/>
            <color indexed="81"/>
            <rFont val="Tahoma"/>
            <family val="2"/>
          </rPr>
          <t>60-2=58
-2: missing return</t>
        </r>
      </text>
    </comment>
    <comment ref="B288" authorId="0">
      <text>
        <r>
          <rPr>
            <b/>
            <sz val="8"/>
            <color indexed="81"/>
            <rFont val="Tahoma"/>
            <family val="2"/>
          </rPr>
          <t>16-2=14
-2; Late</t>
        </r>
      </text>
    </comment>
    <comment ref="C290" authorId="0">
      <text>
        <r>
          <rPr>
            <b/>
            <sz val="8"/>
            <color indexed="81"/>
            <rFont val="Tahoma"/>
            <family val="2"/>
          </rPr>
          <t>20-2=18
-2: Late Paper</t>
        </r>
      </text>
    </comment>
    <comment ref="D290" authorId="0">
      <text>
        <r>
          <rPr>
            <b/>
            <sz val="8"/>
            <color indexed="81"/>
            <rFont val="Tahoma"/>
            <family val="2"/>
          </rPr>
          <t xml:space="preserve">21-4=17
-4: Late (2nd time)
</t>
        </r>
      </text>
    </comment>
    <comment ref="O291" authorId="0">
      <text>
        <r>
          <rPr>
            <b/>
            <sz val="8"/>
            <color indexed="81"/>
            <rFont val="Tahoma"/>
            <family val="2"/>
          </rPr>
          <t>45-2=43
-2: comment out &lt;&lt;</t>
        </r>
      </text>
    </comment>
    <comment ref="F296" authorId="0">
      <text>
        <r>
          <rPr>
            <b/>
            <sz val="8"/>
            <color indexed="81"/>
            <rFont val="Tahoma"/>
            <family val="2"/>
          </rPr>
          <t>13-3=10
-3: Late</t>
        </r>
      </text>
    </comment>
    <comment ref="D299" authorId="0">
      <text>
        <r>
          <rPr>
            <b/>
            <sz val="8"/>
            <color indexed="81"/>
            <rFont val="Tahoma"/>
            <family val="2"/>
          </rPr>
          <t>23-2=21
-2: Late</t>
        </r>
      </text>
    </comment>
    <comment ref="N299" authorId="0">
      <text>
        <r>
          <rPr>
            <b/>
            <sz val="8"/>
            <color indexed="81"/>
            <rFont val="Tahoma"/>
            <family val="2"/>
          </rPr>
          <t>47-2=45
-2: partner name</t>
        </r>
      </text>
    </comment>
    <comment ref="O300" authorId="0">
      <text>
        <r>
          <rPr>
            <b/>
            <sz val="8"/>
            <color indexed="81"/>
            <rFont val="Tahoma"/>
            <family val="2"/>
          </rPr>
          <t>+10: works if not to self</t>
        </r>
      </text>
    </comment>
    <comment ref="K301" authorId="0">
      <text>
        <r>
          <rPr>
            <b/>
            <sz val="8"/>
            <color indexed="81"/>
            <rFont val="Tahoma"/>
            <family val="2"/>
          </rPr>
          <t>49-2=47
-2: Hardwired input file name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301" authorId="0">
      <text>
        <r>
          <rPr>
            <b/>
            <sz val="8"/>
            <color indexed="81"/>
            <rFont val="Tahoma"/>
            <family val="2"/>
          </rPr>
          <t>57-5=52
-5: multiple mistakes</t>
        </r>
      </text>
    </comment>
    <comment ref="K302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03" authorId="0">
      <text>
        <r>
          <rPr>
            <b/>
            <sz val="8"/>
            <color indexed="81"/>
            <rFont val="Tahoma"/>
            <family val="2"/>
          </rPr>
          <t>61-4=57
-2 regrade
-2 not following algorithm</t>
        </r>
      </text>
    </comment>
    <comment ref="I304" authorId="0">
      <text>
        <r>
          <rPr>
            <b/>
            <sz val="8"/>
            <color indexed="81"/>
            <rFont val="Tahoma"/>
            <family val="2"/>
          </rPr>
          <t>19-2=17
-2: late (2:45am)</t>
        </r>
      </text>
    </comment>
    <comment ref="D306" authorId="0">
      <text>
        <r>
          <rPr>
            <b/>
            <sz val="8"/>
            <color indexed="81"/>
            <rFont val="Tahoma"/>
            <family val="2"/>
          </rPr>
          <t>19-2=17
-2: Late</t>
        </r>
      </text>
    </comment>
    <comment ref="N307" authorId="0">
      <text>
        <r>
          <rPr>
            <b/>
            <sz val="8"/>
            <color indexed="81"/>
            <rFont val="Tahoma"/>
            <family val="2"/>
          </rPr>
          <t>35-2=33
-2: partner/submitter reversed</t>
        </r>
      </text>
    </comment>
    <comment ref="K308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309" authorId="0">
      <text>
        <r>
          <rPr>
            <b/>
            <sz val="8"/>
            <color indexed="81"/>
            <rFont val="Tahoma"/>
            <family val="2"/>
          </rPr>
          <t>59-2=57
-2: missing return</t>
        </r>
      </text>
    </comment>
    <comment ref="H310" authorId="0">
      <text>
        <r>
          <rPr>
            <b/>
            <sz val="8"/>
            <color indexed="81"/>
            <rFont val="Tahoma"/>
            <family val="2"/>
          </rPr>
          <t xml:space="preserve">25-2=23
-2: uncommenting
</t>
        </r>
      </text>
    </comment>
    <comment ref="O310" authorId="0">
      <text>
        <r>
          <rPr>
            <b/>
            <sz val="8"/>
            <color indexed="81"/>
            <rFont val="Tahoma"/>
            <family val="2"/>
          </rPr>
          <t>49-2=47
-2: no return</t>
        </r>
      </text>
    </comment>
    <comment ref="N312" authorId="0">
      <text>
        <r>
          <rPr>
            <b/>
            <sz val="8"/>
            <color indexed="81"/>
            <rFont val="Tahoma"/>
            <family val="2"/>
          </rPr>
          <t>47-2=45
-2: partner name</t>
        </r>
      </text>
    </comment>
    <comment ref="N313" authorId="0">
      <text>
        <r>
          <rPr>
            <b/>
            <sz val="8"/>
            <color indexed="81"/>
            <rFont val="Tahoma"/>
            <family val="2"/>
          </rPr>
          <t>59-2=57
-2: regrade missing rehash</t>
        </r>
      </text>
    </comment>
    <comment ref="E314" authorId="0">
      <text>
        <r>
          <rPr>
            <b/>
            <sz val="8"/>
            <color indexed="81"/>
            <rFont val="Tahoma"/>
            <family val="2"/>
          </rPr>
          <t>14-2=13
-2: Late Paper</t>
        </r>
      </text>
    </comment>
    <comment ref="M315" authorId="1">
      <text>
        <r>
          <rPr>
            <b/>
            <sz val="8"/>
            <color indexed="81"/>
            <rFont val="Tahoma"/>
            <family val="2"/>
          </rPr>
          <t xml:space="preserve">59-2=57
-2: implicit conversion
</t>
        </r>
      </text>
    </comment>
    <comment ref="O315" authorId="0">
      <text>
        <r>
          <rPr>
            <b/>
            <sz val="8"/>
            <color indexed="81"/>
            <rFont val="Tahoma"/>
            <family val="2"/>
          </rPr>
          <t>+10: works if not to self</t>
        </r>
      </text>
    </comment>
    <comment ref="K316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316" authorId="0">
      <text>
        <r>
          <rPr>
            <b/>
            <sz val="8"/>
            <color indexed="81"/>
            <rFont val="Tahoma"/>
            <family val="2"/>
          </rPr>
          <t>54-2=42
-2: Wrong form submitter/partner</t>
        </r>
      </text>
    </comment>
    <comment ref="K317" authorId="0">
      <text>
        <r>
          <rPr>
            <b/>
            <sz val="8"/>
            <color indexed="81"/>
            <rFont val="Tahoma"/>
            <family val="2"/>
          </rPr>
          <t>45-2=43
Late: -2</t>
        </r>
      </text>
    </comment>
    <comment ref="D318" authorId="0">
      <text>
        <r>
          <rPr>
            <b/>
            <sz val="8"/>
            <color indexed="81"/>
            <rFont val="Tahoma"/>
            <family val="2"/>
          </rPr>
          <t>23-2=21
-2: Late</t>
        </r>
      </text>
    </comment>
    <comment ref="M318" authorId="0">
      <text>
        <r>
          <rPr>
            <b/>
            <sz val="8"/>
            <color indexed="81"/>
            <rFont val="Tahoma"/>
            <family val="2"/>
          </rPr>
          <t>54-2=42
-2: Wrong form submitter/partner</t>
        </r>
      </text>
    </comment>
    <comment ref="N319" authorId="0">
      <text>
        <r>
          <rPr>
            <b/>
            <sz val="8"/>
            <color indexed="81"/>
            <rFont val="Tahoma"/>
            <family val="2"/>
          </rPr>
          <t>53-2=51
-2: commented out code</t>
        </r>
      </text>
    </comment>
    <comment ref="K321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321" authorId="0">
      <text>
        <r>
          <rPr>
            <b/>
            <sz val="8"/>
            <color indexed="81"/>
            <rFont val="Tahoma"/>
            <family val="2"/>
          </rPr>
          <t>56-2=54
-2: delete problem</t>
        </r>
      </text>
    </comment>
    <comment ref="H328" authorId="0">
      <text>
        <r>
          <rPr>
            <b/>
            <sz val="8"/>
            <color indexed="81"/>
            <rFont val="Tahoma"/>
            <family val="2"/>
          </rPr>
          <t>18-2=16
-2: regrade</t>
        </r>
      </text>
    </comment>
    <comment ref="K330" authorId="0">
      <text>
        <r>
          <rPr>
            <b/>
            <sz val="8"/>
            <color indexed="81"/>
            <rFont val="Tahoma"/>
            <family val="2"/>
          </rPr>
          <t>60-2=58
-2: Partner incorrect</t>
        </r>
      </text>
    </comment>
    <comment ref="L330" authorId="0">
      <text>
        <r>
          <rPr>
            <b/>
            <sz val="8"/>
            <color indexed="81"/>
            <rFont val="Tahoma"/>
            <family val="2"/>
          </rPr>
          <t>44-2=42
-2: No partner header comment</t>
        </r>
      </text>
    </comment>
    <comment ref="L333" authorId="0">
      <text>
        <r>
          <rPr>
            <b/>
            <sz val="8"/>
            <color indexed="81"/>
            <rFont val="Tahoma"/>
            <family val="2"/>
          </rPr>
          <t>62-2-2=58
-2: no } for namespace
-2; all 3 programs (so not counted early).</t>
        </r>
      </text>
    </comment>
    <comment ref="K334" authorId="0">
      <text>
        <r>
          <rPr>
            <b/>
            <sz val="8"/>
            <color indexed="81"/>
            <rFont val="Tahoma"/>
            <family val="2"/>
          </rPr>
          <t>45-3=42
-2: Partner error</t>
        </r>
      </text>
    </comment>
    <comment ref="O339" authorId="0">
      <text>
        <r>
          <rPr>
            <b/>
            <sz val="8"/>
            <color indexed="81"/>
            <rFont val="Tahoma"/>
            <family val="2"/>
          </rPr>
          <t>60-2=58
-2: syntax error</t>
        </r>
      </text>
    </comment>
    <comment ref="O341" authorId="0">
      <text>
        <r>
          <rPr>
            <b/>
            <sz val="8"/>
            <color indexed="81"/>
            <rFont val="Tahoma"/>
            <family val="2"/>
          </rPr>
          <t>62-2=60
-2: return missing</t>
        </r>
      </text>
    </comment>
    <comment ref="O342" authorId="0">
      <text>
        <r>
          <rPr>
            <b/>
            <sz val="8"/>
            <color indexed="81"/>
            <rFont val="Tahoma"/>
            <family val="2"/>
          </rPr>
          <t xml:space="preserve">49-2=30
-2: fixed compilation
</t>
        </r>
      </text>
    </comment>
    <comment ref="N345" authorId="0">
      <text>
        <r>
          <rPr>
            <b/>
            <sz val="8"/>
            <color indexed="81"/>
            <rFont val="Tahoma"/>
            <family val="2"/>
          </rPr>
          <t>56-2=54
-2 compiler error str()</t>
        </r>
      </text>
    </comment>
    <comment ref="D346" authorId="0">
      <text>
        <r>
          <rPr>
            <b/>
            <sz val="8"/>
            <color indexed="81"/>
            <rFont val="Tahoma"/>
            <family val="2"/>
          </rPr>
          <t>22-2=20
-2: Late</t>
        </r>
      </text>
    </comment>
    <comment ref="O347" authorId="0">
      <text>
        <r>
          <rPr>
            <b/>
            <sz val="8"/>
            <color indexed="81"/>
            <rFont val="Tahoma"/>
            <family val="2"/>
          </rPr>
          <t>+10: works if not to self</t>
        </r>
      </text>
    </comment>
    <comment ref="N348" authorId="0">
      <text>
        <r>
          <rPr>
            <b/>
            <sz val="8"/>
            <color indexed="81"/>
            <rFont val="Tahoma"/>
            <family val="2"/>
          </rPr>
          <t>62-2=60
-2: not rehashed</t>
        </r>
      </text>
    </comment>
    <comment ref="N349" authorId="0">
      <text>
        <r>
          <rPr>
            <b/>
            <sz val="8"/>
            <color indexed="81"/>
            <rFont val="Tahoma"/>
            <family val="2"/>
          </rPr>
          <t>52-2=50
-2: corrected variable name</t>
        </r>
      </text>
    </comment>
    <comment ref="B351" authorId="0">
      <text>
        <r>
          <rPr>
            <b/>
            <sz val="8"/>
            <color indexed="81"/>
            <rFont val="Tahoma"/>
            <family val="2"/>
          </rPr>
          <t>20-2=18
-2:late</t>
        </r>
      </text>
    </comment>
    <comment ref="C352" authorId="0">
      <text>
        <r>
          <rPr>
            <b/>
            <sz val="8"/>
            <color indexed="81"/>
            <rFont val="Tahoma"/>
            <family val="2"/>
          </rPr>
          <t>23-2=21
-2: Late Paper</t>
        </r>
      </text>
    </comment>
    <comment ref="K353" authorId="0">
      <text>
        <r>
          <rPr>
            <b/>
            <sz val="8"/>
            <color indexed="81"/>
            <rFont val="Tahoma"/>
            <family val="2"/>
          </rPr>
          <t>OS not general</t>
        </r>
      </text>
    </comment>
    <comment ref="N354" authorId="0">
      <text>
        <r>
          <rPr>
            <b/>
            <sz val="8"/>
            <color indexed="81"/>
            <rFont val="Tahoma"/>
            <family val="2"/>
          </rPr>
          <t>16-1=15
-1: late</t>
        </r>
      </text>
    </comment>
    <comment ref="O360" authorId="0">
      <text>
        <r>
          <rPr>
            <b/>
            <sz val="8"/>
            <color indexed="81"/>
            <rFont val="Tahoma"/>
            <family val="2"/>
          </rPr>
          <t>60-2=58
-2 late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61" authorId="0">
      <text>
        <r>
          <rPr>
            <b/>
            <sz val="8"/>
            <color indexed="81"/>
            <rFont val="Tahoma"/>
            <family val="2"/>
          </rPr>
          <t>+10: works if not to self</t>
        </r>
      </text>
    </comment>
    <comment ref="H362" authorId="0">
      <text>
        <r>
          <rPr>
            <b/>
            <sz val="8"/>
            <color indexed="81"/>
            <rFont val="Tahoma"/>
            <family val="2"/>
          </rPr>
          <t>14-2=12
-2: uncomment code</t>
        </r>
      </text>
    </comment>
    <comment ref="K363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365" authorId="0">
      <text>
        <r>
          <rPr>
            <b/>
            <sz val="8"/>
            <color indexed="81"/>
            <rFont val="Tahoma"/>
            <family val="2"/>
          </rPr>
          <t xml:space="preserve">52-2=50
-2: partner not specified
</t>
        </r>
      </text>
    </comment>
    <comment ref="O365" authorId="0">
      <text>
        <r>
          <rPr>
            <b/>
            <sz val="8"/>
            <color indexed="81"/>
            <rFont val="Tahoma"/>
            <family val="2"/>
          </rPr>
          <t>+10: works if not to self</t>
        </r>
      </text>
    </comment>
    <comment ref="K368" authorId="0">
      <text>
        <r>
          <rPr>
            <b/>
            <sz val="8"/>
            <color indexed="81"/>
            <rFont val="Tahoma"/>
            <family val="2"/>
          </rPr>
          <t>Rich Pattis: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371" authorId="0">
      <text>
        <r>
          <rPr>
            <b/>
            <sz val="8"/>
            <color indexed="81"/>
            <rFont val="Tahoma"/>
            <family val="2"/>
          </rPr>
          <t>52-2=50
-2: correction of variable name.</t>
        </r>
      </text>
    </comment>
    <comment ref="L372" authorId="0">
      <text>
        <r>
          <rPr>
            <b/>
            <sz val="8"/>
            <color indexed="81"/>
            <rFont val="Tahoma"/>
            <family val="2"/>
          </rPr>
          <t>Late with previous permission</t>
        </r>
      </text>
    </comment>
    <comment ref="O373" authorId="0">
      <text>
        <r>
          <rPr>
            <b/>
            <sz val="8"/>
            <color indexed="81"/>
            <rFont val="Tahoma"/>
            <family val="2"/>
          </rPr>
          <t>47+8
+8 cost works only if to different (non-starting) node</t>
        </r>
      </text>
    </comment>
    <comment ref="C379" authorId="0">
      <text>
        <r>
          <rPr>
            <b/>
            <sz val="8"/>
            <color indexed="81"/>
            <rFont val="Tahoma"/>
            <family val="2"/>
          </rPr>
          <t>20-2=18
-2: Late Online</t>
        </r>
      </text>
    </comment>
    <comment ref="M379" authorId="0">
      <text>
        <r>
          <rPr>
            <b/>
            <sz val="8"/>
            <color indexed="81"/>
            <rFont val="Tahoma"/>
            <family val="2"/>
          </rPr>
          <t>61-2=59
-2: regrade</t>
        </r>
      </text>
    </comment>
    <comment ref="N380" authorId="0">
      <text>
        <r>
          <rPr>
            <b/>
            <sz val="8"/>
            <color indexed="81"/>
            <rFont val="Tahoma"/>
            <family val="2"/>
          </rPr>
          <t>Regrade</t>
        </r>
      </text>
    </comment>
    <comment ref="M382" authorId="0">
      <text>
        <r>
          <rPr>
            <b/>
            <sz val="8"/>
            <color indexed="81"/>
            <rFont val="Tahoma"/>
            <family val="2"/>
          </rPr>
          <t xml:space="preserve">59-2=57
-2: regrade wordgenerator
</t>
        </r>
      </text>
    </comment>
    <comment ref="M384" authorId="0">
      <text>
        <r>
          <rPr>
            <b/>
            <sz val="8"/>
            <color indexed="81"/>
            <rFont val="Tahoma"/>
            <family val="2"/>
          </rPr>
          <t xml:space="preserve">52-2=50
-2: regrade mistakes
</t>
        </r>
      </text>
    </comment>
    <comment ref="L386" authorId="0">
      <text>
        <r>
          <rPr>
            <b/>
            <sz val="8"/>
            <color indexed="81"/>
            <rFont val="Tahoma"/>
            <family val="2"/>
          </rPr>
          <t>51-4=47
-2: two differenct delete bugs</t>
        </r>
      </text>
    </comment>
  </commentList>
</comments>
</file>

<file path=xl/sharedStrings.xml><?xml version="1.0" encoding="utf-8"?>
<sst xmlns="http://schemas.openxmlformats.org/spreadsheetml/2006/main" count="747" uniqueCount="80">
  <si>
    <t>Q1</t>
  </si>
  <si>
    <t>Q2</t>
  </si>
  <si>
    <t>Q3</t>
  </si>
  <si>
    <t>Q4</t>
  </si>
  <si>
    <t>Q5</t>
  </si>
  <si>
    <t>Q6</t>
  </si>
  <si>
    <t>Q7</t>
  </si>
  <si>
    <t>P1</t>
  </si>
  <si>
    <t>P2</t>
  </si>
  <si>
    <t>P3</t>
  </si>
  <si>
    <t>P4</t>
  </si>
  <si>
    <t>P5</t>
  </si>
  <si>
    <t>Final</t>
  </si>
  <si>
    <t>Points for Instrument</t>
  </si>
  <si>
    <t>A</t>
  </si>
  <si>
    <t>B</t>
  </si>
  <si>
    <t>C</t>
  </si>
  <si>
    <t>Students Taking</t>
  </si>
  <si>
    <t>D</t>
  </si>
  <si>
    <t>Average</t>
  </si>
  <si>
    <t>Minimum</t>
  </si>
  <si>
    <t>Maximum</t>
  </si>
  <si>
    <t>Median</t>
  </si>
  <si>
    <t>StdDev</t>
  </si>
  <si>
    <t>Score</t>
  </si>
  <si>
    <t>Students</t>
  </si>
  <si>
    <t>Rank</t>
  </si>
  <si>
    <t>F</t>
  </si>
  <si>
    <t>%</t>
  </si>
  <si>
    <t>Grade</t>
  </si>
  <si>
    <t>Average&gt;0</t>
  </si>
  <si>
    <t>XC</t>
  </si>
  <si>
    <t>In-Class</t>
  </si>
  <si>
    <t>High %</t>
  </si>
  <si>
    <t>High</t>
  </si>
  <si>
    <t>Q8</t>
  </si>
  <si>
    <t>Change?</t>
  </si>
  <si>
    <r>
      <t>å</t>
    </r>
    <r>
      <rPr>
        <sz val="10"/>
        <rFont val="Arial"/>
        <family val="2"/>
      </rPr>
      <t>W%</t>
    </r>
  </si>
  <si>
    <t>Average%&gt;0</t>
  </si>
  <si>
    <t>Median%</t>
  </si>
  <si>
    <t>Midterm%</t>
  </si>
  <si>
    <t>Final%</t>
  </si>
  <si>
    <t>Points for Normalization&lt;75%</t>
  </si>
  <si>
    <t>Average %</t>
  </si>
  <si>
    <t>Median %</t>
  </si>
  <si>
    <t>SS</t>
  </si>
  <si>
    <t>PE1</t>
  </si>
  <si>
    <t>PE2</t>
  </si>
  <si>
    <t>As</t>
  </si>
  <si>
    <t>Bs</t>
  </si>
  <si>
    <t>Cs</t>
  </si>
  <si>
    <t>Ds</t>
  </si>
  <si>
    <t>Fs</t>
  </si>
  <si>
    <r>
      <t>å</t>
    </r>
    <r>
      <rPr>
        <sz val="10"/>
        <rFont val="Arial"/>
        <family val="2"/>
      </rPr>
      <t>PE+W%</t>
    </r>
  </si>
  <si>
    <t>In-Norm</t>
  </si>
  <si>
    <t>Percent</t>
  </si>
  <si>
    <t>Average Points</t>
  </si>
  <si>
    <t>or about a middle C (=2.5 points)</t>
  </si>
  <si>
    <t>Grade Points</t>
  </si>
  <si>
    <t>Up</t>
  </si>
  <si>
    <t>Down</t>
  </si>
  <si>
    <t>or a middle C (=2.5 points)</t>
  </si>
  <si>
    <t>P0</t>
  </si>
  <si>
    <r>
      <t>å</t>
    </r>
    <r>
      <rPr>
        <sz val="10"/>
        <rFont val="Arial"/>
        <family val="2"/>
      </rPr>
      <t>Q</t>
    </r>
  </si>
  <si>
    <r>
      <t>å</t>
    </r>
    <r>
      <rPr>
        <sz val="10"/>
        <rFont val="Arial"/>
        <family val="2"/>
      </rPr>
      <t>P</t>
    </r>
  </si>
  <si>
    <r>
      <t>å</t>
    </r>
    <r>
      <rPr>
        <sz val="10"/>
        <rFont val="Arial"/>
        <family val="2"/>
      </rPr>
      <t>PE</t>
    </r>
  </si>
  <si>
    <r>
      <t>å</t>
    </r>
    <r>
      <rPr>
        <sz val="10"/>
        <rFont val="Arial"/>
        <family val="2"/>
      </rPr>
      <t>E</t>
    </r>
  </si>
  <si>
    <t>EM</t>
  </si>
  <si>
    <t>EF</t>
  </si>
  <si>
    <t/>
  </si>
  <si>
    <t>EMU</t>
  </si>
  <si>
    <t>&gt;100</t>
  </si>
  <si>
    <t>Avg. GPA</t>
  </si>
  <si>
    <t>IL1%</t>
  </si>
  <si>
    <t>IL2%</t>
  </si>
  <si>
    <r>
      <t>S</t>
    </r>
    <r>
      <rPr>
        <sz val="10"/>
        <rFont val="Arial"/>
        <family val="2"/>
      </rPr>
      <t>PE%</t>
    </r>
  </si>
  <si>
    <r>
      <t>S</t>
    </r>
    <r>
      <rPr>
        <sz val="10"/>
        <rFont val="Arial"/>
        <family val="2"/>
      </rPr>
      <t>Quiz%</t>
    </r>
  </si>
  <si>
    <r>
      <t>S</t>
    </r>
    <r>
      <rPr>
        <sz val="10"/>
        <rFont val="Arial"/>
        <family val="2"/>
      </rPr>
      <t>P%</t>
    </r>
  </si>
  <si>
    <t>Unique ID</t>
  </si>
  <si>
    <t>62-2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</si>
</sst>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0000"/>
  </numFmts>
  <fonts count="27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u/>
      <sz val="8"/>
      <color indexed="12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8" fillId="0" borderId="0" applyNumberFormat="0" applyFill="0" applyBorder="0" applyAlignment="0" applyProtection="0"/>
    <xf numFmtId="0" fontId="9" fillId="0" borderId="14" applyNumberFormat="0" applyFill="0" applyAlignment="0" applyProtection="0"/>
    <xf numFmtId="0" fontId="10" fillId="0" borderId="15" applyNumberFormat="0" applyFill="0" applyAlignment="0" applyProtection="0"/>
    <xf numFmtId="0" fontId="11" fillId="0" borderId="16" applyNumberFormat="0" applyFill="0" applyAlignment="0" applyProtection="0"/>
    <xf numFmtId="0" fontId="11" fillId="0" borderId="0" applyNumberFormat="0" applyFill="0" applyBorder="0" applyAlignment="0" applyProtection="0"/>
    <xf numFmtId="0" fontId="12" fillId="2" borderId="0" applyNumberFormat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15" fillId="5" borderId="17" applyNumberFormat="0" applyAlignment="0" applyProtection="0"/>
    <xf numFmtId="0" fontId="16" fillId="6" borderId="18" applyNumberFormat="0" applyAlignment="0" applyProtection="0"/>
    <xf numFmtId="0" fontId="17" fillId="6" borderId="17" applyNumberFormat="0" applyAlignment="0" applyProtection="0"/>
    <xf numFmtId="0" fontId="18" fillId="0" borderId="19" applyNumberFormat="0" applyFill="0" applyAlignment="0" applyProtection="0"/>
    <xf numFmtId="0" fontId="19" fillId="7" borderId="20" applyNumberFormat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22" applyNumberFormat="0" applyFill="0" applyAlignment="0" applyProtection="0"/>
    <xf numFmtId="0" fontId="23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3" fillId="28" borderId="0" applyNumberFormat="0" applyBorder="0" applyAlignment="0" applyProtection="0"/>
    <xf numFmtId="0" fontId="23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3" fillId="32" borderId="0" applyNumberFormat="0" applyBorder="0" applyAlignment="0" applyProtection="0"/>
    <xf numFmtId="0" fontId="1" fillId="0" borderId="0"/>
    <xf numFmtId="0" fontId="1" fillId="8" borderId="21" applyNumberFormat="0" applyFont="0" applyAlignment="0" applyProtection="0"/>
    <xf numFmtId="0" fontId="26" fillId="0" borderId="0" applyNumberFormat="0" applyFill="0" applyBorder="0" applyProtection="0"/>
  </cellStyleXfs>
  <cellXfs count="101">
    <xf numFmtId="0" fontId="0" fillId="0" borderId="0" xfId="0"/>
    <xf numFmtId="0" fontId="0" fillId="0" borderId="1" xfId="0" applyBorder="1"/>
    <xf numFmtId="1" fontId="0" fillId="0" borderId="1" xfId="0" applyNumberFormat="1" applyBorder="1"/>
    <xf numFmtId="1" fontId="0" fillId="0" borderId="0" xfId="0" applyNumberFormat="1"/>
    <xf numFmtId="0" fontId="0" fillId="0" borderId="2" xfId="0" applyBorder="1"/>
    <xf numFmtId="1" fontId="0" fillId="0" borderId="3" xfId="0" applyNumberFormat="1" applyBorder="1"/>
    <xf numFmtId="1" fontId="0" fillId="0" borderId="2" xfId="0" applyNumberFormat="1" applyBorder="1"/>
    <xf numFmtId="0" fontId="0" fillId="0" borderId="0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1" fontId="0" fillId="0" borderId="0" xfId="0" applyNumberFormat="1" applyBorder="1"/>
    <xf numFmtId="0" fontId="0" fillId="0" borderId="4" xfId="0" applyBorder="1"/>
    <xf numFmtId="1" fontId="0" fillId="0" borderId="4" xfId="0" applyNumberFormat="1" applyBorder="1"/>
    <xf numFmtId="0" fontId="0" fillId="0" borderId="5" xfId="0" applyBorder="1"/>
    <xf numFmtId="1" fontId="0" fillId="0" borderId="1" xfId="2" applyNumberFormat="1" applyFont="1" applyBorder="1"/>
    <xf numFmtId="1" fontId="0" fillId="0" borderId="0" xfId="2" applyNumberFormat="1" applyFont="1" applyBorder="1"/>
    <xf numFmtId="0" fontId="0" fillId="0" borderId="6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0" xfId="0" applyAlignment="1">
      <alignment horizontal="center"/>
    </xf>
    <xf numFmtId="1" fontId="0" fillId="0" borderId="6" xfId="0" applyNumberFormat="1" applyBorder="1"/>
    <xf numFmtId="1" fontId="0" fillId="0" borderId="0" xfId="0" applyNumberFormat="1" applyBorder="1" applyAlignment="1">
      <alignment horizontal="center"/>
    </xf>
    <xf numFmtId="0" fontId="0" fillId="0" borderId="6" xfId="0" applyBorder="1" applyAlignment="1">
      <alignment horizontal="right"/>
    </xf>
    <xf numFmtId="1" fontId="0" fillId="0" borderId="0" xfId="0" applyNumberFormat="1" applyAlignment="1">
      <alignment horizontal="right"/>
    </xf>
    <xf numFmtId="164" fontId="0" fillId="0" borderId="0" xfId="0" applyNumberFormat="1" applyBorder="1"/>
    <xf numFmtId="164" fontId="0" fillId="0" borderId="2" xfId="0" applyNumberFormat="1" applyBorder="1"/>
    <xf numFmtId="1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" fontId="0" fillId="0" borderId="5" xfId="0" applyNumberFormat="1" applyBorder="1"/>
    <xf numFmtId="0" fontId="0" fillId="0" borderId="0" xfId="0" applyFill="1" applyBorder="1"/>
    <xf numFmtId="164" fontId="0" fillId="0" borderId="0" xfId="0" applyNumberFormat="1" applyBorder="1" applyAlignment="1">
      <alignment horizontal="right"/>
    </xf>
    <xf numFmtId="0" fontId="0" fillId="0" borderId="0" xfId="0" applyAlignment="1">
      <alignment horizontal="left"/>
    </xf>
    <xf numFmtId="164" fontId="0" fillId="0" borderId="2" xfId="0" applyNumberFormat="1" applyBorder="1" applyAlignment="1">
      <alignment horizontal="right"/>
    </xf>
    <xf numFmtId="165" fontId="0" fillId="0" borderId="2" xfId="0" applyNumberFormat="1" applyBorder="1"/>
    <xf numFmtId="165" fontId="0" fillId="0" borderId="0" xfId="0" applyNumberFormat="1"/>
    <xf numFmtId="1" fontId="0" fillId="0" borderId="0" xfId="0" applyNumberFormat="1" applyFill="1" applyBorder="1"/>
    <xf numFmtId="0" fontId="4" fillId="0" borderId="2" xfId="0" applyFont="1" applyBorder="1"/>
    <xf numFmtId="0" fontId="4" fillId="0" borderId="0" xfId="0" applyFont="1"/>
    <xf numFmtId="164" fontId="4" fillId="0" borderId="0" xfId="0" applyNumberFormat="1" applyFont="1" applyBorder="1" applyAlignment="1">
      <alignment horizontal="center"/>
    </xf>
    <xf numFmtId="0" fontId="4" fillId="0" borderId="0" xfId="0" applyFont="1" applyBorder="1"/>
    <xf numFmtId="1" fontId="0" fillId="0" borderId="7" xfId="0" applyNumberFormat="1" applyBorder="1"/>
    <xf numFmtId="164" fontId="0" fillId="0" borderId="8" xfId="0" applyNumberFormat="1" applyBorder="1"/>
    <xf numFmtId="165" fontId="4" fillId="0" borderId="0" xfId="0" applyNumberFormat="1" applyFont="1"/>
    <xf numFmtId="0" fontId="2" fillId="0" borderId="0" xfId="0" applyFont="1"/>
    <xf numFmtId="1" fontId="2" fillId="0" borderId="1" xfId="0" applyNumberFormat="1" applyFont="1" applyBorder="1"/>
    <xf numFmtId="1" fontId="2" fillId="0" borderId="0" xfId="0" applyNumberFormat="1" applyFont="1" applyBorder="1"/>
    <xf numFmtId="1" fontId="2" fillId="0" borderId="0" xfId="1" applyNumberFormat="1" applyBorder="1"/>
    <xf numFmtId="1" fontId="0" fillId="0" borderId="9" xfId="0" applyNumberFormat="1" applyBorder="1"/>
    <xf numFmtId="0" fontId="0" fillId="0" borderId="0" xfId="0" applyFill="1"/>
    <xf numFmtId="0" fontId="2" fillId="0" borderId="2" xfId="0" applyFont="1" applyBorder="1" applyAlignment="1">
      <alignment horizontal="center"/>
    </xf>
    <xf numFmtId="1" fontId="0" fillId="0" borderId="10" xfId="0" applyNumberFormat="1" applyBorder="1"/>
    <xf numFmtId="1" fontId="0" fillId="0" borderId="4" xfId="2" applyNumberFormat="1" applyFont="1" applyBorder="1"/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left"/>
    </xf>
    <xf numFmtId="1" fontId="0" fillId="0" borderId="2" xfId="0" applyNumberFormat="1" applyBorder="1" applyAlignment="1">
      <alignment horizontal="center"/>
    </xf>
    <xf numFmtId="164" fontId="0" fillId="0" borderId="0" xfId="0" applyNumberFormat="1"/>
    <xf numFmtId="0" fontId="2" fillId="0" borderId="2" xfId="0" applyFont="1" applyBorder="1"/>
    <xf numFmtId="1" fontId="2" fillId="0" borderId="4" xfId="0" applyNumberFormat="1" applyFont="1" applyBorder="1"/>
    <xf numFmtId="164" fontId="0" fillId="0" borderId="3" xfId="0" applyNumberFormat="1" applyBorder="1"/>
    <xf numFmtId="0" fontId="6" fillId="0" borderId="2" xfId="0" applyFont="1" applyBorder="1" applyAlignment="1">
      <alignment horizontal="right"/>
    </xf>
    <xf numFmtId="0" fontId="2" fillId="0" borderId="0" xfId="0" applyFont="1" applyAlignment="1">
      <alignment horizontal="right"/>
    </xf>
    <xf numFmtId="1" fontId="6" fillId="0" borderId="0" xfId="0" applyNumberFormat="1" applyFont="1"/>
    <xf numFmtId="1" fontId="0" fillId="0" borderId="2" xfId="0" applyNumberFormat="1" applyFill="1" applyBorder="1"/>
    <xf numFmtId="0" fontId="0" fillId="0" borderId="1" xfId="0" applyFill="1" applyBorder="1"/>
    <xf numFmtId="1" fontId="0" fillId="0" borderId="11" xfId="0" applyNumberFormat="1" applyBorder="1"/>
    <xf numFmtId="1" fontId="0" fillId="0" borderId="12" xfId="0" applyNumberFormat="1" applyBorder="1"/>
    <xf numFmtId="0" fontId="0" fillId="0" borderId="13" xfId="0" applyBorder="1"/>
    <xf numFmtId="1" fontId="0" fillId="0" borderId="11" xfId="0" applyNumberFormat="1" applyFill="1" applyBorder="1"/>
    <xf numFmtId="1" fontId="0" fillId="0" borderId="13" xfId="0" applyNumberFormat="1" applyBorder="1"/>
    <xf numFmtId="164" fontId="0" fillId="0" borderId="11" xfId="0" applyNumberFormat="1" applyBorder="1"/>
    <xf numFmtId="164" fontId="0" fillId="0" borderId="11" xfId="0" applyNumberFormat="1" applyBorder="1" applyAlignment="1">
      <alignment horizontal="center"/>
    </xf>
    <xf numFmtId="164" fontId="0" fillId="0" borderId="11" xfId="0" applyNumberFormat="1" applyBorder="1" applyAlignment="1">
      <alignment horizontal="right"/>
    </xf>
    <xf numFmtId="1" fontId="0" fillId="0" borderId="11" xfId="0" applyNumberForma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9" xfId="0" applyBorder="1"/>
    <xf numFmtId="1" fontId="0" fillId="0" borderId="0" xfId="2" applyNumberFormat="1" applyFont="1"/>
    <xf numFmtId="1" fontId="0" fillId="0" borderId="1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" fontId="2" fillId="0" borderId="11" xfId="0" applyNumberFormat="1" applyFont="1" applyBorder="1"/>
    <xf numFmtId="1" fontId="2" fillId="0" borderId="11" xfId="1" applyNumberFormat="1" applyBorder="1"/>
    <xf numFmtId="1" fontId="2" fillId="0" borderId="13" xfId="0" applyNumberFormat="1" applyFont="1" applyBorder="1"/>
    <xf numFmtId="164" fontId="4" fillId="0" borderId="11" xfId="0" applyNumberFormat="1" applyFont="1" applyBorder="1" applyAlignment="1">
      <alignment horizontal="center"/>
    </xf>
    <xf numFmtId="0" fontId="2" fillId="0" borderId="4" xfId="0" applyFont="1" applyBorder="1"/>
    <xf numFmtId="1" fontId="2" fillId="0" borderId="2" xfId="0" applyNumberFormat="1" applyFont="1" applyBorder="1"/>
    <xf numFmtId="1" fontId="2" fillId="0" borderId="2" xfId="1" applyNumberFormat="1" applyBorder="1"/>
    <xf numFmtId="1" fontId="2" fillId="0" borderId="5" xfId="0" applyNumberFormat="1" applyFont="1" applyBorder="1"/>
    <xf numFmtId="0" fontId="0" fillId="0" borderId="11" xfId="0" applyFill="1" applyBorder="1"/>
    <xf numFmtId="164" fontId="4" fillId="0" borderId="2" xfId="0" applyNumberFormat="1" applyFont="1" applyBorder="1" applyAlignment="1">
      <alignment horizontal="center"/>
    </xf>
  </cellXfs>
  <cellStyles count="52">
    <cellStyle name="20% - Accent1" xfId="26" builtinId="30" customBuiltin="1"/>
    <cellStyle name="20% - Accent2" xfId="30" builtinId="34" customBuiltin="1"/>
    <cellStyle name="20% - Accent3" xfId="34" builtinId="38" customBuiltin="1"/>
    <cellStyle name="20% - Accent4" xfId="38" builtinId="42" customBuiltin="1"/>
    <cellStyle name="20% - Accent5" xfId="42" builtinId="46" customBuiltin="1"/>
    <cellStyle name="20% - Accent6" xfId="46" builtinId="50" customBuiltin="1"/>
    <cellStyle name="40% - Accent1" xfId="27" builtinId="31" customBuiltin="1"/>
    <cellStyle name="40% - Accent2" xfId="31" builtinId="35" customBuiltin="1"/>
    <cellStyle name="40% - Accent3" xfId="35" builtinId="39" customBuiltin="1"/>
    <cellStyle name="40% - Accent4" xfId="39" builtinId="43" customBuiltin="1"/>
    <cellStyle name="40% - Accent5" xfId="43" builtinId="47" customBuiltin="1"/>
    <cellStyle name="40% - Accent6" xfId="47" builtinId="51" customBuiltin="1"/>
    <cellStyle name="60% - Accent1" xfId="28" builtinId="32" customBuiltin="1"/>
    <cellStyle name="60% - Accent2" xfId="32" builtinId="36" customBuiltin="1"/>
    <cellStyle name="60% - Accent3" xfId="36" builtinId="40" customBuiltin="1"/>
    <cellStyle name="60% - Accent4" xfId="40" builtinId="44" customBuiltin="1"/>
    <cellStyle name="60% - Accent5" xfId="44" builtinId="48" customBuiltin="1"/>
    <cellStyle name="60% - Accent6" xfId="48" builtinId="52" customBuiltin="1"/>
    <cellStyle name="Accent1" xfId="25" builtinId="29" customBuiltin="1"/>
    <cellStyle name="Accent2" xfId="29" builtinId="33" customBuiltin="1"/>
    <cellStyle name="Accent3" xfId="33" builtinId="37" customBuiltin="1"/>
    <cellStyle name="Accent4" xfId="37" builtinId="41" customBuiltin="1"/>
    <cellStyle name="Accent5" xfId="41" builtinId="45" customBuiltin="1"/>
    <cellStyle name="Accent6" xfId="45" builtinId="49" customBuiltin="1"/>
    <cellStyle name="Bad" xfId="15" builtinId="27" customBuiltin="1"/>
    <cellStyle name="Calculation" xfId="19" builtinId="22" customBuiltin="1"/>
    <cellStyle name="Check Cell" xfId="21" builtinId="23" customBuiltin="1"/>
    <cellStyle name="Explanatory Text" xfId="23" builtinId="53" customBuiltin="1"/>
    <cellStyle name="Good" xfId="14" builtinId="26" customBuiltin="1"/>
    <cellStyle name="Heading 1" xfId="10" builtinId="16" customBuiltin="1"/>
    <cellStyle name="Heading 2" xfId="11" builtinId="17" customBuiltin="1"/>
    <cellStyle name="Heading 3" xfId="12" builtinId="18" customBuiltin="1"/>
    <cellStyle name="Heading 4" xfId="13" builtinId="19" customBuiltin="1"/>
    <cellStyle name="Hyperlink 2" xfId="4"/>
    <cellStyle name="Input" xfId="17" builtinId="20" customBuiltin="1"/>
    <cellStyle name="Linked Cell" xfId="20" builtinId="24" customBuiltin="1"/>
    <cellStyle name="Neutral" xfId="16" builtinId="28" customBuiltin="1"/>
    <cellStyle name="Normal" xfId="0" builtinId="0"/>
    <cellStyle name="Normal 2" xfId="1"/>
    <cellStyle name="Normal 2 2" xfId="8"/>
    <cellStyle name="Normal 3" xfId="3"/>
    <cellStyle name="Normal 4" xfId="7"/>
    <cellStyle name="Normal 5" xfId="49"/>
    <cellStyle name="Normal 6" xfId="51"/>
    <cellStyle name="Note 2" xfId="50"/>
    <cellStyle name="Output" xfId="18" builtinId="21" customBuiltin="1"/>
    <cellStyle name="Percent" xfId="2" builtinId="5"/>
    <cellStyle name="Percent 2" xfId="6"/>
    <cellStyle name="Percent 3" xfId="5"/>
    <cellStyle name="Title" xfId="9" builtinId="15" customBuiltin="1"/>
    <cellStyle name="Total" xfId="24" builtinId="25" customBuiltin="1"/>
    <cellStyle name="Warning Text" xfId="22" builtinId="11" customBuiltin="1"/>
  </cellStyles>
  <dxfs count="100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#1 (unnormalized %)</a:t>
            </a:r>
          </a:p>
        </c:rich>
      </c:tx>
      <c:layout>
        <c:manualLayout>
          <c:xMode val="edge"/>
          <c:yMode val="edge"/>
          <c:x val="0.46093782808398925"/>
          <c:y val="3.01624129930394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1198112392825887E-2"/>
          <c:y val="0.16294977468023991"/>
          <c:w val="0.92466893897346214"/>
          <c:h val="0.7202852359054076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Quizzes!$C$2:$C$22</c:f>
              <c:numCache>
                <c:formatCode>General</c:formatCod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Quizzes!$B$2:$B$21</c:f>
              <c:numCache>
                <c:formatCode>General</c:formatCode>
                <c:ptCount val="20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11</c:v>
                </c:pt>
                <c:pt idx="4">
                  <c:v>1</c:v>
                </c:pt>
                <c:pt idx="5">
                  <c:v>1</c:v>
                </c:pt>
                <c:pt idx="6">
                  <c:v>5</c:v>
                </c:pt>
                <c:pt idx="7">
                  <c:v>9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7</c:v>
                </c:pt>
                <c:pt idx="12">
                  <c:v>3</c:v>
                </c:pt>
                <c:pt idx="13">
                  <c:v>3</c:v>
                </c:pt>
                <c:pt idx="14">
                  <c:v>8</c:v>
                </c:pt>
                <c:pt idx="15">
                  <c:v>18</c:v>
                </c:pt>
                <c:pt idx="16">
                  <c:v>0</c:v>
                </c:pt>
                <c:pt idx="17">
                  <c:v>5</c:v>
                </c:pt>
                <c:pt idx="18">
                  <c:v>56</c:v>
                </c:pt>
                <c:pt idx="19">
                  <c:v>227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9550848"/>
        <c:axId val="161169984"/>
      </c:barChart>
      <c:catAx>
        <c:axId val="12955084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1699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11699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95508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44" r="0.750000000000001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#2 (</a:t>
            </a:r>
            <a:r>
              <a:rPr lang="en-US" sz="1000" b="1" i="0" u="none" strike="noStrike" baseline="0">
                <a:effectLst/>
              </a:rPr>
              <a:t>unnormalized </a:t>
            </a:r>
            <a:r>
              <a:rPr lang="en-US"/>
              <a:t>%)</a:t>
            </a:r>
          </a:p>
        </c:rich>
      </c:tx>
      <c:layout>
        <c:manualLayout>
          <c:xMode val="edge"/>
          <c:yMode val="edge"/>
          <c:x val="0.46153848642571454"/>
          <c:y val="3.19635789233440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4304908560950797E-2"/>
          <c:y val="0.15577409486732066"/>
          <c:w val="0.93345859071520398"/>
          <c:h val="0.73934570399713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Quizzes!$C$39:$C$58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Quizzes!$B$39:$B$58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5</c:v>
                </c:pt>
                <c:pt idx="11">
                  <c:v>7</c:v>
                </c:pt>
                <c:pt idx="12">
                  <c:v>4</c:v>
                </c:pt>
                <c:pt idx="13">
                  <c:v>7</c:v>
                </c:pt>
                <c:pt idx="14">
                  <c:v>21</c:v>
                </c:pt>
                <c:pt idx="15">
                  <c:v>28</c:v>
                </c:pt>
                <c:pt idx="16">
                  <c:v>25</c:v>
                </c:pt>
                <c:pt idx="17">
                  <c:v>40</c:v>
                </c:pt>
                <c:pt idx="18">
                  <c:v>46</c:v>
                </c:pt>
                <c:pt idx="19">
                  <c:v>184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0632832"/>
        <c:axId val="161171712"/>
      </c:barChart>
      <c:catAx>
        <c:axId val="16063283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1717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11717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63283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44" r="0.750000000000001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#3 (</a:t>
            </a:r>
            <a:r>
              <a:rPr lang="en-US" sz="1000" b="1" i="0" u="none" strike="noStrike" baseline="0">
                <a:effectLst/>
              </a:rPr>
              <a:t>unnormalized </a:t>
            </a:r>
            <a:r>
              <a:rPr lang="en-US"/>
              <a:t>%)</a:t>
            </a:r>
          </a:p>
        </c:rich>
      </c:tx>
      <c:layout>
        <c:manualLayout>
          <c:xMode val="edge"/>
          <c:yMode val="edge"/>
          <c:x val="0.46118012422360288"/>
          <c:y val="3.18907755578172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4021653880570564E-2"/>
          <c:y val="0.16232950080508005"/>
          <c:w val="0.92608549509549565"/>
          <c:h val="0.7328017464915066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Quizzes!$C$76:$C$95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Quizzes!$B$76:$B$95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14</c:v>
                </c:pt>
                <c:pt idx="12">
                  <c:v>9</c:v>
                </c:pt>
                <c:pt idx="13">
                  <c:v>9</c:v>
                </c:pt>
                <c:pt idx="14">
                  <c:v>12</c:v>
                </c:pt>
                <c:pt idx="15">
                  <c:v>61</c:v>
                </c:pt>
                <c:pt idx="16">
                  <c:v>46</c:v>
                </c:pt>
                <c:pt idx="17">
                  <c:v>46</c:v>
                </c:pt>
                <c:pt idx="18">
                  <c:v>72</c:v>
                </c:pt>
                <c:pt idx="19">
                  <c:v>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0633856"/>
        <c:axId val="161173440"/>
      </c:barChart>
      <c:catAx>
        <c:axId val="16063385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1734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1173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633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44" r="0.75000000000000144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#6 (unnormlaized %)</a:t>
            </a:r>
          </a:p>
        </c:rich>
      </c:tx>
      <c:layout>
        <c:manualLayout>
          <c:xMode val="edge"/>
          <c:yMode val="edge"/>
          <c:x val="0.46081504702194381"/>
          <c:y val="3.06345733041575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4488842760767854E-2"/>
          <c:y val="0.15628895140899224"/>
          <c:w val="0.9216398546964214"/>
          <c:h val="0.7323253723164200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Quizzes!$C$187:$C$206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Quizzes!$B$187:$B$206</c:f>
              <c:numCache>
                <c:formatCode>General</c:formatCode>
                <c:ptCount val="20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6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20</c:v>
                </c:pt>
                <c:pt idx="13">
                  <c:v>10</c:v>
                </c:pt>
                <c:pt idx="14">
                  <c:v>0</c:v>
                </c:pt>
                <c:pt idx="15">
                  <c:v>19</c:v>
                </c:pt>
                <c:pt idx="16">
                  <c:v>1</c:v>
                </c:pt>
                <c:pt idx="17">
                  <c:v>0</c:v>
                </c:pt>
                <c:pt idx="18">
                  <c:v>4</c:v>
                </c:pt>
                <c:pt idx="19">
                  <c:v>288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9551872"/>
        <c:axId val="161175168"/>
      </c:barChart>
      <c:catAx>
        <c:axId val="12955187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1751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11751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95518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44" r="0.75000000000000144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#7 (%)
</a:t>
            </a:r>
          </a:p>
        </c:rich>
      </c:tx>
      <c:layout>
        <c:manualLayout>
          <c:xMode val="edge"/>
          <c:yMode val="edge"/>
          <c:x val="0.46326868062031978"/>
          <c:y val="3.070165463452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544868616757342E-2"/>
          <c:y val="0.1544395693108479"/>
          <c:w val="0.92067426871591451"/>
          <c:h val="0.74310053639422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Quizzes!$C$224:$C$243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Quizzes!$B$224:$B$243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19</c:v>
                </c:pt>
                <c:pt idx="8">
                  <c:v>8</c:v>
                </c:pt>
                <c:pt idx="9">
                  <c:v>22</c:v>
                </c:pt>
                <c:pt idx="10">
                  <c:v>5</c:v>
                </c:pt>
                <c:pt idx="11">
                  <c:v>62</c:v>
                </c:pt>
                <c:pt idx="12">
                  <c:v>3</c:v>
                </c:pt>
                <c:pt idx="13">
                  <c:v>7</c:v>
                </c:pt>
                <c:pt idx="14">
                  <c:v>1</c:v>
                </c:pt>
                <c:pt idx="15">
                  <c:v>28</c:v>
                </c:pt>
                <c:pt idx="16">
                  <c:v>8</c:v>
                </c:pt>
                <c:pt idx="17">
                  <c:v>26</c:v>
                </c:pt>
                <c:pt idx="18">
                  <c:v>14</c:v>
                </c:pt>
                <c:pt idx="19">
                  <c:v>143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0633344"/>
        <c:axId val="161176896"/>
      </c:barChart>
      <c:catAx>
        <c:axId val="16063334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1768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1176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63334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44" r="0.75000000000000144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#8 (%)</a:t>
            </a:r>
          </a:p>
        </c:rich>
      </c:tx>
      <c:layout>
        <c:manualLayout>
          <c:xMode val="edge"/>
          <c:yMode val="edge"/>
          <c:x val="0.46257484630564794"/>
          <c:y val="3.20366132723112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5389221556886463E-2"/>
          <c:y val="0.14874141876430269"/>
          <c:w val="0.92514970059880475"/>
          <c:h val="0.7574370709382151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Quizzes!$C$262:$C$281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Quizzes!$B$262:$B$281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8</c:v>
                </c:pt>
                <c:pt idx="14">
                  <c:v>9</c:v>
                </c:pt>
                <c:pt idx="15">
                  <c:v>18</c:v>
                </c:pt>
                <c:pt idx="16">
                  <c:v>21</c:v>
                </c:pt>
                <c:pt idx="17">
                  <c:v>15</c:v>
                </c:pt>
                <c:pt idx="18">
                  <c:v>58</c:v>
                </c:pt>
                <c:pt idx="19">
                  <c:v>210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0635392"/>
        <c:axId val="161629312"/>
      </c:barChart>
      <c:catAx>
        <c:axId val="16063539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6293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1629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6353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44" r="0.75000000000000144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#9
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Quizzes!#REF!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Quizzes!#REF!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0636416"/>
        <c:axId val="161631040"/>
      </c:barChart>
      <c:catAx>
        <c:axId val="16063641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6310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16310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6364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44" r="0.75000000000000144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#8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Quizzes!#REF!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Quizzes!#REF!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1940480"/>
        <c:axId val="161632768"/>
      </c:barChart>
      <c:catAx>
        <c:axId val="16194048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6327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1632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9404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44" r="0.75000000000000144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Quizzes (normalized %)</a:t>
            </a:r>
          </a:p>
        </c:rich>
      </c:tx>
      <c:layout>
        <c:manualLayout>
          <c:xMode val="edge"/>
          <c:yMode val="edge"/>
          <c:x val="0.44511273440217564"/>
          <c:y val="3.1460753504466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0737936575636425E-2"/>
          <c:y val="0.16296863045141599"/>
          <c:w val="0.92223661187479899"/>
          <c:h val="0.7322111706197398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Quizzes!$A$300:$A$320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Quizzes!$B$300:$B$320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6</c:v>
                </c:pt>
                <c:pt idx="13">
                  <c:v>10</c:v>
                </c:pt>
                <c:pt idx="14">
                  <c:v>14</c:v>
                </c:pt>
                <c:pt idx="15">
                  <c:v>27</c:v>
                </c:pt>
                <c:pt idx="16">
                  <c:v>32</c:v>
                </c:pt>
                <c:pt idx="17">
                  <c:v>51</c:v>
                </c:pt>
                <c:pt idx="18">
                  <c:v>71</c:v>
                </c:pt>
                <c:pt idx="19">
                  <c:v>101</c:v>
                </c:pt>
                <c:pt idx="20">
                  <c:v>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0634368"/>
        <c:axId val="161634496"/>
      </c:barChart>
      <c:catAx>
        <c:axId val="16063436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6344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16344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6343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#4 (unnormalized %)</a:t>
            </a:r>
          </a:p>
        </c:rich>
      </c:tx>
      <c:layout>
        <c:manualLayout>
          <c:xMode val="edge"/>
          <c:yMode val="edge"/>
          <c:x val="0.46081504702194381"/>
          <c:y val="3.06345733041575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932018681888952E-2"/>
          <c:y val="0.15367483296213821"/>
          <c:w val="0.92319667877529843"/>
          <c:h val="0.739420935412026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Quizzes!$C$113:$C$132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Quizzes!$B$113:$B$132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6</c:v>
                </c:pt>
                <c:pt idx="10">
                  <c:v>3</c:v>
                </c:pt>
                <c:pt idx="11">
                  <c:v>16</c:v>
                </c:pt>
                <c:pt idx="12">
                  <c:v>10</c:v>
                </c:pt>
                <c:pt idx="13">
                  <c:v>14</c:v>
                </c:pt>
                <c:pt idx="14">
                  <c:v>18</c:v>
                </c:pt>
                <c:pt idx="15">
                  <c:v>47</c:v>
                </c:pt>
                <c:pt idx="16">
                  <c:v>33</c:v>
                </c:pt>
                <c:pt idx="17">
                  <c:v>45</c:v>
                </c:pt>
                <c:pt idx="18">
                  <c:v>49</c:v>
                </c:pt>
                <c:pt idx="19">
                  <c:v>125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1941504"/>
        <c:axId val="161865728"/>
      </c:barChart>
      <c:catAx>
        <c:axId val="16194150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8657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1865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9415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#5 (unnormalized</a:t>
            </a:r>
            <a:r>
              <a:rPr lang="en-US" baseline="0"/>
              <a:t> </a:t>
            </a:r>
            <a:r>
              <a:rPr lang="en-US"/>
              <a:t>%)
</a:t>
            </a:r>
          </a:p>
        </c:rich>
      </c:tx>
      <c:layout>
        <c:manualLayout>
          <c:xMode val="edge"/>
          <c:yMode val="edge"/>
          <c:x val="0.46081504702194381"/>
          <c:y val="3.06345259474144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853458716682401E-2"/>
          <c:y val="0.15852165071483443"/>
          <c:w val="0.93092887085171061"/>
          <c:h val="0.7256272743988936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Quizzes!$C$150:$C$169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Quizzes!$B$150:$B$169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6</c:v>
                </c:pt>
                <c:pt idx="8">
                  <c:v>3</c:v>
                </c:pt>
                <c:pt idx="9">
                  <c:v>9</c:v>
                </c:pt>
                <c:pt idx="10">
                  <c:v>9</c:v>
                </c:pt>
                <c:pt idx="11">
                  <c:v>23</c:v>
                </c:pt>
                <c:pt idx="12">
                  <c:v>19</c:v>
                </c:pt>
                <c:pt idx="13">
                  <c:v>11</c:v>
                </c:pt>
                <c:pt idx="14">
                  <c:v>12</c:v>
                </c:pt>
                <c:pt idx="15">
                  <c:v>52</c:v>
                </c:pt>
                <c:pt idx="16">
                  <c:v>35</c:v>
                </c:pt>
                <c:pt idx="17">
                  <c:v>39</c:v>
                </c:pt>
                <c:pt idx="18">
                  <c:v>48</c:v>
                </c:pt>
                <c:pt idx="19">
                  <c:v>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1942016"/>
        <c:axId val="161867456"/>
      </c:barChart>
      <c:catAx>
        <c:axId val="16194201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8674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1867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9420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Quizzes!$G$30:$G$34</c:f>
              <c:numCache>
                <c:formatCode>0</c:formatCode>
                <c:ptCount val="5"/>
                <c:pt idx="0">
                  <c:v>76.075268817204304</c:v>
                </c:pt>
                <c:pt idx="1">
                  <c:v>1.3440860215053763</c:v>
                </c:pt>
                <c:pt idx="2">
                  <c:v>6.9892473118279561</c:v>
                </c:pt>
                <c:pt idx="3">
                  <c:v>1.6129032258064515</c:v>
                </c:pt>
                <c:pt idx="4">
                  <c:v>13.978494623655912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Quizzes!$G$67:$G$71</c:f>
              <c:numCache>
                <c:formatCode>0</c:formatCode>
                <c:ptCount val="5"/>
                <c:pt idx="0">
                  <c:v>61.007957559681699</c:v>
                </c:pt>
                <c:pt idx="1">
                  <c:v>17.241379310344829</c:v>
                </c:pt>
                <c:pt idx="2">
                  <c:v>12.9973474801061</c:v>
                </c:pt>
                <c:pt idx="3">
                  <c:v>2.9177718832891246</c:v>
                </c:pt>
                <c:pt idx="4">
                  <c:v>5.8355437665782492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Quizzes!$G$323:$G$327</c:f>
              <c:numCache>
                <c:formatCode>0</c:formatCode>
                <c:ptCount val="5"/>
                <c:pt idx="0">
                  <c:v>39.313984168865431</c:v>
                </c:pt>
                <c:pt idx="1">
                  <c:v>32.189973614775724</c:v>
                </c:pt>
                <c:pt idx="2">
                  <c:v>15.567282321899736</c:v>
                </c:pt>
                <c:pt idx="3">
                  <c:v>6.3324538258575203</c:v>
                </c:pt>
                <c:pt idx="4">
                  <c:v>6.5963060686015833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Quizzes!$G$104:$G$108</c:f>
              <c:numCache>
                <c:formatCode>0</c:formatCode>
                <c:ptCount val="5"/>
                <c:pt idx="0">
                  <c:v>44.808743169398909</c:v>
                </c:pt>
                <c:pt idx="1">
                  <c:v>25.136612021857925</c:v>
                </c:pt>
                <c:pt idx="2">
                  <c:v>19.94535519125683</c:v>
                </c:pt>
                <c:pt idx="3">
                  <c:v>4.918032786885246</c:v>
                </c:pt>
                <c:pt idx="4">
                  <c:v>5.1912568306010929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Quizzes!$G$141:$G$145</c:f>
              <c:numCache>
                <c:formatCode>0</c:formatCode>
                <c:ptCount val="5"/>
                <c:pt idx="0">
                  <c:v>46.900269541778975</c:v>
                </c:pt>
                <c:pt idx="1">
                  <c:v>21.024258760107816</c:v>
                </c:pt>
                <c:pt idx="2">
                  <c:v>17.520215633423181</c:v>
                </c:pt>
                <c:pt idx="3">
                  <c:v>6.4690026954177897</c:v>
                </c:pt>
                <c:pt idx="4">
                  <c:v>8.0862533692722369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Quizzes!$G$178:$G$182</c:f>
              <c:numCache>
                <c:formatCode>0</c:formatCode>
                <c:ptCount val="5"/>
                <c:pt idx="0">
                  <c:v>38.605898123324394</c:v>
                </c:pt>
                <c:pt idx="1">
                  <c:v>19.839142091152816</c:v>
                </c:pt>
                <c:pt idx="2">
                  <c:v>17.158176943699733</c:v>
                </c:pt>
                <c:pt idx="3">
                  <c:v>8.0428954423592494</c:v>
                </c:pt>
                <c:pt idx="4">
                  <c:v>16.353887399463808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Quizzes!$G$215:$G$219</c:f>
              <c:numCache>
                <c:formatCode>0</c:formatCode>
                <c:ptCount val="5"/>
                <c:pt idx="0">
                  <c:v>80.219780219780219</c:v>
                </c:pt>
                <c:pt idx="1">
                  <c:v>0.27472527472527475</c:v>
                </c:pt>
                <c:pt idx="2">
                  <c:v>5.2197802197802199</c:v>
                </c:pt>
                <c:pt idx="3">
                  <c:v>8.2417582417582409</c:v>
                </c:pt>
                <c:pt idx="4">
                  <c:v>6.0439560439560438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Quizzes!$G$253:$G$257</c:f>
              <c:numCache>
                <c:formatCode>0</c:formatCode>
                <c:ptCount val="5"/>
                <c:pt idx="0">
                  <c:v>44.350282485875709</c:v>
                </c:pt>
                <c:pt idx="1">
                  <c:v>9.6045197740112993</c:v>
                </c:pt>
                <c:pt idx="2">
                  <c:v>8.1920903954802249</c:v>
                </c:pt>
                <c:pt idx="3">
                  <c:v>2.8248587570621471</c:v>
                </c:pt>
                <c:pt idx="4">
                  <c:v>35.028248587570623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Quizzes!$G$290:$G$294</c:f>
              <c:numCache>
                <c:formatCode>0</c:formatCode>
                <c:ptCount val="5"/>
                <c:pt idx="0">
                  <c:v>75.492957746478879</c:v>
                </c:pt>
                <c:pt idx="1">
                  <c:v>10.140845070422536</c:v>
                </c:pt>
                <c:pt idx="2">
                  <c:v>7.605633802816901</c:v>
                </c:pt>
                <c:pt idx="3">
                  <c:v>3.0985915492957745</c:v>
                </c:pt>
                <c:pt idx="4">
                  <c:v>3.6619718309859155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#0 (%) </a:t>
            </a:r>
          </a:p>
        </c:rich>
      </c:tx>
      <c:layout>
        <c:manualLayout>
          <c:xMode val="edge"/>
          <c:yMode val="edge"/>
          <c:x val="0.44131521118545708"/>
          <c:y val="3.34190231362467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903061887259584E-2"/>
          <c:y val="0.16195372750642706"/>
          <c:w val="0.92331909495900422"/>
          <c:h val="0.735218508997428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Programs!$C$2:$C$22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Programs!$B$2:$B$22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1942528"/>
        <c:axId val="173094528"/>
      </c:barChart>
      <c:catAx>
        <c:axId val="1619425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0945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3094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9425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44" r="0.75000000000000144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#1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810622971194"/>
          <c:y val="3.27868852459016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632486420132571E-2"/>
          <c:y val="0.17213160682314832"/>
          <c:w val="0.92523505225834379"/>
          <c:h val="0.7158489045661109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Programs!$C$36:$C$56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Programs!$B$36:$B$56</c:f>
              <c:numCache>
                <c:formatCode>General</c:formatCode>
                <c:ptCount val="21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1</c:v>
                </c:pt>
                <c:pt idx="12">
                  <c:v>14</c:v>
                </c:pt>
                <c:pt idx="13">
                  <c:v>8</c:v>
                </c:pt>
                <c:pt idx="14">
                  <c:v>8</c:v>
                </c:pt>
                <c:pt idx="15">
                  <c:v>29</c:v>
                </c:pt>
                <c:pt idx="16">
                  <c:v>17</c:v>
                </c:pt>
                <c:pt idx="17">
                  <c:v>50</c:v>
                </c:pt>
                <c:pt idx="18">
                  <c:v>63</c:v>
                </c:pt>
                <c:pt idx="19">
                  <c:v>64</c:v>
                </c:pt>
                <c:pt idx="20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1943040"/>
        <c:axId val="161423360"/>
      </c:barChart>
      <c:catAx>
        <c:axId val="16194304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4233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1423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9430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44" r="0.75000000000000144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#2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44"/>
          <c:y val="3.30788804071247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01E-2"/>
          <c:y val="0.16030574185388302"/>
          <c:w val="0.91770186335403903"/>
          <c:h val="0.735370784059877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Programs!$C$70:$C$90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Programs!$B$70:$B$90</c:f>
              <c:numCache>
                <c:formatCode>General</c:formatCode>
                <c:ptCount val="21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6</c:v>
                </c:pt>
                <c:pt idx="8">
                  <c:v>6</c:v>
                </c:pt>
                <c:pt idx="9">
                  <c:v>5</c:v>
                </c:pt>
                <c:pt idx="10">
                  <c:v>5</c:v>
                </c:pt>
                <c:pt idx="11">
                  <c:v>8</c:v>
                </c:pt>
                <c:pt idx="12">
                  <c:v>7</c:v>
                </c:pt>
                <c:pt idx="13">
                  <c:v>19</c:v>
                </c:pt>
                <c:pt idx="14">
                  <c:v>21</c:v>
                </c:pt>
                <c:pt idx="15">
                  <c:v>14</c:v>
                </c:pt>
                <c:pt idx="16">
                  <c:v>28</c:v>
                </c:pt>
                <c:pt idx="17">
                  <c:v>11</c:v>
                </c:pt>
                <c:pt idx="18">
                  <c:v>22</c:v>
                </c:pt>
                <c:pt idx="19">
                  <c:v>112</c:v>
                </c:pt>
                <c:pt idx="20">
                  <c:v>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1940992"/>
        <c:axId val="161424512"/>
      </c:barChart>
      <c:catAx>
        <c:axId val="16194099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4245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14245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9409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44" r="0.75000000000000144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#3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44"/>
          <c:y val="3.21715817694369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01E-2"/>
          <c:y val="0.16890102539196741"/>
          <c:w val="0.91149068322981364"/>
          <c:h val="0.7211805687371288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Programs!$C$104:$C$124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Programs!$B$104:$B$124</c:f>
              <c:numCache>
                <c:formatCode>General</c:formatCode>
                <c:ptCount val="21"/>
                <c:pt idx="0">
                  <c:v>11</c:v>
                </c:pt>
                <c:pt idx="1">
                  <c:v>2</c:v>
                </c:pt>
                <c:pt idx="2">
                  <c:v>6</c:v>
                </c:pt>
                <c:pt idx="3">
                  <c:v>3</c:v>
                </c:pt>
                <c:pt idx="4">
                  <c:v>5</c:v>
                </c:pt>
                <c:pt idx="5">
                  <c:v>2</c:v>
                </c:pt>
                <c:pt idx="6">
                  <c:v>7</c:v>
                </c:pt>
                <c:pt idx="7">
                  <c:v>3</c:v>
                </c:pt>
                <c:pt idx="8">
                  <c:v>5</c:v>
                </c:pt>
                <c:pt idx="9">
                  <c:v>13</c:v>
                </c:pt>
                <c:pt idx="10">
                  <c:v>4</c:v>
                </c:pt>
                <c:pt idx="11">
                  <c:v>9</c:v>
                </c:pt>
                <c:pt idx="12">
                  <c:v>5</c:v>
                </c:pt>
                <c:pt idx="13">
                  <c:v>4</c:v>
                </c:pt>
                <c:pt idx="14">
                  <c:v>1</c:v>
                </c:pt>
                <c:pt idx="15">
                  <c:v>7</c:v>
                </c:pt>
                <c:pt idx="16">
                  <c:v>12</c:v>
                </c:pt>
                <c:pt idx="17">
                  <c:v>22</c:v>
                </c:pt>
                <c:pt idx="18">
                  <c:v>89</c:v>
                </c:pt>
                <c:pt idx="19">
                  <c:v>121</c:v>
                </c:pt>
                <c:pt idx="20">
                  <c:v>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3204992"/>
        <c:axId val="161426240"/>
      </c:barChart>
      <c:catAx>
        <c:axId val="17320499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4262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14262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2049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44" r="0.75000000000000144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#4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06342267153425"/>
          <c:y val="3.35051546391752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359666397367282E-2"/>
          <c:y val="0.16237133835793829"/>
          <c:w val="0.92271364439080705"/>
          <c:h val="0.734537006857339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Programs!$C$138:$C$158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Programs!$B$138:$B$158</c:f>
              <c:numCache>
                <c:formatCode>General</c:formatCode>
                <c:ptCount val="21"/>
                <c:pt idx="0">
                  <c:v>12</c:v>
                </c:pt>
                <c:pt idx="1">
                  <c:v>1</c:v>
                </c:pt>
                <c:pt idx="2">
                  <c:v>4</c:v>
                </c:pt>
                <c:pt idx="3">
                  <c:v>9</c:v>
                </c:pt>
                <c:pt idx="4">
                  <c:v>11</c:v>
                </c:pt>
                <c:pt idx="5">
                  <c:v>1</c:v>
                </c:pt>
                <c:pt idx="6">
                  <c:v>6</c:v>
                </c:pt>
                <c:pt idx="7">
                  <c:v>1</c:v>
                </c:pt>
                <c:pt idx="8">
                  <c:v>5</c:v>
                </c:pt>
                <c:pt idx="9">
                  <c:v>1</c:v>
                </c:pt>
                <c:pt idx="10">
                  <c:v>8</c:v>
                </c:pt>
                <c:pt idx="11">
                  <c:v>13</c:v>
                </c:pt>
                <c:pt idx="12">
                  <c:v>8</c:v>
                </c:pt>
                <c:pt idx="13">
                  <c:v>6</c:v>
                </c:pt>
                <c:pt idx="14">
                  <c:v>11</c:v>
                </c:pt>
                <c:pt idx="15">
                  <c:v>22</c:v>
                </c:pt>
                <c:pt idx="16">
                  <c:v>19</c:v>
                </c:pt>
                <c:pt idx="17">
                  <c:v>21</c:v>
                </c:pt>
                <c:pt idx="18">
                  <c:v>82</c:v>
                </c:pt>
                <c:pt idx="19">
                  <c:v>64</c:v>
                </c:pt>
                <c:pt idx="20">
                  <c:v>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3205504"/>
        <c:axId val="161427968"/>
      </c:barChart>
      <c:catAx>
        <c:axId val="17320550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4279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14279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2055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44" r="0.75000000000000144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 Programs</a:t>
            </a:r>
            <a:r>
              <a:rPr lang="en-US" sz="1000" b="1" i="0" u="none" strike="noStrike" baseline="0">
                <a:effectLst/>
              </a:rPr>
              <a:t> (normalized %) </a:t>
            </a:r>
            <a:r>
              <a:rPr lang="en-US"/>
              <a:t>
</a:t>
            </a:r>
          </a:p>
        </c:rich>
      </c:tx>
      <c:layout>
        <c:manualLayout>
          <c:xMode val="edge"/>
          <c:yMode val="edge"/>
          <c:x val="0.43181881810228412"/>
          <c:y val="3.37662337662337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6060689010252483E-2"/>
          <c:y val="0.16363657117057018"/>
          <c:w val="0.92878925306175064"/>
          <c:h val="0.7298710555385790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Programs!$C$207:$C$227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Programs!$B$207:$B$227</c:f>
              <c:numCache>
                <c:formatCode>General</c:formatCode>
                <c:ptCount val="21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5</c:v>
                </c:pt>
                <c:pt idx="6">
                  <c:v>2</c:v>
                </c:pt>
                <c:pt idx="7">
                  <c:v>7</c:v>
                </c:pt>
                <c:pt idx="8">
                  <c:v>3</c:v>
                </c:pt>
                <c:pt idx="9">
                  <c:v>4</c:v>
                </c:pt>
                <c:pt idx="10">
                  <c:v>6</c:v>
                </c:pt>
                <c:pt idx="11">
                  <c:v>7</c:v>
                </c:pt>
                <c:pt idx="12">
                  <c:v>11</c:v>
                </c:pt>
                <c:pt idx="13">
                  <c:v>10</c:v>
                </c:pt>
                <c:pt idx="14">
                  <c:v>13</c:v>
                </c:pt>
                <c:pt idx="15">
                  <c:v>22</c:v>
                </c:pt>
                <c:pt idx="16">
                  <c:v>35</c:v>
                </c:pt>
                <c:pt idx="17">
                  <c:v>39</c:v>
                </c:pt>
                <c:pt idx="18">
                  <c:v>57</c:v>
                </c:pt>
                <c:pt idx="19">
                  <c:v>90</c:v>
                </c:pt>
                <c:pt idx="20">
                  <c:v>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3206016"/>
        <c:axId val="161430848"/>
      </c:barChart>
      <c:catAx>
        <c:axId val="17320601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4308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1430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2060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#5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44"/>
          <c:y val="3.21715817694369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01E-2"/>
          <c:y val="0.16890102539196741"/>
          <c:w val="0.91149068322981364"/>
          <c:h val="0.7211805687371288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Programs!$C$172:$C$192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Programs!$B$172:$B$192</c:f>
              <c:numCache>
                <c:formatCode>General</c:formatCode>
                <c:ptCount val="21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5</c:v>
                </c:pt>
                <c:pt idx="11">
                  <c:v>0</c:v>
                </c:pt>
                <c:pt idx="12">
                  <c:v>7</c:v>
                </c:pt>
                <c:pt idx="13">
                  <c:v>6</c:v>
                </c:pt>
                <c:pt idx="14">
                  <c:v>43</c:v>
                </c:pt>
                <c:pt idx="15">
                  <c:v>15</c:v>
                </c:pt>
                <c:pt idx="16">
                  <c:v>3</c:v>
                </c:pt>
                <c:pt idx="17">
                  <c:v>1</c:v>
                </c:pt>
                <c:pt idx="18">
                  <c:v>15</c:v>
                </c:pt>
                <c:pt idx="19">
                  <c:v>108</c:v>
                </c:pt>
                <c:pt idx="20">
                  <c:v>139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3206528"/>
        <c:axId val="173966464"/>
      </c:barChart>
      <c:catAx>
        <c:axId val="1732065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96646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3966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2065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44" r="0.75000000000000144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Programs!$G$27:$G$31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Programs!$G$61:$G$65</c:f>
              <c:numCache>
                <c:formatCode>0</c:formatCode>
                <c:ptCount val="5"/>
                <c:pt idx="0">
                  <c:v>60.533333333333331</c:v>
                </c:pt>
                <c:pt idx="1">
                  <c:v>17.866666666666667</c:v>
                </c:pt>
                <c:pt idx="2">
                  <c:v>9.8666666666666671</c:v>
                </c:pt>
                <c:pt idx="3">
                  <c:v>5.8666666666666663</c:v>
                </c:pt>
                <c:pt idx="4">
                  <c:v>5.8666666666666663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Programs!$G$95:$G$99</c:f>
              <c:numCache>
                <c:formatCode>0</c:formatCode>
                <c:ptCount val="5"/>
                <c:pt idx="0">
                  <c:v>59.56873315363881</c:v>
                </c:pt>
                <c:pt idx="1">
                  <c:v>10.512129380053908</c:v>
                </c:pt>
                <c:pt idx="2">
                  <c:v>9.433962264150944</c:v>
                </c:pt>
                <c:pt idx="3">
                  <c:v>7.0080862533692727</c:v>
                </c:pt>
                <c:pt idx="4">
                  <c:v>13.477088948787062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Programs!$G$230:$G$234</c:f>
              <c:numCache>
                <c:formatCode>0</c:formatCode>
                <c:ptCount val="5"/>
                <c:pt idx="0">
                  <c:v>52.645502645502653</c:v>
                </c:pt>
                <c:pt idx="1">
                  <c:v>19.576719576719576</c:v>
                </c:pt>
                <c:pt idx="2">
                  <c:v>9.2592592592592595</c:v>
                </c:pt>
                <c:pt idx="3">
                  <c:v>5.5555555555555554</c:v>
                </c:pt>
                <c:pt idx="4">
                  <c:v>12.962962962962962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Programs!$G$129:$G$133</c:f>
              <c:numCache>
                <c:formatCode>0</c:formatCode>
                <c:ptCount val="5"/>
                <c:pt idx="0">
                  <c:v>67.119565217391312</c:v>
                </c:pt>
                <c:pt idx="1">
                  <c:v>9.2391304347826075</c:v>
                </c:pt>
                <c:pt idx="2">
                  <c:v>2.1739130434782608</c:v>
                </c:pt>
                <c:pt idx="3">
                  <c:v>2.4456521739130435</c:v>
                </c:pt>
                <c:pt idx="4">
                  <c:v>19.021739130434785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Programs!$G$163:$G$167</c:f>
              <c:numCache>
                <c:formatCode>0</c:formatCode>
                <c:ptCount val="5"/>
                <c:pt idx="0">
                  <c:v>56.077348066298342</c:v>
                </c:pt>
                <c:pt idx="1">
                  <c:v>11.049723756906078</c:v>
                </c:pt>
                <c:pt idx="2">
                  <c:v>9.1160220994475143</c:v>
                </c:pt>
                <c:pt idx="3">
                  <c:v>3.867403314917127</c:v>
                </c:pt>
                <c:pt idx="4">
                  <c:v>19.88950276243094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Programs!$G$197:$G$201</c:f>
              <c:numCache>
                <c:formatCode>0</c:formatCode>
                <c:ptCount val="5"/>
                <c:pt idx="0">
                  <c:v>74.220963172804531</c:v>
                </c:pt>
                <c:pt idx="1">
                  <c:v>1.1331444759206799</c:v>
                </c:pt>
                <c:pt idx="2">
                  <c:v>16.430594900849862</c:v>
                </c:pt>
                <c:pt idx="3">
                  <c:v>3.6827195467422094</c:v>
                </c:pt>
                <c:pt idx="4">
                  <c:v>4.5325779036827196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Midterm Written Exam (normalized %)</a:t>
            </a:r>
          </a:p>
        </c:rich>
      </c:tx>
      <c:layout>
        <c:manualLayout>
          <c:xMode val="edge"/>
          <c:yMode val="edge"/>
          <c:x val="0.39687085344772988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547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Exams!$A$63:$A$82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Exams!$B$63:$B$82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20</c:v>
                </c:pt>
                <c:pt idx="11">
                  <c:v>21</c:v>
                </c:pt>
                <c:pt idx="12">
                  <c:v>39</c:v>
                </c:pt>
                <c:pt idx="13">
                  <c:v>42</c:v>
                </c:pt>
                <c:pt idx="14">
                  <c:v>47</c:v>
                </c:pt>
                <c:pt idx="15">
                  <c:v>43</c:v>
                </c:pt>
                <c:pt idx="16">
                  <c:v>63</c:v>
                </c:pt>
                <c:pt idx="17">
                  <c:v>45</c:v>
                </c:pt>
                <c:pt idx="18">
                  <c:v>30</c:v>
                </c:pt>
                <c:pt idx="19">
                  <c:v>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3794304"/>
        <c:axId val="192236352"/>
      </c:barChart>
      <c:catAx>
        <c:axId val="17379430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2363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2236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7943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44" r="0.75000000000000144" t="1" header="0.5" footer="0.5"/>
    <c:pageSetup orientation="landscape" horizontalDpi="1200" verticalDpi="120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Final Written Exam (normalized %) 
</a:t>
            </a:r>
          </a:p>
        </c:rich>
      </c:tx>
      <c:layout>
        <c:manualLayout>
          <c:xMode val="edge"/>
          <c:yMode val="edge"/>
          <c:x val="0.40895953757225506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31"/>
          <c:w val="0.9234104046242777"/>
          <c:h val="0.697674418604653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Exams!$A$94:$A$113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120</c:v>
                </c:pt>
              </c:numCache>
            </c:numRef>
          </c:cat>
          <c:val>
            <c:numRef>
              <c:f>Exams!$B$94:$B$113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19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19</c:v>
                </c:pt>
                <c:pt idx="11">
                  <c:v>16</c:v>
                </c:pt>
                <c:pt idx="12">
                  <c:v>31</c:v>
                </c:pt>
                <c:pt idx="13">
                  <c:v>46</c:v>
                </c:pt>
                <c:pt idx="14">
                  <c:v>51</c:v>
                </c:pt>
                <c:pt idx="15">
                  <c:v>57</c:v>
                </c:pt>
                <c:pt idx="16">
                  <c:v>43</c:v>
                </c:pt>
                <c:pt idx="17">
                  <c:v>32</c:v>
                </c:pt>
                <c:pt idx="18">
                  <c:v>32</c:v>
                </c:pt>
                <c:pt idx="19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3793280"/>
        <c:axId val="192238080"/>
      </c:barChart>
      <c:catAx>
        <c:axId val="17379328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2380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22380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7932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Programming + Written Exams (with normalization)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391128628822587E-2"/>
          <c:y val="0.18260921254872253"/>
          <c:w val="0.92352222493098457"/>
          <c:h val="0.698552701972094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Exams!$A$314:$A$333</c:f>
            </c:multiLvlStrRef>
          </c:cat>
          <c:val>
            <c:numRef>
              <c:f>Exams!$B$314:$B$333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4149120"/>
        <c:axId val="192239808"/>
      </c:barChart>
      <c:catAx>
        <c:axId val="17414912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22398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2239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14912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#1 (unnormalized</a:t>
            </a:r>
            <a:r>
              <a:rPr lang="en-US" baseline="0"/>
              <a:t> %)</a:t>
            </a:r>
            <a:endParaRPr lang="en-US"/>
          </a:p>
        </c:rich>
      </c:tx>
      <c:layout>
        <c:manualLayout>
          <c:xMode val="edge"/>
          <c:yMode val="edge"/>
          <c:x val="0.39687085344772988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564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Exams!$A$63:$A$82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Exams!$B$2:$B$21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3795328"/>
        <c:axId val="173850624"/>
      </c:barChart>
      <c:catAx>
        <c:axId val="1737953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8506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3850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7953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67" r="0.75000000000000167" t="1" header="0.5" footer="0.5"/>
    <c:pageSetup orientation="landscape" horizontalDpi="1200" verticalDpi="1200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#2</a:t>
            </a:r>
          </a:p>
        </c:rich>
      </c:tx>
      <c:layout>
        <c:manualLayout>
          <c:xMode val="edge"/>
          <c:yMode val="edge"/>
          <c:x val="0.39687085344772988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58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Exams!$A$63:$A$82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Exams!$B$32:$B$51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3794816"/>
        <c:axId val="173852352"/>
      </c:barChart>
      <c:catAx>
        <c:axId val="17379481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8523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3852352"/>
        <c:scaling>
          <c:orientation val="minMax"/>
          <c:max val="6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794816"/>
        <c:crosses val="autoZero"/>
        <c:crossBetween val="between"/>
        <c:majorUnit val="1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89" r="0.75000000000000189" t="1" header="0.5" footer="0.5"/>
    <c:pageSetup orientation="landscape" horizontalDpi="1200" verticalDpi="1200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In-Lab Programming Exams (with normalization)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37"/>
          <c:w val="0.9234104046242777"/>
          <c:h val="0.697674418604653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Exams!$A$249:$A$268</c:f>
            </c:multiLvlStrRef>
          </c:cat>
          <c:val>
            <c:numRef>
              <c:f>Exams!$B$249:$B$268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3795840"/>
        <c:axId val="173854080"/>
      </c:barChart>
      <c:catAx>
        <c:axId val="17379584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8540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38540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7958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67" r="0.75000000000000167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Written and In-Lab</a:t>
            </a:r>
            <a:r>
              <a:rPr lang="en-US" baseline="0"/>
              <a:t> </a:t>
            </a:r>
            <a:r>
              <a:rPr lang="en-US"/>
              <a:t>Exams (</a:t>
            </a:r>
            <a:r>
              <a:rPr lang="en-US" baseline="0"/>
              <a:t>normalized %)</a:t>
            </a:r>
            <a:endParaRPr lang="en-US"/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5"/>
          <c:w val="0.9234104046242777"/>
          <c:h val="0.6976744186046538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Exams!$A$280:$A$299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Exams!$B$280:$B$299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6</c:v>
                </c:pt>
                <c:pt idx="6">
                  <c:v>2</c:v>
                </c:pt>
                <c:pt idx="7">
                  <c:v>7</c:v>
                </c:pt>
                <c:pt idx="8">
                  <c:v>2</c:v>
                </c:pt>
                <c:pt idx="9">
                  <c:v>2</c:v>
                </c:pt>
                <c:pt idx="10">
                  <c:v>10</c:v>
                </c:pt>
                <c:pt idx="11">
                  <c:v>20</c:v>
                </c:pt>
                <c:pt idx="12">
                  <c:v>25</c:v>
                </c:pt>
                <c:pt idx="13">
                  <c:v>41</c:v>
                </c:pt>
                <c:pt idx="14">
                  <c:v>50</c:v>
                </c:pt>
                <c:pt idx="15">
                  <c:v>58</c:v>
                </c:pt>
                <c:pt idx="16">
                  <c:v>61</c:v>
                </c:pt>
                <c:pt idx="17">
                  <c:v>35</c:v>
                </c:pt>
                <c:pt idx="18">
                  <c:v>35</c:v>
                </c:pt>
                <c:pt idx="19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3796352"/>
        <c:axId val="173855808"/>
      </c:barChart>
      <c:catAx>
        <c:axId val="17379635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8558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3855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7963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000" b="1" i="0" u="none" strike="noStrike" baseline="0">
                <a:effectLst/>
              </a:rPr>
              <a:t>All In-Lab Programming Exams (normalized %)</a:t>
            </a:r>
            <a:r>
              <a:rPr lang="en-US"/>
              <a:t>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5"/>
          <c:w val="0.9234104046242777"/>
          <c:h val="0.6976744186046538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Exams!$A$218:$A$237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Exams!$B$218:$B$237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4148096"/>
        <c:axId val="173857536"/>
      </c:barChart>
      <c:catAx>
        <c:axId val="17414809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8575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3857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1480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#1 (normalized %) 
</a:t>
            </a:r>
          </a:p>
        </c:rich>
      </c:tx>
      <c:layout>
        <c:manualLayout>
          <c:xMode val="edge"/>
          <c:yMode val="edge"/>
          <c:x val="0.40895953757225506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31"/>
          <c:w val="0.9234104046242777"/>
          <c:h val="0.697674418604653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Exams!$A$156:$A$175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Exams!$B$156:$B$175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4445824"/>
        <c:axId val="194126400"/>
      </c:barChart>
      <c:catAx>
        <c:axId val="19444582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41264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4126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44458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Written </a:t>
            </a:r>
            <a:r>
              <a:rPr lang="en-US" baseline="0"/>
              <a:t> </a:t>
            </a:r>
            <a:r>
              <a:rPr lang="en-US"/>
              <a:t>Exams (normalized</a:t>
            </a:r>
            <a:r>
              <a:rPr lang="en-US" baseline="0"/>
              <a:t> %</a:t>
            </a:r>
            <a:r>
              <a:rPr lang="en-US"/>
              <a:t>)
</a:t>
            </a:r>
          </a:p>
        </c:rich>
      </c:tx>
      <c:layout/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5"/>
          <c:w val="0.9234104046242777"/>
          <c:h val="0.6976744186046538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Exams!$A$125:$A$144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Exams!$B$125:$B$144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2</c:v>
                </c:pt>
                <c:pt idx="7">
                  <c:v>7</c:v>
                </c:pt>
                <c:pt idx="8">
                  <c:v>2</c:v>
                </c:pt>
                <c:pt idx="9">
                  <c:v>2</c:v>
                </c:pt>
                <c:pt idx="10">
                  <c:v>10</c:v>
                </c:pt>
                <c:pt idx="11">
                  <c:v>20</c:v>
                </c:pt>
                <c:pt idx="12">
                  <c:v>25</c:v>
                </c:pt>
                <c:pt idx="13">
                  <c:v>41</c:v>
                </c:pt>
                <c:pt idx="14">
                  <c:v>50</c:v>
                </c:pt>
                <c:pt idx="15">
                  <c:v>58</c:v>
                </c:pt>
                <c:pt idx="16">
                  <c:v>61</c:v>
                </c:pt>
                <c:pt idx="17">
                  <c:v>35</c:v>
                </c:pt>
                <c:pt idx="18">
                  <c:v>35</c:v>
                </c:pt>
                <c:pt idx="19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4446336"/>
        <c:axId val="194128128"/>
      </c:barChart>
      <c:catAx>
        <c:axId val="19444633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41281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41281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44463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Exams!$F$178:$F$182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Exams!$F$240:$F$244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Exams!$F$147:$F$151</c:f>
              <c:numCache>
                <c:formatCode>0</c:formatCode>
                <c:ptCount val="5"/>
                <c:pt idx="0">
                  <c:v>15</c:v>
                </c:pt>
                <c:pt idx="1">
                  <c:v>25.263157894736842</c:v>
                </c:pt>
                <c:pt idx="2">
                  <c:v>28.421052631578945</c:v>
                </c:pt>
                <c:pt idx="3">
                  <c:v>17.368421052631579</c:v>
                </c:pt>
                <c:pt idx="4">
                  <c:v>12.894736842105264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Exams!$F$302:$F$306</c:f>
              <c:numCache>
                <c:formatCode>0</c:formatCode>
                <c:ptCount val="5"/>
                <c:pt idx="0">
                  <c:v>15</c:v>
                </c:pt>
                <c:pt idx="1">
                  <c:v>25.263157894736842</c:v>
                </c:pt>
                <c:pt idx="2">
                  <c:v>28.421052631578945</c:v>
                </c:pt>
                <c:pt idx="3">
                  <c:v>17.368421052631579</c:v>
                </c:pt>
                <c:pt idx="4">
                  <c:v>13.94736842105263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Exams!$F$85:$F$89</c:f>
              <c:numCache>
                <c:formatCode>0</c:formatCode>
                <c:ptCount val="5"/>
                <c:pt idx="0">
                  <c:v>12.368421052631579</c:v>
                </c:pt>
                <c:pt idx="1">
                  <c:v>28.421052631578945</c:v>
                </c:pt>
                <c:pt idx="2">
                  <c:v>23.684210526315788</c:v>
                </c:pt>
                <c:pt idx="3">
                  <c:v>21.315789473684209</c:v>
                </c:pt>
                <c:pt idx="4">
                  <c:v>14.210526315789473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#2 (normalized %) 
</a:t>
            </a:r>
          </a:p>
        </c:rich>
      </c:tx>
      <c:layout>
        <c:manualLayout>
          <c:xMode val="edge"/>
          <c:yMode val="edge"/>
          <c:x val="0.40895953757225506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31"/>
          <c:w val="0.9234104046242777"/>
          <c:h val="0.6976744186046531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Exams!$A$156:$A$175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Exams!$B$187:$B$206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73796864"/>
        <c:axId val="194660032"/>
      </c:barChart>
      <c:catAx>
        <c:axId val="17379686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46600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4660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7968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44" r="0.75000000000000144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Exams!$F$209:$F$213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Exams!$F$116:$F$120</c:f>
              <c:numCache>
                <c:formatCode>0</c:formatCode>
                <c:ptCount val="5"/>
                <c:pt idx="0">
                  <c:v>14.210526315789473</c:v>
                </c:pt>
                <c:pt idx="1">
                  <c:v>19.736842105263158</c:v>
                </c:pt>
                <c:pt idx="2">
                  <c:v>28.421052631578945</c:v>
                </c:pt>
                <c:pt idx="3">
                  <c:v>20.263157894736842</c:v>
                </c:pt>
                <c:pt idx="4">
                  <c:v>17.368421052631579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2.xml"/><Relationship Id="rId13" Type="http://schemas.openxmlformats.org/officeDocument/2006/relationships/chart" Target="../charts/chart47.xml"/><Relationship Id="rId18" Type="http://schemas.openxmlformats.org/officeDocument/2006/relationships/chart" Target="../charts/chart52.xml"/><Relationship Id="rId3" Type="http://schemas.openxmlformats.org/officeDocument/2006/relationships/chart" Target="../charts/chart37.xml"/><Relationship Id="rId7" Type="http://schemas.openxmlformats.org/officeDocument/2006/relationships/chart" Target="../charts/chart41.xml"/><Relationship Id="rId12" Type="http://schemas.openxmlformats.org/officeDocument/2006/relationships/chart" Target="../charts/chart46.xml"/><Relationship Id="rId17" Type="http://schemas.openxmlformats.org/officeDocument/2006/relationships/chart" Target="../charts/chart51.xml"/><Relationship Id="rId2" Type="http://schemas.openxmlformats.org/officeDocument/2006/relationships/chart" Target="../charts/chart36.xml"/><Relationship Id="rId16" Type="http://schemas.openxmlformats.org/officeDocument/2006/relationships/chart" Target="../charts/chart50.xml"/><Relationship Id="rId1" Type="http://schemas.openxmlformats.org/officeDocument/2006/relationships/chart" Target="../charts/chart35.xml"/><Relationship Id="rId6" Type="http://schemas.openxmlformats.org/officeDocument/2006/relationships/chart" Target="../charts/chart40.xml"/><Relationship Id="rId11" Type="http://schemas.openxmlformats.org/officeDocument/2006/relationships/chart" Target="../charts/chart45.xml"/><Relationship Id="rId5" Type="http://schemas.openxmlformats.org/officeDocument/2006/relationships/chart" Target="../charts/chart39.xml"/><Relationship Id="rId15" Type="http://schemas.openxmlformats.org/officeDocument/2006/relationships/chart" Target="../charts/chart49.xml"/><Relationship Id="rId10" Type="http://schemas.openxmlformats.org/officeDocument/2006/relationships/chart" Target="../charts/chart44.xml"/><Relationship Id="rId4" Type="http://schemas.openxmlformats.org/officeDocument/2006/relationships/chart" Target="../charts/chart38.xml"/><Relationship Id="rId9" Type="http://schemas.openxmlformats.org/officeDocument/2006/relationships/chart" Target="../charts/chart43.xml"/><Relationship Id="rId14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191559</xdr:colOff>
      <xdr:row>0</xdr:row>
      <xdr:rowOff>141816</xdr:rowOff>
    </xdr:from>
    <xdr:to>
      <xdr:col>12</xdr:col>
      <xdr:colOff>191559</xdr:colOff>
      <xdr:row>26</xdr:row>
      <xdr:rowOff>37041</xdr:rowOff>
    </xdr:to>
    <xdr:graphicFrame macro="">
      <xdr:nvGraphicFramePr>
        <xdr:cNvPr id="656785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166159</xdr:colOff>
      <xdr:row>37</xdr:row>
      <xdr:rowOff>133350</xdr:rowOff>
    </xdr:from>
    <xdr:to>
      <xdr:col>12</xdr:col>
      <xdr:colOff>256117</xdr:colOff>
      <xdr:row>63</xdr:row>
      <xdr:rowOff>88900</xdr:rowOff>
    </xdr:to>
    <xdr:graphicFrame macro="">
      <xdr:nvGraphicFramePr>
        <xdr:cNvPr id="6567858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177800</xdr:colOff>
      <xdr:row>74</xdr:row>
      <xdr:rowOff>101600</xdr:rowOff>
    </xdr:from>
    <xdr:to>
      <xdr:col>12</xdr:col>
      <xdr:colOff>215900</xdr:colOff>
      <xdr:row>100</xdr:row>
      <xdr:rowOff>93133</xdr:rowOff>
    </xdr:to>
    <xdr:graphicFrame macro="">
      <xdr:nvGraphicFramePr>
        <xdr:cNvPr id="6567858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322791</xdr:colOff>
      <xdr:row>185</xdr:row>
      <xdr:rowOff>47625</xdr:rowOff>
    </xdr:from>
    <xdr:to>
      <xdr:col>12</xdr:col>
      <xdr:colOff>303741</xdr:colOff>
      <xdr:row>212</xdr:row>
      <xdr:rowOff>19050</xdr:rowOff>
    </xdr:to>
    <xdr:graphicFrame macro="">
      <xdr:nvGraphicFramePr>
        <xdr:cNvPr id="6567858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204258</xdr:colOff>
      <xdr:row>222</xdr:row>
      <xdr:rowOff>98425</xdr:rowOff>
    </xdr:from>
    <xdr:to>
      <xdr:col>12</xdr:col>
      <xdr:colOff>465666</xdr:colOff>
      <xdr:row>249</xdr:row>
      <xdr:rowOff>80433</xdr:rowOff>
    </xdr:to>
    <xdr:graphicFrame macro="">
      <xdr:nvGraphicFramePr>
        <xdr:cNvPr id="6567858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178858</xdr:colOff>
      <xdr:row>261</xdr:row>
      <xdr:rowOff>16933</xdr:rowOff>
    </xdr:from>
    <xdr:to>
      <xdr:col>12</xdr:col>
      <xdr:colOff>455083</xdr:colOff>
      <xdr:row>286</xdr:row>
      <xdr:rowOff>131233</xdr:rowOff>
    </xdr:to>
    <xdr:graphicFrame macro="">
      <xdr:nvGraphicFramePr>
        <xdr:cNvPr id="65678590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19050</xdr:colOff>
      <xdr:row>297</xdr:row>
      <xdr:rowOff>0</xdr:rowOff>
    </xdr:from>
    <xdr:to>
      <xdr:col>13</xdr:col>
      <xdr:colOff>257175</xdr:colOff>
      <xdr:row>297</xdr:row>
      <xdr:rowOff>0</xdr:rowOff>
    </xdr:to>
    <xdr:graphicFrame macro="">
      <xdr:nvGraphicFramePr>
        <xdr:cNvPr id="65678591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600075</xdr:colOff>
      <xdr:row>297</xdr:row>
      <xdr:rowOff>0</xdr:rowOff>
    </xdr:from>
    <xdr:to>
      <xdr:col>13</xdr:col>
      <xdr:colOff>219075</xdr:colOff>
      <xdr:row>297</xdr:row>
      <xdr:rowOff>0</xdr:rowOff>
    </xdr:to>
    <xdr:graphicFrame macro="">
      <xdr:nvGraphicFramePr>
        <xdr:cNvPr id="65678592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262467</xdr:colOff>
      <xdr:row>298</xdr:row>
      <xdr:rowOff>71967</xdr:rowOff>
    </xdr:from>
    <xdr:to>
      <xdr:col>12</xdr:col>
      <xdr:colOff>495301</xdr:colOff>
      <xdr:row>319</xdr:row>
      <xdr:rowOff>110067</xdr:rowOff>
    </xdr:to>
    <xdr:graphicFrame macro="">
      <xdr:nvGraphicFramePr>
        <xdr:cNvPr id="6567859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259291</xdr:colOff>
      <xdr:row>111</xdr:row>
      <xdr:rowOff>74084</xdr:rowOff>
    </xdr:from>
    <xdr:to>
      <xdr:col>12</xdr:col>
      <xdr:colOff>240241</xdr:colOff>
      <xdr:row>138</xdr:row>
      <xdr:rowOff>45509</xdr:rowOff>
    </xdr:to>
    <xdr:graphicFrame macro="">
      <xdr:nvGraphicFramePr>
        <xdr:cNvPr id="6567859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240241</xdr:colOff>
      <xdr:row>148</xdr:row>
      <xdr:rowOff>44450</xdr:rowOff>
    </xdr:from>
    <xdr:to>
      <xdr:col>12</xdr:col>
      <xdr:colOff>221191</xdr:colOff>
      <xdr:row>175</xdr:row>
      <xdr:rowOff>6350</xdr:rowOff>
    </xdr:to>
    <xdr:graphicFrame macro="">
      <xdr:nvGraphicFramePr>
        <xdr:cNvPr id="6567859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222251</xdr:colOff>
      <xdr:row>26</xdr:row>
      <xdr:rowOff>84666</xdr:rowOff>
    </xdr:from>
    <xdr:to>
      <xdr:col>10</xdr:col>
      <xdr:colOff>391586</xdr:colOff>
      <xdr:row>37</xdr:row>
      <xdr:rowOff>84666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222251</xdr:colOff>
      <xdr:row>63</xdr:row>
      <xdr:rowOff>105833</xdr:rowOff>
    </xdr:from>
    <xdr:to>
      <xdr:col>10</xdr:col>
      <xdr:colOff>391586</xdr:colOff>
      <xdr:row>74</xdr:row>
      <xdr:rowOff>105832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169334</xdr:colOff>
      <xdr:row>320</xdr:row>
      <xdr:rowOff>42334</xdr:rowOff>
    </xdr:from>
    <xdr:to>
      <xdr:col>10</xdr:col>
      <xdr:colOff>338669</xdr:colOff>
      <xdr:row>331</xdr:row>
      <xdr:rowOff>52917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211666</xdr:colOff>
      <xdr:row>100</xdr:row>
      <xdr:rowOff>42334</xdr:rowOff>
    </xdr:from>
    <xdr:to>
      <xdr:col>10</xdr:col>
      <xdr:colOff>381001</xdr:colOff>
      <xdr:row>111</xdr:row>
      <xdr:rowOff>42334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137584</xdr:colOff>
      <xdr:row>137</xdr:row>
      <xdr:rowOff>116416</xdr:rowOff>
    </xdr:from>
    <xdr:to>
      <xdr:col>10</xdr:col>
      <xdr:colOff>306919</xdr:colOff>
      <xdr:row>148</xdr:row>
      <xdr:rowOff>116416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137584</xdr:colOff>
      <xdr:row>174</xdr:row>
      <xdr:rowOff>148168</xdr:rowOff>
    </xdr:from>
    <xdr:to>
      <xdr:col>10</xdr:col>
      <xdr:colOff>306919</xdr:colOff>
      <xdr:row>185</xdr:row>
      <xdr:rowOff>148167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</xdr:col>
      <xdr:colOff>137584</xdr:colOff>
      <xdr:row>211</xdr:row>
      <xdr:rowOff>148166</xdr:rowOff>
    </xdr:from>
    <xdr:to>
      <xdr:col>10</xdr:col>
      <xdr:colOff>306919</xdr:colOff>
      <xdr:row>222</xdr:row>
      <xdr:rowOff>148166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52916</xdr:colOff>
      <xdr:row>250</xdr:row>
      <xdr:rowOff>31750</xdr:rowOff>
    </xdr:from>
    <xdr:to>
      <xdr:col>10</xdr:col>
      <xdr:colOff>222251</xdr:colOff>
      <xdr:row>261</xdr:row>
      <xdr:rowOff>42333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74084</xdr:colOff>
      <xdr:row>286</xdr:row>
      <xdr:rowOff>158750</xdr:rowOff>
    </xdr:from>
    <xdr:to>
      <xdr:col>10</xdr:col>
      <xdr:colOff>243419</xdr:colOff>
      <xdr:row>297</xdr:row>
      <xdr:rowOff>158749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66675</xdr:rowOff>
    </xdr:from>
    <xdr:to>
      <xdr:col>12</xdr:col>
      <xdr:colOff>142875</xdr:colOff>
      <xdr:row>23</xdr:row>
      <xdr:rowOff>47625</xdr:rowOff>
    </xdr:to>
    <xdr:graphicFrame macro="">
      <xdr:nvGraphicFramePr>
        <xdr:cNvPr id="6391533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171450</xdr:colOff>
      <xdr:row>35</xdr:row>
      <xdr:rowOff>0</xdr:rowOff>
    </xdr:from>
    <xdr:to>
      <xdr:col>12</xdr:col>
      <xdr:colOff>190500</xdr:colOff>
      <xdr:row>56</xdr:row>
      <xdr:rowOff>85725</xdr:rowOff>
    </xdr:to>
    <xdr:graphicFrame macro="">
      <xdr:nvGraphicFramePr>
        <xdr:cNvPr id="6391533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68</xdr:row>
      <xdr:rowOff>95250</xdr:rowOff>
    </xdr:from>
    <xdr:to>
      <xdr:col>12</xdr:col>
      <xdr:colOff>200025</xdr:colOff>
      <xdr:row>91</xdr:row>
      <xdr:rowOff>114300</xdr:rowOff>
    </xdr:to>
    <xdr:graphicFrame macro="">
      <xdr:nvGraphicFramePr>
        <xdr:cNvPr id="6391533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295275</xdr:colOff>
      <xdr:row>102</xdr:row>
      <xdr:rowOff>76200</xdr:rowOff>
    </xdr:from>
    <xdr:to>
      <xdr:col>12</xdr:col>
      <xdr:colOff>333375</xdr:colOff>
      <xdr:row>124</xdr:row>
      <xdr:rowOff>66675</xdr:rowOff>
    </xdr:to>
    <xdr:graphicFrame macro="">
      <xdr:nvGraphicFramePr>
        <xdr:cNvPr id="6391533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133350</xdr:colOff>
      <xdr:row>136</xdr:row>
      <xdr:rowOff>76200</xdr:rowOff>
    </xdr:from>
    <xdr:to>
      <xdr:col>12</xdr:col>
      <xdr:colOff>76200</xdr:colOff>
      <xdr:row>159</xdr:row>
      <xdr:rowOff>47625</xdr:rowOff>
    </xdr:to>
    <xdr:graphicFrame macro="">
      <xdr:nvGraphicFramePr>
        <xdr:cNvPr id="6391533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228600</xdr:colOff>
      <xdr:row>204</xdr:row>
      <xdr:rowOff>66675</xdr:rowOff>
    </xdr:from>
    <xdr:to>
      <xdr:col>12</xdr:col>
      <xdr:colOff>419100</xdr:colOff>
      <xdr:row>227</xdr:row>
      <xdr:rowOff>0</xdr:rowOff>
    </xdr:to>
    <xdr:graphicFrame macro="">
      <xdr:nvGraphicFramePr>
        <xdr:cNvPr id="63915335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95250</xdr:colOff>
      <xdr:row>170</xdr:row>
      <xdr:rowOff>104775</xdr:rowOff>
    </xdr:from>
    <xdr:to>
      <xdr:col>12</xdr:col>
      <xdr:colOff>133350</xdr:colOff>
      <xdr:row>192</xdr:row>
      <xdr:rowOff>95250</xdr:rowOff>
    </xdr:to>
    <xdr:graphicFrame macro="">
      <xdr:nvGraphicFramePr>
        <xdr:cNvPr id="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276225</xdr:colOff>
      <xdr:row>23</xdr:row>
      <xdr:rowOff>104775</xdr:rowOff>
    </xdr:from>
    <xdr:to>
      <xdr:col>10</xdr:col>
      <xdr:colOff>458260</xdr:colOff>
      <xdr:row>34</xdr:row>
      <xdr:rowOff>70908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238125</xdr:colOff>
      <xdr:row>57</xdr:row>
      <xdr:rowOff>57150</xdr:rowOff>
    </xdr:from>
    <xdr:to>
      <xdr:col>10</xdr:col>
      <xdr:colOff>420160</xdr:colOff>
      <xdr:row>68</xdr:row>
      <xdr:rowOff>23283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142875</xdr:colOff>
      <xdr:row>91</xdr:row>
      <xdr:rowOff>57150</xdr:rowOff>
    </xdr:from>
    <xdr:to>
      <xdr:col>10</xdr:col>
      <xdr:colOff>324910</xdr:colOff>
      <xdr:row>102</xdr:row>
      <xdr:rowOff>23283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257175</xdr:colOff>
      <xdr:row>227</xdr:row>
      <xdr:rowOff>123825</xdr:rowOff>
    </xdr:from>
    <xdr:to>
      <xdr:col>10</xdr:col>
      <xdr:colOff>439210</xdr:colOff>
      <xdr:row>238</xdr:row>
      <xdr:rowOff>99483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209550</xdr:colOff>
      <xdr:row>125</xdr:row>
      <xdr:rowOff>0</xdr:rowOff>
    </xdr:from>
    <xdr:to>
      <xdr:col>10</xdr:col>
      <xdr:colOff>391585</xdr:colOff>
      <xdr:row>135</xdr:row>
      <xdr:rowOff>128058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142875</xdr:colOff>
      <xdr:row>159</xdr:row>
      <xdr:rowOff>95250</xdr:rowOff>
    </xdr:from>
    <xdr:to>
      <xdr:col>10</xdr:col>
      <xdr:colOff>324910</xdr:colOff>
      <xdr:row>170</xdr:row>
      <xdr:rowOff>61383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104775</xdr:colOff>
      <xdr:row>192</xdr:row>
      <xdr:rowOff>152400</xdr:rowOff>
    </xdr:from>
    <xdr:to>
      <xdr:col>10</xdr:col>
      <xdr:colOff>286810</xdr:colOff>
      <xdr:row>203</xdr:row>
      <xdr:rowOff>118533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62</xdr:row>
      <xdr:rowOff>9525</xdr:rowOff>
    </xdr:from>
    <xdr:to>
      <xdr:col>13</xdr:col>
      <xdr:colOff>57150</xdr:colOff>
      <xdr:row>82</xdr:row>
      <xdr:rowOff>0</xdr:rowOff>
    </xdr:to>
    <xdr:graphicFrame macro="">
      <xdr:nvGraphicFramePr>
        <xdr:cNvPr id="6092762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180975</xdr:colOff>
      <xdr:row>92</xdr:row>
      <xdr:rowOff>95249</xdr:rowOff>
    </xdr:from>
    <xdr:to>
      <xdr:col>13</xdr:col>
      <xdr:colOff>66675</xdr:colOff>
      <xdr:row>113</xdr:row>
      <xdr:rowOff>85724</xdr:rowOff>
    </xdr:to>
    <xdr:graphicFrame macro="">
      <xdr:nvGraphicFramePr>
        <xdr:cNvPr id="6092762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390525</xdr:colOff>
      <xdr:row>312</xdr:row>
      <xdr:rowOff>57150</xdr:rowOff>
    </xdr:from>
    <xdr:to>
      <xdr:col>13</xdr:col>
      <xdr:colOff>285750</xdr:colOff>
      <xdr:row>332</xdr:row>
      <xdr:rowOff>104775</xdr:rowOff>
    </xdr:to>
    <xdr:graphicFrame macro="">
      <xdr:nvGraphicFramePr>
        <xdr:cNvPr id="60927624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66675</xdr:colOff>
      <xdr:row>1</xdr:row>
      <xdr:rowOff>9525</xdr:rowOff>
    </xdr:from>
    <xdr:to>
      <xdr:col>13</xdr:col>
      <xdr:colOff>57150</xdr:colOff>
      <xdr:row>21</xdr:row>
      <xdr:rowOff>0</xdr:rowOff>
    </xdr:to>
    <xdr:graphicFrame macro="">
      <xdr:nvGraphicFramePr>
        <xdr:cNvPr id="609276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200025</xdr:colOff>
      <xdr:row>31</xdr:row>
      <xdr:rowOff>19050</xdr:rowOff>
    </xdr:from>
    <xdr:to>
      <xdr:col>13</xdr:col>
      <xdr:colOff>190500</xdr:colOff>
      <xdr:row>51</xdr:row>
      <xdr:rowOff>9525</xdr:rowOff>
    </xdr:to>
    <xdr:graphicFrame macro="">
      <xdr:nvGraphicFramePr>
        <xdr:cNvPr id="6092762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333375</xdr:colOff>
      <xdr:row>247</xdr:row>
      <xdr:rowOff>123825</xdr:rowOff>
    </xdr:from>
    <xdr:to>
      <xdr:col>13</xdr:col>
      <xdr:colOff>219075</xdr:colOff>
      <xdr:row>267</xdr:row>
      <xdr:rowOff>161925</xdr:rowOff>
    </xdr:to>
    <xdr:graphicFrame macro="">
      <xdr:nvGraphicFramePr>
        <xdr:cNvPr id="60927627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104775</xdr:colOff>
      <xdr:row>279</xdr:row>
      <xdr:rowOff>9525</xdr:rowOff>
    </xdr:from>
    <xdr:to>
      <xdr:col>12</xdr:col>
      <xdr:colOff>600075</xdr:colOff>
      <xdr:row>299</xdr:row>
      <xdr:rowOff>38100</xdr:rowOff>
    </xdr:to>
    <xdr:graphicFrame macro="">
      <xdr:nvGraphicFramePr>
        <xdr:cNvPr id="60927628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333375</xdr:colOff>
      <xdr:row>216</xdr:row>
      <xdr:rowOff>123825</xdr:rowOff>
    </xdr:from>
    <xdr:to>
      <xdr:col>13</xdr:col>
      <xdr:colOff>219075</xdr:colOff>
      <xdr:row>236</xdr:row>
      <xdr:rowOff>161925</xdr:rowOff>
    </xdr:to>
    <xdr:graphicFrame macro="">
      <xdr:nvGraphicFramePr>
        <xdr:cNvPr id="15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142875</xdr:colOff>
      <xdr:row>154</xdr:row>
      <xdr:rowOff>152400</xdr:rowOff>
    </xdr:from>
    <xdr:to>
      <xdr:col>13</xdr:col>
      <xdr:colOff>28575</xdr:colOff>
      <xdr:row>175</xdr:row>
      <xdr:rowOff>19050</xdr:rowOff>
    </xdr:to>
    <xdr:graphicFrame macro="">
      <xdr:nvGraphicFramePr>
        <xdr:cNvPr id="1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200025</xdr:colOff>
      <xdr:row>123</xdr:row>
      <xdr:rowOff>123825</xdr:rowOff>
    </xdr:from>
    <xdr:to>
      <xdr:col>13</xdr:col>
      <xdr:colOff>85725</xdr:colOff>
      <xdr:row>143</xdr:row>
      <xdr:rowOff>161925</xdr:rowOff>
    </xdr:to>
    <xdr:graphicFrame macro="">
      <xdr:nvGraphicFramePr>
        <xdr:cNvPr id="20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333375</xdr:colOff>
      <xdr:row>174</xdr:row>
      <xdr:rowOff>133350</xdr:rowOff>
    </xdr:from>
    <xdr:to>
      <xdr:col>9</xdr:col>
      <xdr:colOff>515410</xdr:colOff>
      <xdr:row>185</xdr:row>
      <xdr:rowOff>99483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238125</xdr:colOff>
      <xdr:row>236</xdr:row>
      <xdr:rowOff>161925</xdr:rowOff>
    </xdr:from>
    <xdr:to>
      <xdr:col>9</xdr:col>
      <xdr:colOff>420160</xdr:colOff>
      <xdr:row>278</xdr:row>
      <xdr:rowOff>128058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190500</xdr:colOff>
      <xdr:row>143</xdr:row>
      <xdr:rowOff>152400</xdr:rowOff>
    </xdr:from>
    <xdr:to>
      <xdr:col>9</xdr:col>
      <xdr:colOff>372535</xdr:colOff>
      <xdr:row>154</xdr:row>
      <xdr:rowOff>118533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190500</xdr:colOff>
      <xdr:row>298</xdr:row>
      <xdr:rowOff>161925</xdr:rowOff>
    </xdr:from>
    <xdr:to>
      <xdr:col>9</xdr:col>
      <xdr:colOff>372535</xdr:colOff>
      <xdr:row>341</xdr:row>
      <xdr:rowOff>128058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114300</xdr:colOff>
      <xdr:row>81</xdr:row>
      <xdr:rowOff>123825</xdr:rowOff>
    </xdr:from>
    <xdr:to>
      <xdr:col>9</xdr:col>
      <xdr:colOff>296335</xdr:colOff>
      <xdr:row>92</xdr:row>
      <xdr:rowOff>89958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200025</xdr:colOff>
      <xdr:row>185</xdr:row>
      <xdr:rowOff>114300</xdr:rowOff>
    </xdr:from>
    <xdr:to>
      <xdr:col>13</xdr:col>
      <xdr:colOff>85725</xdr:colOff>
      <xdr:row>205</xdr:row>
      <xdr:rowOff>152400</xdr:rowOff>
    </xdr:to>
    <xdr:graphicFrame macro="">
      <xdr:nvGraphicFramePr>
        <xdr:cNvPr id="2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95250</xdr:colOff>
      <xdr:row>206</xdr:row>
      <xdr:rowOff>19050</xdr:rowOff>
    </xdr:from>
    <xdr:to>
      <xdr:col>9</xdr:col>
      <xdr:colOff>277285</xdr:colOff>
      <xdr:row>216</xdr:row>
      <xdr:rowOff>156633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142875</xdr:colOff>
      <xdr:row>112</xdr:row>
      <xdr:rowOff>152400</xdr:rowOff>
    </xdr:from>
    <xdr:to>
      <xdr:col>9</xdr:col>
      <xdr:colOff>324910</xdr:colOff>
      <xdr:row>123</xdr:row>
      <xdr:rowOff>109008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K413"/>
  <sheetViews>
    <sheetView tabSelected="1" zoomScale="80" zoomScaleNormal="80" workbookViewId="0">
      <selection activeCell="R29" sqref="R29"/>
    </sheetView>
  </sheetViews>
  <sheetFormatPr defaultRowHeight="12.75" x14ac:dyDescent="0.2"/>
  <cols>
    <col min="1" max="1" width="27" bestFit="1" customWidth="1"/>
    <col min="2" max="2" width="5" customWidth="1"/>
    <col min="3" max="8" width="4.42578125" customWidth="1"/>
    <col min="9" max="9" width="4.42578125" style="7" customWidth="1"/>
    <col min="10" max="14" width="4.42578125" customWidth="1"/>
    <col min="15" max="16" width="4.42578125" style="7" customWidth="1"/>
    <col min="17" max="17" width="4.5703125" style="7" customWidth="1"/>
    <col min="18" max="18" width="4.85546875" customWidth="1"/>
    <col min="19" max="19" width="5.28515625" customWidth="1"/>
    <col min="20" max="21" width="4.42578125" customWidth="1"/>
    <col min="22" max="22" width="4.85546875" customWidth="1"/>
    <col min="23" max="23" width="4.5703125" customWidth="1"/>
    <col min="24" max="24" width="5" customWidth="1"/>
    <col min="25" max="25" width="4.42578125" customWidth="1"/>
    <col min="26" max="26" width="7.42578125" style="7" customWidth="1"/>
    <col min="27" max="27" width="6" customWidth="1"/>
    <col min="28" max="28" width="5.5703125" customWidth="1"/>
    <col min="29" max="29" width="6.85546875" customWidth="1"/>
    <col min="30" max="30" width="2.28515625" customWidth="1"/>
    <col min="31" max="31" width="8.28515625" hidden="1" customWidth="1"/>
    <col min="32" max="32" width="6.85546875" style="42" hidden="1" customWidth="1"/>
    <col min="33" max="33" width="2.28515625" style="42" hidden="1" customWidth="1"/>
    <col min="34" max="34" width="7.42578125" style="17" hidden="1" customWidth="1"/>
    <col min="35" max="35" width="6.7109375" style="22" hidden="1" customWidth="1"/>
    <col min="36" max="36" width="2.28515625" style="22" hidden="1" customWidth="1"/>
    <col min="37" max="37" width="9.42578125" style="22" hidden="1" customWidth="1"/>
    <col min="38" max="38" width="8.140625" style="22" hidden="1" customWidth="1"/>
    <col min="39" max="41" width="7" style="22" hidden="1" customWidth="1"/>
    <col min="42" max="42" width="9.42578125" style="9" hidden="1" customWidth="1"/>
    <col min="43" max="43" width="6.5703125" style="22" hidden="1" customWidth="1"/>
    <col min="44" max="44" width="7" style="22" hidden="1" customWidth="1"/>
    <col min="45" max="45" width="6" style="22" hidden="1" customWidth="1"/>
    <col min="46" max="46" width="9.5703125" style="22" hidden="1" customWidth="1"/>
    <col min="47" max="47" width="7.42578125" style="22" hidden="1" customWidth="1"/>
    <col min="48" max="48" width="5.28515625" style="22" hidden="1" customWidth="1"/>
    <col min="49" max="52" width="9.140625" hidden="1" customWidth="1"/>
    <col min="53" max="53" width="9.140625" customWidth="1"/>
  </cols>
  <sheetData>
    <row r="1" spans="1:52" s="4" customFormat="1" ht="13.5" thickBot="1" x14ac:dyDescent="0.25">
      <c r="A1" s="61" t="s">
        <v>78</v>
      </c>
      <c r="B1" s="1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s="8" t="s">
        <v>35</v>
      </c>
      <c r="J1" s="78" t="s">
        <v>62</v>
      </c>
      <c r="K1" s="54" t="s">
        <v>7</v>
      </c>
      <c r="L1" s="54" t="s">
        <v>8</v>
      </c>
      <c r="M1" s="8" t="s">
        <v>9</v>
      </c>
      <c r="N1" s="8" t="s">
        <v>10</v>
      </c>
      <c r="O1" s="19" t="s">
        <v>11</v>
      </c>
      <c r="P1" s="54" t="s">
        <v>46</v>
      </c>
      <c r="Q1" s="54" t="s">
        <v>47</v>
      </c>
      <c r="R1" s="54" t="s">
        <v>67</v>
      </c>
      <c r="S1" s="54" t="s">
        <v>70</v>
      </c>
      <c r="T1" s="57" t="s">
        <v>68</v>
      </c>
      <c r="U1" s="20" t="s">
        <v>63</v>
      </c>
      <c r="V1" s="20" t="s">
        <v>64</v>
      </c>
      <c r="W1" s="20" t="s">
        <v>65</v>
      </c>
      <c r="X1" s="20" t="s">
        <v>66</v>
      </c>
      <c r="Y1" s="57" t="s">
        <v>31</v>
      </c>
      <c r="Z1" s="19" t="s">
        <v>45</v>
      </c>
      <c r="AA1" s="21" t="s">
        <v>28</v>
      </c>
      <c r="AB1" s="21" t="s">
        <v>26</v>
      </c>
      <c r="AC1" s="4" t="s">
        <v>29</v>
      </c>
      <c r="AE1" s="4" t="s">
        <v>32</v>
      </c>
      <c r="AF1" s="41" t="s">
        <v>32</v>
      </c>
      <c r="AG1" s="41"/>
      <c r="AH1" s="8" t="s">
        <v>33</v>
      </c>
      <c r="AI1" s="8" t="s">
        <v>34</v>
      </c>
      <c r="AJ1" s="8"/>
      <c r="AK1" s="8" t="s">
        <v>36</v>
      </c>
      <c r="AL1" s="20" t="s">
        <v>76</v>
      </c>
      <c r="AM1" s="20" t="s">
        <v>77</v>
      </c>
      <c r="AN1" s="54" t="s">
        <v>73</v>
      </c>
      <c r="AO1" s="54" t="s">
        <v>74</v>
      </c>
      <c r="AP1" s="8" t="s">
        <v>40</v>
      </c>
      <c r="AQ1" s="20" t="s">
        <v>75</v>
      </c>
      <c r="AR1" s="8" t="s">
        <v>41</v>
      </c>
      <c r="AS1" s="20" t="s">
        <v>37</v>
      </c>
      <c r="AT1" s="84" t="s">
        <v>53</v>
      </c>
      <c r="AU1" s="8" t="s">
        <v>12</v>
      </c>
      <c r="AV1" s="8"/>
      <c r="AW1" s="4" t="s">
        <v>54</v>
      </c>
    </row>
    <row r="2" spans="1:52" ht="12.75" customHeight="1" x14ac:dyDescent="0.2">
      <c r="A2" s="39" t="s">
        <v>13</v>
      </c>
      <c r="B2" s="2">
        <v>25</v>
      </c>
      <c r="C2" s="23">
        <v>25</v>
      </c>
      <c r="D2" s="23">
        <v>25</v>
      </c>
      <c r="E2" s="23">
        <v>25</v>
      </c>
      <c r="F2" s="23">
        <v>25</v>
      </c>
      <c r="G2" s="23">
        <v>25</v>
      </c>
      <c r="H2" s="23">
        <v>25</v>
      </c>
      <c r="I2" s="23">
        <v>25</v>
      </c>
      <c r="J2" s="2"/>
      <c r="K2" s="23">
        <v>60</v>
      </c>
      <c r="L2" s="23">
        <v>60</v>
      </c>
      <c r="M2" s="23">
        <v>60</v>
      </c>
      <c r="N2" s="23">
        <v>60</v>
      </c>
      <c r="O2" s="52">
        <v>60</v>
      </c>
      <c r="P2" s="2"/>
      <c r="Q2" s="10"/>
      <c r="R2" s="2">
        <v>200</v>
      </c>
      <c r="S2" s="10"/>
      <c r="T2" s="23">
        <v>300</v>
      </c>
      <c r="U2" s="2">
        <f>SUM(B2:I2)</f>
        <v>200</v>
      </c>
      <c r="V2" s="23">
        <f>SUM(J2:O2)</f>
        <v>300</v>
      </c>
      <c r="W2" s="23">
        <f t="shared" ref="W2" si="0">SUM(P2:Q2)</f>
        <v>0</v>
      </c>
      <c r="X2" s="23">
        <f>SUM(R2,T2)</f>
        <v>500</v>
      </c>
      <c r="Y2" s="52">
        <f>MAX(Y9:Y388)</f>
        <v>3</v>
      </c>
      <c r="Z2" s="12">
        <f>SUM(U2:X2)</f>
        <v>1000</v>
      </c>
      <c r="AA2" s="7">
        <f>Z2/Point_Total_So_Far*100</f>
        <v>100</v>
      </c>
      <c r="AB2" s="7"/>
      <c r="AE2" s="7">
        <v>100</v>
      </c>
      <c r="AF2" s="42" t="s">
        <v>29</v>
      </c>
      <c r="AH2" s="22">
        <v>100</v>
      </c>
      <c r="AI2" s="22" t="s">
        <v>29</v>
      </c>
      <c r="AL2" s="81">
        <f>U2</f>
        <v>200</v>
      </c>
      <c r="AM2" s="24">
        <f>V2</f>
        <v>300</v>
      </c>
      <c r="AN2" s="24">
        <f>P2</f>
        <v>0</v>
      </c>
      <c r="AO2" s="24">
        <f>Q2</f>
        <v>0</v>
      </c>
      <c r="AP2" s="24">
        <f>R2</f>
        <v>200</v>
      </c>
      <c r="AQ2" s="29">
        <f>W2</f>
        <v>0</v>
      </c>
      <c r="AR2" s="29">
        <f>T2</f>
        <v>300</v>
      </c>
      <c r="AS2" s="29">
        <f>X2</f>
        <v>500</v>
      </c>
      <c r="AT2" s="85">
        <f>SUM(W2,X2)</f>
        <v>500</v>
      </c>
      <c r="AU2" s="22">
        <v>100</v>
      </c>
    </row>
    <row r="3" spans="1:52" ht="12.75" customHeight="1" x14ac:dyDescent="0.2">
      <c r="A3" s="39" t="s">
        <v>17</v>
      </c>
      <c r="B3" s="2">
        <f t="shared" ref="B3:G3" si="1">COUNTIF(B9:B388,"&gt;=0")</f>
        <v>372</v>
      </c>
      <c r="C3" s="10">
        <f t="shared" si="1"/>
        <v>377</v>
      </c>
      <c r="D3" s="10">
        <f t="shared" si="1"/>
        <v>369</v>
      </c>
      <c r="E3" s="10">
        <f t="shared" si="1"/>
        <v>371</v>
      </c>
      <c r="F3" s="10">
        <f t="shared" si="1"/>
        <v>373</v>
      </c>
      <c r="G3" s="10">
        <f t="shared" si="1"/>
        <v>364</v>
      </c>
      <c r="H3" s="10">
        <f t="shared" ref="H3:I3" si="2">COUNTIF(H9:H388,"&gt;=0")</f>
        <v>354</v>
      </c>
      <c r="I3" s="10">
        <f t="shared" si="2"/>
        <v>356</v>
      </c>
      <c r="J3" s="2"/>
      <c r="K3" s="10">
        <f>COUNTIF(K9:K388,"&gt;=0")</f>
        <v>375</v>
      </c>
      <c r="L3" s="10">
        <f>COUNTIF(L9:L388,"&gt;=0")</f>
        <v>371</v>
      </c>
      <c r="M3" s="10">
        <f>COUNTIF(M9:M388,"&gt;=0")</f>
        <v>368</v>
      </c>
      <c r="N3" s="10">
        <f>COUNTIF(N9:N388,"&gt;=0")</f>
        <v>362</v>
      </c>
      <c r="O3" s="12">
        <f>COUNTIF(O9:O388,"&gt;=0")</f>
        <v>353</v>
      </c>
      <c r="P3" s="2"/>
      <c r="Q3" s="10"/>
      <c r="R3" s="2">
        <f>COUNTIF(R9:R388,"&gt;=0")</f>
        <v>376</v>
      </c>
      <c r="S3" s="10"/>
      <c r="T3" s="12">
        <f t="shared" ref="T3:Y3" si="3">COUNTIF(T9:T388,"&gt;=0")</f>
        <v>361</v>
      </c>
      <c r="U3" s="2">
        <f t="shared" si="3"/>
        <v>380</v>
      </c>
      <c r="V3" s="10">
        <f t="shared" si="3"/>
        <v>380</v>
      </c>
      <c r="W3" s="10">
        <f t="shared" si="3"/>
        <v>380</v>
      </c>
      <c r="X3" s="10">
        <f t="shared" si="3"/>
        <v>380</v>
      </c>
      <c r="Y3" s="12">
        <f t="shared" si="3"/>
        <v>290</v>
      </c>
      <c r="Z3" s="12"/>
      <c r="AA3" s="2">
        <f>COUNTIF(AA9:AA388,"&gt;=0")</f>
        <v>380</v>
      </c>
      <c r="AB3" s="10"/>
      <c r="AC3" s="7"/>
      <c r="AD3" s="7"/>
      <c r="AE3" s="10">
        <f>COUNTIF(AE9:AE388,"&gt;=0")</f>
        <v>380</v>
      </c>
      <c r="AF3" s="44"/>
      <c r="AG3" s="44"/>
      <c r="AH3" s="10">
        <f>COUNTIF(AH9:AH388,"&gt;=0")</f>
        <v>380</v>
      </c>
      <c r="AL3" s="81">
        <f t="shared" ref="AL3:AR3" si="4">COUNTIF(AL9:AL388,"&gt;=0")</f>
        <v>379</v>
      </c>
      <c r="AM3" s="24">
        <f t="shared" si="4"/>
        <v>378</v>
      </c>
      <c r="AN3" s="29">
        <f t="shared" si="4"/>
        <v>0</v>
      </c>
      <c r="AO3" s="24">
        <f t="shared" si="4"/>
        <v>0</v>
      </c>
      <c r="AP3" s="24">
        <f t="shared" si="4"/>
        <v>380</v>
      </c>
      <c r="AQ3" s="29">
        <f t="shared" si="4"/>
        <v>0</v>
      </c>
      <c r="AR3" s="10">
        <f t="shared" si="4"/>
        <v>380</v>
      </c>
      <c r="AS3" s="9"/>
      <c r="AT3" s="85"/>
      <c r="AU3" s="22">
        <f>COUNTIF(AU9:AU388,"&gt;=0")</f>
        <v>380</v>
      </c>
    </row>
    <row r="4" spans="1:52" ht="12.75" customHeight="1" x14ac:dyDescent="0.2">
      <c r="A4" s="39" t="s">
        <v>19</v>
      </c>
      <c r="B4" s="49">
        <f t="shared" ref="B4:G4" si="5">SUMIF(B9:B388,"&gt;=0")/B3</f>
        <v>21.672043010752688</v>
      </c>
      <c r="C4" s="50">
        <f t="shared" si="5"/>
        <v>22.299734748010611</v>
      </c>
      <c r="D4" s="50">
        <f t="shared" si="5"/>
        <v>21.433604336043359</v>
      </c>
      <c r="E4" s="50">
        <f t="shared" si="5"/>
        <v>21.366576819407008</v>
      </c>
      <c r="F4" s="50">
        <f t="shared" si="5"/>
        <v>20.10455764075067</v>
      </c>
      <c r="G4" s="50">
        <f t="shared" si="5"/>
        <v>22.931318681318682</v>
      </c>
      <c r="H4" s="50">
        <f t="shared" ref="H4:I4" si="6">SUMIF(H9:H388,"&gt;=0")/H3</f>
        <v>19.209039548022599</v>
      </c>
      <c r="I4" s="10">
        <f t="shared" si="6"/>
        <v>22.99438202247191</v>
      </c>
      <c r="J4" s="49"/>
      <c r="K4" s="50">
        <f>SUMIF(K9:K388,"&gt;=0")/K3</f>
        <v>53.354666666666667</v>
      </c>
      <c r="L4" s="50">
        <f>SUMIF(L9:L388,"&gt;=0")/L3</f>
        <v>51.150943396226417</v>
      </c>
      <c r="M4" s="50">
        <f>SUMIF(M9:M388,"&gt;=0")/M3</f>
        <v>49.720108695652172</v>
      </c>
      <c r="N4" s="50">
        <f>SUMIF(N9:N388,"&gt;=0")/N3</f>
        <v>48.041436464088399</v>
      </c>
      <c r="O4" s="12">
        <f>SUMIF(O9:O388,"&gt;=0")/O3</f>
        <v>55.215297450424927</v>
      </c>
      <c r="P4" s="49"/>
      <c r="Q4" s="10"/>
      <c r="R4" s="49">
        <f>SUMIF(R9:R388,"&gt;=0")/R3</f>
        <v>120.99468085106383</v>
      </c>
      <c r="S4" s="50"/>
      <c r="T4" s="12">
        <f t="shared" ref="T4:Y4" si="7">SUMIF(T9:T388,"&gt;=0")/T3</f>
        <v>178.90858725761774</v>
      </c>
      <c r="U4" s="49">
        <f t="shared" si="7"/>
        <v>166.15</v>
      </c>
      <c r="V4" s="50">
        <f t="shared" si="7"/>
        <v>247.8</v>
      </c>
      <c r="W4" s="50">
        <f t="shared" si="7"/>
        <v>0</v>
      </c>
      <c r="X4" s="50">
        <f t="shared" si="7"/>
        <v>298.34974010437156</v>
      </c>
      <c r="Y4" s="62">
        <f t="shared" si="7"/>
        <v>3</v>
      </c>
      <c r="Z4" s="45">
        <f>AVERAGE(Z9:Z387)</f>
        <v>714.38129890144705</v>
      </c>
      <c r="AA4" s="49">
        <f>SUM(AA9:AA388)/AA3</f>
        <v>78.968594567990024</v>
      </c>
      <c r="AB4" s="7"/>
      <c r="AE4" s="50">
        <f>SUM(AE9:AE388)/AE3</f>
        <v>74.689294399137978</v>
      </c>
      <c r="AH4" s="26">
        <f>SUM(AH9:AH388)/AH3</f>
        <v>80.242074839032156</v>
      </c>
      <c r="AL4" s="81">
        <f>SUMIF(AL9:AL388,"&gt;=0")/AL3</f>
        <v>83.294195250659627</v>
      </c>
      <c r="AM4" s="24">
        <f>SUMIF(AM9:AM388,"&gt;=0")/AM3</f>
        <v>83.037037037037024</v>
      </c>
      <c r="AN4" s="29" t="e">
        <f>SUMIF(AN9:AN388,"&gt;=0")/AN3</f>
        <v>#DIV/0!</v>
      </c>
      <c r="AO4" s="24" t="e">
        <f>SUMIF(AO9:AO388,"&gt;=0")/AO3</f>
        <v>#DIV/0!</v>
      </c>
      <c r="AP4" s="24">
        <f>SUMIF(AP9:AP388,"&gt;=0")/AP3</f>
        <v>74.363185890257213</v>
      </c>
      <c r="AQ4" s="29" t="e">
        <f>AVERAGE(AQ9:AQ388)</f>
        <v>#DIV/0!</v>
      </c>
      <c r="AR4" s="10">
        <f>SUMIF(AR9:AR388,"&gt;=0")/AR3</f>
        <v>72.018190212372986</v>
      </c>
      <c r="AS4" s="24">
        <f>AVERAGE(AS9:AS388)</f>
        <v>75.324081080211101</v>
      </c>
      <c r="AT4" s="86">
        <f>AVERAGE(AT9:AT388)</f>
        <v>74.689294399137978</v>
      </c>
      <c r="AU4" s="29">
        <f>AVERAGE(AU9:AU388)</f>
        <v>78.968594567990024</v>
      </c>
      <c r="AW4" t="s">
        <v>59</v>
      </c>
      <c r="AX4" t="e">
        <f>#REF!</f>
        <v>#REF!</v>
      </c>
    </row>
    <row r="5" spans="1:52" ht="12.75" customHeight="1" x14ac:dyDescent="0.2">
      <c r="A5" s="47" t="s">
        <v>22</v>
      </c>
      <c r="B5" s="2">
        <f t="shared" ref="B5:G5" si="8">MEDIAN(B9:B388)</f>
        <v>25</v>
      </c>
      <c r="C5" s="10">
        <f t="shared" si="8"/>
        <v>23</v>
      </c>
      <c r="D5" s="10">
        <f t="shared" si="8"/>
        <v>22</v>
      </c>
      <c r="E5" s="10">
        <f t="shared" si="8"/>
        <v>22</v>
      </c>
      <c r="F5" s="10">
        <f t="shared" si="8"/>
        <v>21</v>
      </c>
      <c r="G5" s="10">
        <f t="shared" si="8"/>
        <v>25</v>
      </c>
      <c r="H5" s="10">
        <f t="shared" ref="H5:I5" si="9">MEDIAN(H9:H388)</f>
        <v>22</v>
      </c>
      <c r="I5" s="10">
        <f t="shared" si="9"/>
        <v>25</v>
      </c>
      <c r="J5" s="2"/>
      <c r="K5" s="10">
        <f>MEDIAN(K9:K388)</f>
        <v>57</v>
      </c>
      <c r="L5" s="10">
        <f>MEDIAN(L9:L388)</f>
        <v>58</v>
      </c>
      <c r="M5" s="10">
        <f>MEDIAN(M9:M388)</f>
        <v>57</v>
      </c>
      <c r="N5" s="10">
        <f>MEDIAN(N9:N388)</f>
        <v>55.5</v>
      </c>
      <c r="O5" s="12">
        <f>MEDIAN(O9:O388)</f>
        <v>60</v>
      </c>
      <c r="P5" s="2"/>
      <c r="Q5" s="10"/>
      <c r="R5" s="2">
        <f>MEDIAN(R9:R388)</f>
        <v>123</v>
      </c>
      <c r="S5" s="10"/>
      <c r="T5" s="12">
        <f t="shared" ref="T5:Y5" si="10">MEDIAN(T9:T388)</f>
        <v>179</v>
      </c>
      <c r="U5" s="2">
        <f t="shared" si="10"/>
        <v>175</v>
      </c>
      <c r="V5" s="10">
        <f t="shared" si="10"/>
        <v>274</v>
      </c>
      <c r="W5" s="10">
        <f t="shared" si="10"/>
        <v>0</v>
      </c>
      <c r="X5" s="10">
        <f t="shared" si="10"/>
        <v>306.36114467299268</v>
      </c>
      <c r="Y5" s="12">
        <f t="shared" si="10"/>
        <v>3</v>
      </c>
      <c r="Z5" s="45"/>
      <c r="AA5" s="2">
        <f>MEDIAN(AA9:AA388)</f>
        <v>81.51523545706371</v>
      </c>
      <c r="AB5" s="7"/>
      <c r="AE5" s="10">
        <f>MEDIAN(AE9:AE388)</f>
        <v>76.291575312862221</v>
      </c>
      <c r="AH5" s="26">
        <f>MEDIAN(AH9:AH388)</f>
        <v>82.014509783697747</v>
      </c>
      <c r="AL5" s="81">
        <f t="shared" ref="AL5:AR5" si="11">MEDIAN(AL9:AL388)</f>
        <v>87.5</v>
      </c>
      <c r="AM5" s="24">
        <f t="shared" si="11"/>
        <v>91.333333333333329</v>
      </c>
      <c r="AN5" s="29" t="e">
        <f t="shared" si="11"/>
        <v>#NUM!</v>
      </c>
      <c r="AO5" s="24" t="e">
        <f t="shared" si="11"/>
        <v>#NUM!</v>
      </c>
      <c r="AP5" s="24">
        <f t="shared" si="11"/>
        <v>76.002659574468083</v>
      </c>
      <c r="AQ5" s="29" t="e">
        <f t="shared" si="11"/>
        <v>#NUM!</v>
      </c>
      <c r="AR5" s="10">
        <f t="shared" si="11"/>
        <v>74.363804247460749</v>
      </c>
      <c r="AS5" s="24">
        <f>MEDIAN(AS9:AS387)</f>
        <v>76.363804247460749</v>
      </c>
      <c r="AT5" s="86">
        <f>MEDIAN(AT9:AT387)</f>
        <v>76.21934637826368</v>
      </c>
      <c r="AU5" s="29">
        <f>MEDIAN(AU9:AU388)</f>
        <v>81.51523545706371</v>
      </c>
      <c r="AW5" t="s">
        <v>60</v>
      </c>
      <c r="AX5" t="e">
        <f>#REF!</f>
        <v>#REF!</v>
      </c>
    </row>
    <row r="6" spans="1:52" ht="12.75" customHeight="1" x14ac:dyDescent="0.2">
      <c r="A6" s="47" t="s">
        <v>43</v>
      </c>
      <c r="B6" s="14">
        <f t="shared" ref="B6" si="12">B4*100/B2</f>
        <v>86.688172043010752</v>
      </c>
      <c r="C6" s="15">
        <f t="shared" ref="C6:D6" si="13">C4*100/C2</f>
        <v>89.198938992042443</v>
      </c>
      <c r="D6" s="15">
        <f t="shared" si="13"/>
        <v>85.734417344173437</v>
      </c>
      <c r="E6" s="15">
        <f t="shared" ref="E6:F6" si="14">E4*100/E2</f>
        <v>85.466307277628033</v>
      </c>
      <c r="F6" s="15">
        <f t="shared" si="14"/>
        <v>80.41823056300268</v>
      </c>
      <c r="G6" s="15">
        <f t="shared" ref="G6:H6" si="15">G4*100/G2</f>
        <v>91.725274725274716</v>
      </c>
      <c r="H6" s="15">
        <f t="shared" si="15"/>
        <v>76.836158192090394</v>
      </c>
      <c r="I6" s="15">
        <f t="shared" ref="I6" si="16">I4*100/I2</f>
        <v>91.977528089887642</v>
      </c>
      <c r="J6" s="14"/>
      <c r="K6" s="15">
        <f t="shared" ref="K6:L6" si="17">K4*100/K2</f>
        <v>88.924444444444433</v>
      </c>
      <c r="L6" s="15">
        <f t="shared" si="17"/>
        <v>85.25157232704403</v>
      </c>
      <c r="M6" s="15">
        <f t="shared" ref="M6:N6" si="18">M4*100/M2</f>
        <v>82.866847826086953</v>
      </c>
      <c r="N6" s="15">
        <f t="shared" si="18"/>
        <v>80.069060773480672</v>
      </c>
      <c r="O6" s="56">
        <f t="shared" ref="O6" si="19">O4*100/O2</f>
        <v>92.025495750708203</v>
      </c>
      <c r="P6" s="14"/>
      <c r="Q6" s="15"/>
      <c r="R6" s="14">
        <f t="shared" ref="R6" si="20">R4*100/R2</f>
        <v>60.497340425531917</v>
      </c>
      <c r="S6" s="15"/>
      <c r="T6" s="15">
        <f t="shared" ref="T6" si="21">T4*100/T2</f>
        <v>59.636195752539244</v>
      </c>
      <c r="U6" s="14">
        <f t="shared" ref="U6" si="22">U4*100/U2</f>
        <v>83.075000000000003</v>
      </c>
      <c r="V6" s="15">
        <f t="shared" ref="V6:W6" si="23">V4*100/V2</f>
        <v>82.6</v>
      </c>
      <c r="W6" s="15" t="e">
        <f t="shared" si="23"/>
        <v>#DIV/0!</v>
      </c>
      <c r="X6" s="15">
        <f t="shared" ref="X6:Y6" si="24">X4*100/X2</f>
        <v>59.669948020874308</v>
      </c>
      <c r="Y6" s="56">
        <f t="shared" si="24"/>
        <v>100</v>
      </c>
      <c r="Z6" s="45" t="e">
        <f>AVERAGE(U6:Y6)</f>
        <v>#DIV/0!</v>
      </c>
      <c r="AA6" s="14">
        <f>AA4*100/AA2</f>
        <v>78.968594567990024</v>
      </c>
      <c r="AB6" s="15"/>
      <c r="AE6" s="15">
        <f>AE4*100/AE2</f>
        <v>74.689294399137978</v>
      </c>
      <c r="AH6" s="26">
        <f>AH4*100/AH2</f>
        <v>80.242074839032156</v>
      </c>
      <c r="AL6" s="81"/>
      <c r="AM6" s="24"/>
      <c r="AN6" s="24"/>
      <c r="AO6" s="24"/>
      <c r="AP6" s="24"/>
      <c r="AR6" s="15"/>
      <c r="AT6" s="85"/>
    </row>
    <row r="7" spans="1:52" ht="12.75" customHeight="1" x14ac:dyDescent="0.2">
      <c r="A7" s="47" t="s">
        <v>44</v>
      </c>
      <c r="B7" s="14">
        <f t="shared" ref="B7" si="25">B5*100/B2</f>
        <v>100</v>
      </c>
      <c r="C7" s="15">
        <f t="shared" ref="C7:D7" si="26">C5*100/C2</f>
        <v>92</v>
      </c>
      <c r="D7" s="15">
        <f t="shared" si="26"/>
        <v>88</v>
      </c>
      <c r="E7" s="15">
        <f t="shared" ref="E7:F7" si="27">E5*100/E2</f>
        <v>88</v>
      </c>
      <c r="F7" s="15">
        <f t="shared" si="27"/>
        <v>84</v>
      </c>
      <c r="G7" s="15">
        <f t="shared" ref="G7:H7" si="28">G5*100/G2</f>
        <v>100</v>
      </c>
      <c r="H7" s="15">
        <f t="shared" si="28"/>
        <v>88</v>
      </c>
      <c r="I7" s="15">
        <f t="shared" ref="I7" si="29">I5*100/I2</f>
        <v>100</v>
      </c>
      <c r="J7" s="14"/>
      <c r="K7" s="15">
        <f t="shared" ref="K7:L7" si="30">K5*100/K2</f>
        <v>95</v>
      </c>
      <c r="L7" s="15">
        <f t="shared" si="30"/>
        <v>96.666666666666671</v>
      </c>
      <c r="M7" s="15">
        <f t="shared" ref="M7:N7" si="31">M5*100/M2</f>
        <v>95</v>
      </c>
      <c r="N7" s="15">
        <f t="shared" si="31"/>
        <v>92.5</v>
      </c>
      <c r="O7" s="56">
        <f t="shared" ref="O7" si="32">O5*100/O2</f>
        <v>100</v>
      </c>
      <c r="P7" s="14"/>
      <c r="Q7" s="15"/>
      <c r="R7" s="14">
        <f t="shared" ref="R7" si="33">R5*100/R2</f>
        <v>61.5</v>
      </c>
      <c r="S7" s="15"/>
      <c r="T7" s="15">
        <f t="shared" ref="T7" si="34">T5*100/T2</f>
        <v>59.666666666666664</v>
      </c>
      <c r="U7" s="14">
        <f t="shared" ref="U7" si="35">U5*100/U2</f>
        <v>87.5</v>
      </c>
      <c r="V7" s="15">
        <f>V5*100/V2</f>
        <v>91.333333333333329</v>
      </c>
      <c r="W7" s="15" t="e">
        <f t="shared" ref="W7" si="36">W5*100/W2</f>
        <v>#DIV/0!</v>
      </c>
      <c r="X7" s="15">
        <f t="shared" ref="X7:Y7" si="37">X5*100/X2</f>
        <v>61.27222893459853</v>
      </c>
      <c r="Y7" s="56">
        <f t="shared" si="37"/>
        <v>100</v>
      </c>
      <c r="Z7" s="45"/>
      <c r="AA7" s="14">
        <f>AA5*100/AA2</f>
        <v>81.51523545706371</v>
      </c>
      <c r="AB7" s="15"/>
      <c r="AC7" s="53"/>
      <c r="AE7" s="15">
        <f>AE5*100/AE2</f>
        <v>76.291575312862221</v>
      </c>
      <c r="AH7" s="26">
        <f>AH5*100/AH2</f>
        <v>82.014509783697747</v>
      </c>
      <c r="AL7" s="81"/>
      <c r="AM7" s="24"/>
      <c r="AN7" s="24"/>
      <c r="AO7" s="24"/>
      <c r="AP7" s="24"/>
      <c r="AR7" s="15"/>
      <c r="AT7" s="85"/>
    </row>
    <row r="8" spans="1:52" s="4" customFormat="1" ht="12.75" customHeight="1" thickBot="1" x14ac:dyDescent="0.25">
      <c r="A8" s="38" t="s">
        <v>42</v>
      </c>
      <c r="B8" s="5">
        <f t="shared" ref="B8" si="38">IF(B6&lt;75,(75-B6)/100*B2,0)</f>
        <v>0</v>
      </c>
      <c r="C8" s="6">
        <f t="shared" ref="C8:D8" si="39">IF(C6&lt;75,(75-C6)/100*C2,0)</f>
        <v>0</v>
      </c>
      <c r="D8" s="6">
        <f t="shared" si="39"/>
        <v>0</v>
      </c>
      <c r="E8" s="6">
        <f t="shared" ref="E8:F8" si="40">IF(E6&lt;75,(75-E6)/100*E2,0)</f>
        <v>0</v>
      </c>
      <c r="F8" s="6">
        <f t="shared" si="40"/>
        <v>0</v>
      </c>
      <c r="G8" s="6">
        <f t="shared" ref="G8:H8" si="41">IF(G6&lt;75,(75-G6)/100*G2,0)</f>
        <v>0</v>
      </c>
      <c r="H8" s="6">
        <f t="shared" si="41"/>
        <v>0</v>
      </c>
      <c r="I8" s="6">
        <f t="shared" ref="I8" si="42">IF(I6&lt;75,(75-I6)/100*I2,0)</f>
        <v>0</v>
      </c>
      <c r="J8" s="5"/>
      <c r="K8" s="6">
        <f t="shared" ref="K8:L8" si="43">IF(K6&lt;75,(75-K6)/100*K2,0)</f>
        <v>0</v>
      </c>
      <c r="L8" s="6">
        <f t="shared" si="43"/>
        <v>0</v>
      </c>
      <c r="M8" s="6">
        <f t="shared" ref="M8:N8" si="44">IF(M6&lt;75,(75-M6)/100*M2,0)</f>
        <v>0</v>
      </c>
      <c r="N8" s="6">
        <f t="shared" si="44"/>
        <v>0</v>
      </c>
      <c r="O8" s="33">
        <f t="shared" ref="O8" si="45">IF(O6&lt;75,(75-O6)/100*O2,0)</f>
        <v>0</v>
      </c>
      <c r="P8" s="5"/>
      <c r="Q8" s="28"/>
      <c r="R8" s="5">
        <f t="shared" ref="R8" si="46">IF(R6&lt;75,(75-R6)/100*R2,0)</f>
        <v>29.005319148936167</v>
      </c>
      <c r="S8" s="28"/>
      <c r="T8" s="6">
        <f t="shared" ref="T8" si="47">IF(T6&lt;75,(75-T6)/100*T2,0)</f>
        <v>46.091412742382268</v>
      </c>
      <c r="U8" s="63">
        <f t="shared" ref="U8" si="48">SUM(B8:I8)</f>
        <v>0</v>
      </c>
      <c r="V8" s="28">
        <f t="shared" ref="V8" si="49">SUM(J8:O8)</f>
        <v>0</v>
      </c>
      <c r="W8" s="28">
        <f t="shared" ref="W8" si="50">SUM(P8:Q8)</f>
        <v>0</v>
      </c>
      <c r="X8" s="28">
        <f>SUM(R8,T8)</f>
        <v>75.096731891318427</v>
      </c>
      <c r="Y8" s="33"/>
      <c r="Z8" s="46">
        <f>SUM(U8:X8)</f>
        <v>75.096731891318427</v>
      </c>
      <c r="AA8" s="6"/>
      <c r="AB8" s="6"/>
      <c r="AF8" s="41"/>
      <c r="AG8" s="41"/>
      <c r="AH8" s="64">
        <v>100</v>
      </c>
      <c r="AI8" s="8"/>
      <c r="AJ8" s="8"/>
      <c r="AK8" s="8"/>
      <c r="AL8" s="90">
        <f>U8</f>
        <v>0</v>
      </c>
      <c r="AM8" s="32">
        <f>V8</f>
        <v>0</v>
      </c>
      <c r="AN8" s="59">
        <f>P8</f>
        <v>0</v>
      </c>
      <c r="AO8" s="32">
        <f>Q8</f>
        <v>0</v>
      </c>
      <c r="AP8" s="32">
        <f>R8</f>
        <v>29.005319148936167</v>
      </c>
      <c r="AQ8" s="59">
        <f>SUM(P8:Q8)</f>
        <v>0</v>
      </c>
      <c r="AR8" s="59">
        <f>T8</f>
        <v>46.091412742382268</v>
      </c>
      <c r="AS8" s="32">
        <f>X8</f>
        <v>75.096731891318427</v>
      </c>
      <c r="AT8" s="87">
        <f>SUM(W8,X8)</f>
        <v>75.096731891318427</v>
      </c>
      <c r="AU8" s="8"/>
      <c r="AV8" s="8"/>
    </row>
    <row r="9" spans="1:52" s="27" customFormat="1" ht="12.75" customHeight="1" x14ac:dyDescent="0.2">
      <c r="A9" s="50">
        <v>64</v>
      </c>
      <c r="B9" s="2">
        <v>25</v>
      </c>
      <c r="C9" s="50">
        <v>19</v>
      </c>
      <c r="D9" s="10">
        <v>23</v>
      </c>
      <c r="E9" s="10">
        <v>20</v>
      </c>
      <c r="F9" s="10">
        <v>23</v>
      </c>
      <c r="G9" s="10">
        <v>25</v>
      </c>
      <c r="H9" s="10">
        <v>11</v>
      </c>
      <c r="I9" s="10">
        <v>17</v>
      </c>
      <c r="J9" s="2"/>
      <c r="K9" s="10">
        <v>62</v>
      </c>
      <c r="L9" s="10">
        <v>60</v>
      </c>
      <c r="M9" s="10">
        <v>60</v>
      </c>
      <c r="N9" s="51">
        <v>51</v>
      </c>
      <c r="O9" s="79">
        <v>42</v>
      </c>
      <c r="P9" s="10"/>
      <c r="Q9" s="40"/>
      <c r="R9" s="55">
        <v>140</v>
      </c>
      <c r="S9" s="10">
        <f>IF(T9="",R9,MAX((R9+$R$8)/$R$2,(T9+$T$8)/$T$2)*$R$2-$R$8)</f>
        <v>140</v>
      </c>
      <c r="T9" s="62">
        <v>177</v>
      </c>
      <c r="U9" s="23">
        <f>IF(A9&lt;&gt;"",SUM(B9:I9),"")</f>
        <v>163</v>
      </c>
      <c r="V9" s="23">
        <f>IF(A9&lt;&gt;"",SUM(J9:O9),"")</f>
        <v>275</v>
      </c>
      <c r="W9" s="23">
        <f>IF(A9&lt;&gt;"",SUM(P9:Q9),"")</f>
        <v>0</v>
      </c>
      <c r="X9" s="23">
        <f>IF(A9&lt;&gt;"",SUM(S9:T9),"")</f>
        <v>317</v>
      </c>
      <c r="Y9" s="12" t="s">
        <v>69</v>
      </c>
      <c r="Z9" s="12">
        <f>IF(A9&lt;&gt;"",SUM(U9:Y9),"")</f>
        <v>755</v>
      </c>
      <c r="AA9" s="27">
        <f>IF(A9&lt;&gt;"",(Z9+Normalize_To_Add)/(Point_Total_So_Far)*100,"")</f>
        <v>83.009673189131831</v>
      </c>
      <c r="AB9" s="10">
        <f>IF(A9&lt;&gt;"",RANK(AA9,All_Student_XC),"")</f>
        <v>175</v>
      </c>
      <c r="AC9" s="31" t="str">
        <f>IF(A9&lt;&gt;"",CHOOSE(10-MIN(9,TRUNC((AA9+0.5)/10)),"A","B","C","D","F","F","F","F","F","F"),"")</f>
        <v>B</v>
      </c>
      <c r="AD9" s="31" t="str">
        <f>IF(A9&lt;&gt;"",IF(OR(AA9+0.5&gt;=93,AA9+0.5&lt;60),"",IF(MOD(AA9+0.5,10)&gt;=7,"+",IF(MOD(AA9+0.5,10)&lt;3,"-",""))),"")</f>
        <v/>
      </c>
      <c r="AE9" s="31">
        <f>IF(A9&lt;&gt;"",SUM(W9:X9,$W$8:$X$8)/SUM($W$2:$X$2)*100,"")</f>
        <v>78.419346378263683</v>
      </c>
      <c r="AF9" s="43" t="str">
        <f>IF(A9&lt;&gt;"",CHOOSE(10-MIN(9,TRUNC((AE9+0.5)/10)),"A","B","C","D","F","F","F","F","F","F"),"")</f>
        <v>C</v>
      </c>
      <c r="AG9" s="43" t="str">
        <f>IF(A9&lt;&gt;"",IF(OR(AE9+0.5&gt;=93,AE9+0.5&lt;60),"",IF(MOD(AE9+0.5,10)&gt;=7,"+",IF(MOD(AE9+0.5,10)&lt;3,"-",""))),"")</f>
        <v>+</v>
      </c>
      <c r="AH9" s="35">
        <f>IF(A9&lt;&gt;"",MIN(MAX(AA9,AE9),AA9+$AH$8,AE9+$AH$8),"")</f>
        <v>83.009673189131831</v>
      </c>
      <c r="AI9" s="31" t="str">
        <f>IF(A9&lt;&gt;"",CHOOSE(10-MIN(9,TRUNC((AH9+0.5)/10)),"A","B","C","D","F","F","F","F","F","F"),"")</f>
        <v>B</v>
      </c>
      <c r="AJ9" s="31" t="str">
        <f>IF(A9&lt;&gt;"",IF(OR(AH9+0.5&gt;=93,AH9+0.5&lt;60),"",IF(MOD(AH9+0.5,10)&gt;=7,"+",IF(MOD(AH9+0.5,10)&lt;3,"-",""))),"")</f>
        <v/>
      </c>
      <c r="AK9" s="31" t="b">
        <f>IF(A9&lt;&gt;"",OR(AI9&lt;&gt;AC9,AJ9&lt;&gt;AD9),"")</f>
        <v>0</v>
      </c>
      <c r="AL9" s="81">
        <f>IF(AND(A9&lt;&gt;"",U9&gt;0),SUM(U9,$AL$8)/$AL$2*100,"")</f>
        <v>81.5</v>
      </c>
      <c r="AM9" s="24">
        <f>IF(AND(A9&lt;&gt;"",V9&gt;0),SUM(V9,$AM$8)/$AM$2*100,"")</f>
        <v>91.666666666666657</v>
      </c>
      <c r="AN9" s="24" t="str">
        <f>IF(AND(A9&lt;&gt;"",P9&lt;&gt;0),SUM(P9,$AN$8)/$AN$2*100,"")</f>
        <v/>
      </c>
      <c r="AO9" s="24" t="str">
        <f>IF(AND(A9&lt;&gt;"",Q9&lt;&gt;0),SUM(Q9,$AO$8)/$AO$2*100,"")</f>
        <v/>
      </c>
      <c r="AP9" s="24">
        <f>IF(AND(A9&lt;&gt;"",R9&lt;&gt;0),SUM(R9,$AP$8)/$AP$2*100,"")</f>
        <v>84.502659574468083</v>
      </c>
      <c r="AQ9" s="24" t="str">
        <f>IF(AND(A9&lt;&gt;"",W9&gt;0),SUM(W9,$AQ$8)/$AQ$2*100,"")</f>
        <v/>
      </c>
      <c r="AR9" s="24">
        <f>IF(AND(A9&lt;&gt;"",T9&gt;0),SUM(T9,$AR$8)/$AR$2*100,"")</f>
        <v>74.363804247460749</v>
      </c>
      <c r="AS9" s="24">
        <f>IF(AND(A9&lt;&gt;"",X9&lt;&gt;0),SUM(X9,$AS$8)/$AS$2*100,"")</f>
        <v>78.419346378263683</v>
      </c>
      <c r="AT9" s="86">
        <f>IF(A9&lt;&gt;"",SUM(W9:X9,$AT$8)/$AT$2*100,"")</f>
        <v>78.419346378263683</v>
      </c>
      <c r="AU9" s="24">
        <f>AA9</f>
        <v>83.009673189131831</v>
      </c>
      <c r="AV9" s="24"/>
      <c r="AW9" s="27">
        <f>IF(A9&lt;&gt;"",AE9-AA9,"")</f>
        <v>-4.5903268108681488</v>
      </c>
      <c r="AY9" s="27">
        <f>AR9-AP9</f>
        <v>-10.138855327007334</v>
      </c>
      <c r="AZ9" s="27">
        <f>ABS(AY9)</f>
        <v>10.138855327007334</v>
      </c>
    </row>
    <row r="10" spans="1:52" s="27" customFormat="1" ht="12.75" customHeight="1" x14ac:dyDescent="0.2">
      <c r="A10" s="10">
        <v>4822</v>
      </c>
      <c r="B10" s="2">
        <v>20</v>
      </c>
      <c r="C10" s="10">
        <v>25</v>
      </c>
      <c r="D10" s="10">
        <v>25</v>
      </c>
      <c r="E10" s="10">
        <v>18</v>
      </c>
      <c r="F10" s="10">
        <v>20</v>
      </c>
      <c r="G10" s="10" t="s">
        <v>69</v>
      </c>
      <c r="H10" s="10">
        <v>14</v>
      </c>
      <c r="I10" s="10">
        <v>25</v>
      </c>
      <c r="J10" s="2"/>
      <c r="K10" s="10">
        <v>62</v>
      </c>
      <c r="L10" s="10">
        <v>60</v>
      </c>
      <c r="M10" s="10">
        <v>62</v>
      </c>
      <c r="N10" s="51">
        <v>57</v>
      </c>
      <c r="O10" s="11">
        <v>62</v>
      </c>
      <c r="P10" s="10"/>
      <c r="Q10" s="40"/>
      <c r="R10" s="2">
        <v>180</v>
      </c>
      <c r="S10" s="10">
        <f>IF(T10="",R10,MAX((R10+$R$8)/$R$2,(T10+$T$8)/$T$2)*$R$2-$R$8)</f>
        <v>180.00000000000003</v>
      </c>
      <c r="T10" s="12">
        <v>246</v>
      </c>
      <c r="U10" s="34">
        <f>IF(A10&lt;&gt;"",SUM(B10:I10),"")</f>
        <v>147</v>
      </c>
      <c r="V10" s="10">
        <f>IF(A10&lt;&gt;"",SUM(J10:O10),"")</f>
        <v>303</v>
      </c>
      <c r="W10" s="10">
        <f>IF(A10&lt;&gt;"",SUM(P10:Q10),"")</f>
        <v>0</v>
      </c>
      <c r="X10" s="10">
        <f>IF(A10&lt;&gt;"",SUM(S10:T10),"")</f>
        <v>426</v>
      </c>
      <c r="Y10" s="12">
        <v>3</v>
      </c>
      <c r="Z10" s="12">
        <f>IF(A10&lt;&gt;"",SUM(U10:Y10),"")</f>
        <v>879</v>
      </c>
      <c r="AA10" s="27">
        <f>IF(A10&lt;&gt;"",(Z10+Normalize_To_Add)/(Point_Total_So_Far)*100,"")</f>
        <v>95.409673189131837</v>
      </c>
      <c r="AB10" s="10">
        <f>IF(A10&lt;&gt;"",RANK(AA10,All_Student_XC),"")</f>
        <v>29</v>
      </c>
      <c r="AC10" s="31" t="str">
        <f>IF(A10&lt;&gt;"",CHOOSE(10-MIN(9,TRUNC((AA10+0.5)/10)),"A","B","C","D","F","F","F","F","F","F"),"")</f>
        <v>A</v>
      </c>
      <c r="AD10" s="31" t="str">
        <f>IF(A10&lt;&gt;"",IF(OR(AA10+0.5&gt;=93,AA10+0.5&lt;60),"",IF(MOD(AA10+0.5,10)&gt;=7,"+",IF(MOD(AA10+0.5,10)&lt;3,"-",""))),"")</f>
        <v/>
      </c>
      <c r="AE10" s="31">
        <f>IF(A10&lt;&gt;"",SUM(W10:X10,$W$8:$X$8)/SUM($W$2:$X$2)*100,"")</f>
        <v>100.21934637826368</v>
      </c>
      <c r="AF10" s="31" t="str">
        <f>IF(A10&lt;&gt;"",CHOOSE(10-MIN(9,TRUNC((AE10+0.5)/10)),"A","B","C","D","F","F","F","F","F","F"),"")</f>
        <v>A</v>
      </c>
      <c r="AG10" s="31" t="str">
        <f>IF(A10&lt;&gt;"",IF(OR(AE10+0.5&gt;=93,AE10+0.5&lt;60),"",IF(MOD(AE10+0.5,10)&gt;=7,"+",IF(MOD(AE10+0.5,10)&lt;3,"-",""))),"")</f>
        <v/>
      </c>
      <c r="AH10" s="35">
        <f>IF(A10&lt;&gt;"",MIN(MAX(AA10,AE10),AA10+$AH$8,AE10+$AH$8),"")</f>
        <v>100.21934637826368</v>
      </c>
      <c r="AI10" s="31" t="str">
        <f>IF(A10&lt;&gt;"",CHOOSE(10-MIN(9,TRUNC((AH10+0.5)/10)),"A","B","C","D","F","F","F","F","F","F"),"")</f>
        <v>A</v>
      </c>
      <c r="AJ10" s="31" t="str">
        <f>IF(A10&lt;&gt;"",IF(OR(AH10+0.5&gt;=93,AH10+0.5&lt;60),"",IF(MOD(AH10+0.5,10)&gt;=7,"+",IF(MOD(AH10+0.5,10)&lt;3,"-",""))),"")</f>
        <v/>
      </c>
      <c r="AK10" s="31" t="b">
        <f>IF(A10&lt;&gt;"",OR(AI10&lt;&gt;AC10,AJ10&lt;&gt;AD10),"")</f>
        <v>0</v>
      </c>
      <c r="AL10" s="81">
        <f>IF(AND(A10&lt;&gt;"",U10&gt;0),SUM(U10,$AL$8)/$AL$2*100,"")</f>
        <v>73.5</v>
      </c>
      <c r="AM10" s="24">
        <f>IF(AND(A10&lt;&gt;"",V10&gt;0),SUM(V10,$AM$8)/$AM$2*100,"")</f>
        <v>101</v>
      </c>
      <c r="AN10" s="24" t="str">
        <f>IF(AND(A10&lt;&gt;"",P10&lt;&gt;0),SUM(P10,$AN$8)/$AN$2*100,"")</f>
        <v/>
      </c>
      <c r="AO10" s="24" t="str">
        <f>IF(AND(A10&lt;&gt;"",Q10&lt;&gt;0),SUM(Q10,$AO$8)/$AO$2*100,"")</f>
        <v/>
      </c>
      <c r="AP10" s="24">
        <f>IF(AND(A10&lt;&gt;"",R10&lt;&gt;0),SUM(R10,$AP$8)/$AP$2*100,"")</f>
        <v>104.5026595744681</v>
      </c>
      <c r="AQ10" s="24" t="str">
        <f>IF(AND(A10&lt;&gt;"",W10&gt;0),SUM(W10,$AQ$8)/$AQ$2*100,"")</f>
        <v/>
      </c>
      <c r="AR10" s="24">
        <f>IF(AND(A10&lt;&gt;"",T10&gt;0),SUM(T10,$AR$8)/$AR$2*100,"")</f>
        <v>97.363804247460749</v>
      </c>
      <c r="AS10" s="24">
        <f>IF(AND(A10&lt;&gt;"",X10&lt;&gt;0),SUM(X10,$AS$8)/$AS$2*100,"")</f>
        <v>100.21934637826368</v>
      </c>
      <c r="AT10" s="86">
        <f>IF(A10&lt;&gt;"",SUM(W10:X10,$AT$8)/$AT$2*100,"")</f>
        <v>100.21934637826368</v>
      </c>
      <c r="AU10" s="24">
        <f>AA10</f>
        <v>95.409673189131837</v>
      </c>
      <c r="AV10" s="24"/>
      <c r="AW10" s="27">
        <f>IF(A10&lt;&gt;"",AE10-AA10,"")</f>
        <v>4.8096731891318427</v>
      </c>
      <c r="AY10" s="27">
        <f>AR10-AP10</f>
        <v>-7.1388553270073487</v>
      </c>
      <c r="AZ10" s="27">
        <f>ABS(AY10)</f>
        <v>7.1388553270073487</v>
      </c>
    </row>
    <row r="11" spans="1:52" s="27" customFormat="1" ht="12.75" customHeight="1" x14ac:dyDescent="0.2">
      <c r="A11" s="50">
        <v>5430</v>
      </c>
      <c r="B11" s="2">
        <v>25</v>
      </c>
      <c r="C11" s="50">
        <v>25</v>
      </c>
      <c r="D11" s="10">
        <v>23</v>
      </c>
      <c r="E11" s="10">
        <v>16</v>
      </c>
      <c r="F11" s="10">
        <v>22</v>
      </c>
      <c r="G11" s="10">
        <v>11</v>
      </c>
      <c r="H11" s="10">
        <v>21</v>
      </c>
      <c r="I11" s="10">
        <v>23</v>
      </c>
      <c r="J11" s="2"/>
      <c r="K11" s="10">
        <v>62</v>
      </c>
      <c r="L11" s="10">
        <v>59</v>
      </c>
      <c r="M11" s="10">
        <v>57</v>
      </c>
      <c r="N11" s="51">
        <v>53</v>
      </c>
      <c r="O11" s="11">
        <v>62</v>
      </c>
      <c r="P11" s="10"/>
      <c r="Q11" s="40"/>
      <c r="R11" s="2">
        <v>146</v>
      </c>
      <c r="S11" s="10">
        <f>IF(T11="",R11,MAX((R11+$R$8)/$R$2,(T11+$T$8)/$T$2)*$R$2-$R$8)</f>
        <v>146</v>
      </c>
      <c r="T11" s="62">
        <v>203</v>
      </c>
      <c r="U11" s="10">
        <f>IF(A11&lt;&gt;"",SUM(B11:I11),"")</f>
        <v>166</v>
      </c>
      <c r="V11" s="10">
        <f>IF(A11&lt;&gt;"",SUM(J11:O11),"")</f>
        <v>293</v>
      </c>
      <c r="W11" s="10">
        <f>IF(A11&lt;&gt;"",SUM(P11:Q11),"")</f>
        <v>0</v>
      </c>
      <c r="X11" s="10">
        <f>IF(A11&lt;&gt;"",SUM(S11:T11),"")</f>
        <v>349</v>
      </c>
      <c r="Y11" s="12">
        <v>3</v>
      </c>
      <c r="Z11" s="12">
        <f>IF(A11&lt;&gt;"",SUM(U11:Y11),"")</f>
        <v>811</v>
      </c>
      <c r="AA11" s="27">
        <f>IF(A11&lt;&gt;"",(Z11+Normalize_To_Add)/(Point_Total_So_Far)*100,"")</f>
        <v>88.60967318913184</v>
      </c>
      <c r="AB11" s="10">
        <f>IF(A11&lt;&gt;"",RANK(AA11,All_Student_XC),"")</f>
        <v>102</v>
      </c>
      <c r="AC11" s="31" t="str">
        <f>IF(A11&lt;&gt;"",CHOOSE(10-MIN(9,TRUNC((AA11+0.5)/10)),"A","B","C","D","F","F","F","F","F","F"),"")</f>
        <v>B</v>
      </c>
      <c r="AD11" s="31" t="str">
        <f>IF(A11&lt;&gt;"",IF(OR(AA11+0.5&gt;=93,AA11+0.5&lt;60),"",IF(MOD(AA11+0.5,10)&gt;=7,"+",IF(MOD(AA11+0.5,10)&lt;3,"-",""))),"")</f>
        <v>+</v>
      </c>
      <c r="AE11" s="31">
        <f>IF(A11&lt;&gt;"",SUM(W11:X11,$W$8:$X$8)/SUM($W$2:$X$2)*100,"")</f>
        <v>84.819346378263688</v>
      </c>
      <c r="AF11" s="43" t="str">
        <f>IF(A11&lt;&gt;"",CHOOSE(10-MIN(9,TRUNC((AE11+0.5)/10)),"A","B","C","D","F","F","F","F","F","F"),"")</f>
        <v>B</v>
      </c>
      <c r="AG11" s="43" t="str">
        <f>IF(A11&lt;&gt;"",IF(OR(AE11+0.5&gt;=93,AE11+0.5&lt;60),"",IF(MOD(AE11+0.5,10)&gt;=7,"+",IF(MOD(AE11+0.5,10)&lt;3,"-",""))),"")</f>
        <v/>
      </c>
      <c r="AH11" s="35">
        <f>IF(A11&lt;&gt;"",MIN(MAX(AA11,AE11),AA11+$AH$8,AE11+$AH$8),"")</f>
        <v>88.60967318913184</v>
      </c>
      <c r="AI11" s="31" t="str">
        <f>IF(A11&lt;&gt;"",CHOOSE(10-MIN(9,TRUNC((AH11+0.5)/10)),"A","B","C","D","F","F","F","F","F","F"),"")</f>
        <v>B</v>
      </c>
      <c r="AJ11" s="31" t="str">
        <f>IF(A11&lt;&gt;"",IF(OR(AH11+0.5&gt;=93,AH11+0.5&lt;60),"",IF(MOD(AH11+0.5,10)&gt;=7,"+",IF(MOD(AH11+0.5,10)&lt;3,"-",""))),"")</f>
        <v>+</v>
      </c>
      <c r="AK11" s="31" t="b">
        <f>IF(A11&lt;&gt;"",OR(AI11&lt;&gt;AC11,AJ11&lt;&gt;AD11),"")</f>
        <v>0</v>
      </c>
      <c r="AL11" s="81">
        <f>IF(AND(A11&lt;&gt;"",U11&gt;0),SUM(U11,$AL$8)/$AL$2*100,"")</f>
        <v>83</v>
      </c>
      <c r="AM11" s="24">
        <f>IF(AND(A11&lt;&gt;"",V11&gt;0),SUM(V11,$AM$8)/$AM$2*100,"")</f>
        <v>97.666666666666671</v>
      </c>
      <c r="AN11" s="24" t="str">
        <f>IF(AND(A11&lt;&gt;"",P11&lt;&gt;0),SUM(P11,$AN$8)/$AN$2*100,"")</f>
        <v/>
      </c>
      <c r="AO11" s="24" t="str">
        <f>IF(AND(A11&lt;&gt;"",Q11&lt;&gt;0),SUM(Q11,$AO$8)/$AO$2*100,"")</f>
        <v/>
      </c>
      <c r="AP11" s="24">
        <f>IF(AND(A11&lt;&gt;"",R11&lt;&gt;0),SUM(R11,$AP$8)/$AP$2*100,"")</f>
        <v>87.502659574468083</v>
      </c>
      <c r="AQ11" s="24" t="str">
        <f>IF(AND(A11&lt;&gt;"",W11&gt;0),SUM(W11,$AQ$8)/$AQ$2*100,"")</f>
        <v/>
      </c>
      <c r="AR11" s="24">
        <f>IF(AND(A11&lt;&gt;"",T11&gt;0),SUM(T11,$AR$8)/$AR$2*100,"")</f>
        <v>83.03047091412742</v>
      </c>
      <c r="AS11" s="24">
        <f>IF(AND(A11&lt;&gt;"",X11&lt;&gt;0),SUM(X11,$AS$8)/$AS$2*100,"")</f>
        <v>84.819346378263688</v>
      </c>
      <c r="AT11" s="86">
        <f>IF(A11&lt;&gt;"",SUM(W11:X11,$AT$8)/$AT$2*100,"")</f>
        <v>84.819346378263688</v>
      </c>
      <c r="AU11" s="24">
        <f>AA11</f>
        <v>88.60967318913184</v>
      </c>
      <c r="AV11" s="24"/>
      <c r="AW11" s="27">
        <f>IF(A11&lt;&gt;"",AE11-AA11,"")</f>
        <v>-3.7903268108681516</v>
      </c>
      <c r="AY11" s="27">
        <f>AR11-AP11</f>
        <v>-4.4721886603406631</v>
      </c>
      <c r="AZ11" s="27">
        <f>ABS(AY11)</f>
        <v>4.4721886603406631</v>
      </c>
    </row>
    <row r="12" spans="1:52" s="27" customFormat="1" ht="12.75" customHeight="1" x14ac:dyDescent="0.2">
      <c r="A12" s="50">
        <v>9132</v>
      </c>
      <c r="B12" s="2">
        <v>25</v>
      </c>
      <c r="C12" s="50">
        <v>25</v>
      </c>
      <c r="D12" s="10">
        <v>18</v>
      </c>
      <c r="E12" s="10">
        <v>16</v>
      </c>
      <c r="F12" s="10">
        <v>17</v>
      </c>
      <c r="G12" s="10">
        <v>11</v>
      </c>
      <c r="H12" s="10">
        <v>24</v>
      </c>
      <c r="I12" s="10">
        <v>25</v>
      </c>
      <c r="J12" s="2"/>
      <c r="K12" s="10">
        <v>60</v>
      </c>
      <c r="L12" s="10">
        <v>57</v>
      </c>
      <c r="M12" s="10">
        <v>54</v>
      </c>
      <c r="N12" s="51">
        <v>12</v>
      </c>
      <c r="O12" s="11">
        <v>60</v>
      </c>
      <c r="P12" s="10"/>
      <c r="Q12" s="40"/>
      <c r="R12" s="2">
        <v>107</v>
      </c>
      <c r="S12" s="10">
        <f>IF(T12="",R12,MAX((R12+$R$8)/$R$2,(T12+$T$8)/$T$2)*$R$2-$R$8)</f>
        <v>119.05562267931867</v>
      </c>
      <c r="T12" s="62">
        <v>176</v>
      </c>
      <c r="U12" s="10">
        <f>IF(A12&lt;&gt;"",SUM(B12:I12),"")</f>
        <v>161</v>
      </c>
      <c r="V12" s="10">
        <f>IF(A12&lt;&gt;"",SUM(J12:O12),"")</f>
        <v>243</v>
      </c>
      <c r="W12" s="10">
        <f>IF(A12&lt;&gt;"",SUM(P12:Q12),"")</f>
        <v>0</v>
      </c>
      <c r="X12" s="10">
        <f>IF(A12&lt;&gt;"",SUM(S12:T12),"")</f>
        <v>295.05562267931867</v>
      </c>
      <c r="Y12" s="12">
        <v>3</v>
      </c>
      <c r="Z12" s="12">
        <f>IF(A12&lt;&gt;"",SUM(U12:Y12),"")</f>
        <v>702.05562267931873</v>
      </c>
      <c r="AA12" s="27">
        <f>IF(A12&lt;&gt;"",(Z12+Normalize_To_Add)/(Point_Total_So_Far)*100,"")</f>
        <v>77.715235457063713</v>
      </c>
      <c r="AB12" s="10">
        <f>IF(A12&lt;&gt;"",RANK(AA12,All_Student_XC),"")</f>
        <v>245</v>
      </c>
      <c r="AC12" s="31" t="str">
        <f>IF(A12&lt;&gt;"",CHOOSE(10-MIN(9,TRUNC((AA12+0.5)/10)),"A","B","C","D","F","F","F","F","F","F"),"")</f>
        <v>C</v>
      </c>
      <c r="AD12" s="31" t="str">
        <f>IF(A12&lt;&gt;"",IF(OR(AA12+0.5&gt;=93,AA12+0.5&lt;60),"",IF(MOD(AA12+0.5,10)&gt;=7,"+",IF(MOD(AA12+0.5,10)&lt;3,"-",""))),"")</f>
        <v>+</v>
      </c>
      <c r="AE12" s="31">
        <f>IF(A12&lt;&gt;"",SUM(W12:X12,$W$8:$X$8)/SUM($W$2:$X$2)*100,"")</f>
        <v>74.03047091412742</v>
      </c>
      <c r="AF12" s="43" t="str">
        <f>IF(A12&lt;&gt;"",CHOOSE(10-MIN(9,TRUNC((AE12+0.5)/10)),"A","B","C","D","F","F","F","F","F","F"),"")</f>
        <v>C</v>
      </c>
      <c r="AG12" s="43" t="str">
        <f>IF(A12&lt;&gt;"",IF(OR(AE12+0.5&gt;=93,AE12+0.5&lt;60),"",IF(MOD(AE12+0.5,10)&gt;=7,"+",IF(MOD(AE12+0.5,10)&lt;3,"-",""))),"")</f>
        <v/>
      </c>
      <c r="AH12" s="35">
        <f>IF(A12&lt;&gt;"",MIN(MAX(AA12,AE12),AA12+$AH$8,AE12+$AH$8),"")</f>
        <v>77.715235457063713</v>
      </c>
      <c r="AI12" s="31" t="str">
        <f>IF(A12&lt;&gt;"",CHOOSE(10-MIN(9,TRUNC((AH12+0.5)/10)),"A","B","C","D","F","F","F","F","F","F"),"")</f>
        <v>C</v>
      </c>
      <c r="AJ12" s="31" t="str">
        <f>IF(A12&lt;&gt;"",IF(OR(AH12+0.5&gt;=93,AH12+0.5&lt;60),"",IF(MOD(AH12+0.5,10)&gt;=7,"+",IF(MOD(AH12+0.5,10)&lt;3,"-",""))),"")</f>
        <v>+</v>
      </c>
      <c r="AK12" s="31" t="b">
        <f>IF(A12&lt;&gt;"",OR(AI12&lt;&gt;AC12,AJ12&lt;&gt;AD12),"")</f>
        <v>0</v>
      </c>
      <c r="AL12" s="81">
        <f>IF(AND(A12&lt;&gt;"",U12&gt;0),SUM(U12,$AL$8)/$AL$2*100,"")</f>
        <v>80.5</v>
      </c>
      <c r="AM12" s="24">
        <f>IF(AND(A12&lt;&gt;"",V12&gt;0),SUM(V12,$AM$8)/$AM$2*100,"")</f>
        <v>81</v>
      </c>
      <c r="AN12" s="24" t="str">
        <f>IF(AND(A12&lt;&gt;"",P12&lt;&gt;0),SUM(P12,$AN$8)/$AN$2*100,"")</f>
        <v/>
      </c>
      <c r="AO12" s="24" t="str">
        <f>IF(AND(A12&lt;&gt;"",Q12&lt;&gt;0),SUM(Q12,$AO$8)/$AO$2*100,"")</f>
        <v/>
      </c>
      <c r="AP12" s="24">
        <f>IF(AND(A12&lt;&gt;"",R12&lt;&gt;0),SUM(R12,$AP$8)/$AP$2*100,"")</f>
        <v>68.002659574468083</v>
      </c>
      <c r="AQ12" s="24" t="str">
        <f>IF(AND(A12&lt;&gt;"",W12&gt;0),SUM(W12,$AQ$8)/$AQ$2*100,"")</f>
        <v/>
      </c>
      <c r="AR12" s="24">
        <f>IF(AND(A12&lt;&gt;"",T12&gt;0),SUM(T12,$AR$8)/$AR$2*100,"")</f>
        <v>74.03047091412742</v>
      </c>
      <c r="AS12" s="24">
        <f>IF(AND(A12&lt;&gt;"",X12&lt;&gt;0),SUM(X12,$AS$8)/$AS$2*100,"")</f>
        <v>74.03047091412742</v>
      </c>
      <c r="AT12" s="86">
        <f>IF(A12&lt;&gt;"",SUM(W12:X12,$AT$8)/$AT$2*100,"")</f>
        <v>74.03047091412742</v>
      </c>
      <c r="AU12" s="24">
        <f>AA12</f>
        <v>77.715235457063713</v>
      </c>
      <c r="AV12" s="24"/>
      <c r="AW12" s="27">
        <f>IF(A12&lt;&gt;"",AE12-AA12,"")</f>
        <v>-3.6847645429362927</v>
      </c>
      <c r="AY12" s="27">
        <f>AR12-AP12</f>
        <v>6.0278113396593369</v>
      </c>
      <c r="AZ12" s="27">
        <f>ABS(AY12)</f>
        <v>6.0278113396593369</v>
      </c>
    </row>
    <row r="13" spans="1:52" s="27" customFormat="1" ht="12.75" customHeight="1" x14ac:dyDescent="0.2">
      <c r="A13" s="50">
        <v>15026</v>
      </c>
      <c r="B13" s="2">
        <v>25</v>
      </c>
      <c r="C13" s="50">
        <v>24</v>
      </c>
      <c r="D13" s="10">
        <v>17</v>
      </c>
      <c r="E13" s="10">
        <v>23</v>
      </c>
      <c r="F13" s="10">
        <v>22</v>
      </c>
      <c r="G13" s="10">
        <v>25</v>
      </c>
      <c r="H13" s="10">
        <v>14</v>
      </c>
      <c r="I13" s="10">
        <v>22</v>
      </c>
      <c r="J13" s="2"/>
      <c r="K13" s="10">
        <v>60</v>
      </c>
      <c r="L13" s="10">
        <v>45</v>
      </c>
      <c r="M13" s="10">
        <v>46</v>
      </c>
      <c r="N13" s="51">
        <v>19</v>
      </c>
      <c r="O13" s="11">
        <v>60</v>
      </c>
      <c r="P13" s="10"/>
      <c r="Q13" s="40"/>
      <c r="R13" s="2">
        <v>123</v>
      </c>
      <c r="S13" s="10">
        <f>IF(T13="",R13,MAX((R13+$R$8)/$R$2,(T13+$T$8)/$T$2)*$R$2-$R$8)</f>
        <v>123</v>
      </c>
      <c r="T13" s="62">
        <v>124</v>
      </c>
      <c r="U13" s="10">
        <f>IF(A13&lt;&gt;"",SUM(B13:I13),"")</f>
        <v>172</v>
      </c>
      <c r="V13" s="10">
        <f>IF(A13&lt;&gt;"",SUM(J13:O13),"")</f>
        <v>230</v>
      </c>
      <c r="W13" s="10">
        <f>IF(A13&lt;&gt;"",SUM(P13:Q13),"")</f>
        <v>0</v>
      </c>
      <c r="X13" s="10">
        <f>IF(A13&lt;&gt;"",SUM(S13:T13),"")</f>
        <v>247</v>
      </c>
      <c r="Y13" s="12" t="s">
        <v>69</v>
      </c>
      <c r="Z13" s="12">
        <f>IF(A13&lt;&gt;"",SUM(U13:Y13),"")</f>
        <v>649</v>
      </c>
      <c r="AA13" s="27">
        <f>IF(A13&lt;&gt;"",(Z13+Normalize_To_Add)/(Point_Total_So_Far)*100,"")</f>
        <v>72.409673189131837</v>
      </c>
      <c r="AB13" s="10">
        <f>IF(A13&lt;&gt;"",RANK(AA13,All_Student_XC),"")</f>
        <v>291</v>
      </c>
      <c r="AC13" s="31" t="str">
        <f>IF(A13&lt;&gt;"",CHOOSE(10-MIN(9,TRUNC((AA13+0.5)/10)),"A","B","C","D","F","F","F","F","F","F"),"")</f>
        <v>C</v>
      </c>
      <c r="AD13" s="31" t="str">
        <f>IF(A13&lt;&gt;"",IF(OR(AA13+0.5&gt;=93,AA13+0.5&lt;60),"",IF(MOD(AA13+0.5,10)&gt;=7,"+",IF(MOD(AA13+0.5,10)&lt;3,"-",""))),"")</f>
        <v>-</v>
      </c>
      <c r="AE13" s="31">
        <f>IF(A13&lt;&gt;"",SUM(W13:X13,$W$8:$X$8)/SUM($W$2:$X$2)*100,"")</f>
        <v>64.419346378263683</v>
      </c>
      <c r="AF13" s="43" t="str">
        <f>IF(A13&lt;&gt;"",CHOOSE(10-MIN(9,TRUNC((AE13+0.5)/10)),"A","B","C","D","F","F","F","F","F","F"),"")</f>
        <v>D</v>
      </c>
      <c r="AG13" s="43" t="str">
        <f>IF(A13&lt;&gt;"",IF(OR(AE13+0.5&gt;=93,AE13+0.5&lt;60),"",IF(MOD(AE13+0.5,10)&gt;=7,"+",IF(MOD(AE13+0.5,10)&lt;3,"-",""))),"")</f>
        <v/>
      </c>
      <c r="AH13" s="35">
        <f>IF(A13&lt;&gt;"",MIN(MAX(AA13,AE13),AA13+$AH$8,AE13+$AH$8),"")</f>
        <v>72.409673189131837</v>
      </c>
      <c r="AI13" s="31" t="str">
        <f>IF(A13&lt;&gt;"",CHOOSE(10-MIN(9,TRUNC((AH13+0.5)/10)),"A","B","C","D","F","F","F","F","F","F"),"")</f>
        <v>C</v>
      </c>
      <c r="AJ13" s="31" t="str">
        <f>IF(A13&lt;&gt;"",IF(OR(AH13+0.5&gt;=93,AH13+0.5&lt;60),"",IF(MOD(AH13+0.5,10)&gt;=7,"+",IF(MOD(AH13+0.5,10)&lt;3,"-",""))),"")</f>
        <v>-</v>
      </c>
      <c r="AK13" s="31" t="b">
        <f>IF(A13&lt;&gt;"",OR(AI13&lt;&gt;AC13,AJ13&lt;&gt;AD13),"")</f>
        <v>0</v>
      </c>
      <c r="AL13" s="81">
        <f>IF(AND(A13&lt;&gt;"",U13&gt;0),SUM(U13,$AL$8)/$AL$2*100,"")</f>
        <v>86</v>
      </c>
      <c r="AM13" s="24">
        <f>IF(AND(A13&lt;&gt;"",V13&gt;0),SUM(V13,$AM$8)/$AM$2*100,"")</f>
        <v>76.666666666666671</v>
      </c>
      <c r="AN13" s="24" t="str">
        <f>IF(AND(A13&lt;&gt;"",P13&lt;&gt;0),SUM(P13,$AN$8)/$AN$2*100,"")</f>
        <v/>
      </c>
      <c r="AO13" s="24" t="str">
        <f>IF(AND(A13&lt;&gt;"",Q13&lt;&gt;0),SUM(Q13,$AO$8)/$AO$2*100,"")</f>
        <v/>
      </c>
      <c r="AP13" s="24">
        <f>IF(AND(A13&lt;&gt;"",R13&lt;&gt;0),SUM(R13,$AP$8)/$AP$2*100,"")</f>
        <v>76.002659574468083</v>
      </c>
      <c r="AQ13" s="24" t="str">
        <f>IF(AND(A13&lt;&gt;"",W13&gt;0),SUM(W13,$AQ$8)/$AQ$2*100,"")</f>
        <v/>
      </c>
      <c r="AR13" s="24">
        <f>IF(AND(A13&lt;&gt;"",T13&gt;0),SUM(T13,$AR$8)/$AR$2*100,"")</f>
        <v>56.697137580794092</v>
      </c>
      <c r="AS13" s="24">
        <f>IF(AND(A13&lt;&gt;"",X13&lt;&gt;0),SUM(X13,$AS$8)/$AS$2*100,"")</f>
        <v>64.419346378263683</v>
      </c>
      <c r="AT13" s="86">
        <f>IF(A13&lt;&gt;"",SUM(W13:X13,$AT$8)/$AT$2*100,"")</f>
        <v>64.419346378263683</v>
      </c>
      <c r="AU13" s="24">
        <f>AA13</f>
        <v>72.409673189131837</v>
      </c>
      <c r="AV13" s="24"/>
      <c r="AW13" s="27">
        <f>IF(A13&lt;&gt;"",AE13-AA13,"")</f>
        <v>-7.9903268108681544</v>
      </c>
      <c r="AY13" s="27">
        <f>AR13-AP13</f>
        <v>-19.305521993673992</v>
      </c>
      <c r="AZ13" s="27">
        <f>ABS(AY13)</f>
        <v>19.305521993673992</v>
      </c>
    </row>
    <row r="14" spans="1:52" s="27" customFormat="1" ht="12.75" customHeight="1" x14ac:dyDescent="0.2">
      <c r="A14" s="10">
        <v>17630</v>
      </c>
      <c r="B14" s="2">
        <v>24</v>
      </c>
      <c r="C14" s="10">
        <v>23</v>
      </c>
      <c r="D14" s="10">
        <v>24</v>
      </c>
      <c r="E14" s="10">
        <v>21</v>
      </c>
      <c r="F14" s="10">
        <v>22</v>
      </c>
      <c r="G14" s="10">
        <v>25</v>
      </c>
      <c r="H14" s="10">
        <v>24</v>
      </c>
      <c r="I14" s="10">
        <v>25</v>
      </c>
      <c r="J14" s="2"/>
      <c r="K14" s="10">
        <v>57</v>
      </c>
      <c r="L14" s="10">
        <v>42</v>
      </c>
      <c r="M14" s="10">
        <v>57</v>
      </c>
      <c r="N14" s="51">
        <v>60</v>
      </c>
      <c r="O14" s="11">
        <v>62</v>
      </c>
      <c r="P14" s="10"/>
      <c r="Q14" s="40"/>
      <c r="R14" s="2">
        <v>139</v>
      </c>
      <c r="S14" s="10">
        <f>IF(T14="",R14,MAX((R14+$R$8)/$R$2,(T14+$T$8)/$T$2)*$R$2-$R$8)</f>
        <v>165.05562267931867</v>
      </c>
      <c r="T14" s="12">
        <v>245</v>
      </c>
      <c r="U14" s="34">
        <f>IF(A14&lt;&gt;"",SUM(B14:I14),"")</f>
        <v>188</v>
      </c>
      <c r="V14" s="10">
        <f>IF(A14&lt;&gt;"",SUM(J14:O14),"")</f>
        <v>278</v>
      </c>
      <c r="W14" s="10">
        <f>IF(A14&lt;&gt;"",SUM(P14:Q14),"")</f>
        <v>0</v>
      </c>
      <c r="X14" s="10">
        <f>IF(A14&lt;&gt;"",SUM(S14:T14),"")</f>
        <v>410.05562267931867</v>
      </c>
      <c r="Y14" s="12">
        <v>3</v>
      </c>
      <c r="Z14" s="12">
        <f>IF(A14&lt;&gt;"",SUM(U14:Y14),"")</f>
        <v>879.05562267931873</v>
      </c>
      <c r="AA14" s="27">
        <f>IF(A14&lt;&gt;"",(Z14+Normalize_To_Add)/(Point_Total_So_Far)*100,"")</f>
        <v>95.415235457063716</v>
      </c>
      <c r="AB14" s="10">
        <f>IF(A14&lt;&gt;"",RANK(AA14,All_Student_XC),"")</f>
        <v>27</v>
      </c>
      <c r="AC14" s="31" t="str">
        <f>IF(A14&lt;&gt;"",CHOOSE(10-MIN(9,TRUNC((AA14+0.5)/10)),"A","B","C","D","F","F","F","F","F","F"),"")</f>
        <v>A</v>
      </c>
      <c r="AD14" s="31" t="str">
        <f>IF(A14&lt;&gt;"",IF(OR(AA14+0.5&gt;=93,AA14+0.5&lt;60),"",IF(MOD(AA14+0.5,10)&gt;=7,"+",IF(MOD(AA14+0.5,10)&lt;3,"-",""))),"")</f>
        <v/>
      </c>
      <c r="AE14" s="31">
        <f>IF(A14&lt;&gt;"",SUM(W14:X14,$W$8:$X$8)/SUM($W$2:$X$2)*100,"")</f>
        <v>97.03047091412742</v>
      </c>
      <c r="AF14" s="31" t="str">
        <f>IF(A14&lt;&gt;"",CHOOSE(10-MIN(9,TRUNC((AE14+0.5)/10)),"A","B","C","D","F","F","F","F","F","F"),"")</f>
        <v>A</v>
      </c>
      <c r="AG14" s="31" t="str">
        <f>IF(A14&lt;&gt;"",IF(OR(AE14+0.5&gt;=93,AE14+0.5&lt;60),"",IF(MOD(AE14+0.5,10)&gt;=7,"+",IF(MOD(AE14+0.5,10)&lt;3,"-",""))),"")</f>
        <v/>
      </c>
      <c r="AH14" s="35">
        <f>IF(A14&lt;&gt;"",MIN(MAX(AA14,AE14),AA14+$AH$8,AE14+$AH$8),"")</f>
        <v>97.03047091412742</v>
      </c>
      <c r="AI14" s="31" t="str">
        <f>IF(A14&lt;&gt;"",CHOOSE(10-MIN(9,TRUNC((AH14+0.5)/10)),"A","B","C","D","F","F","F","F","F","F"),"")</f>
        <v>A</v>
      </c>
      <c r="AJ14" s="31" t="str">
        <f>IF(A14&lt;&gt;"",IF(OR(AH14+0.5&gt;=93,AH14+0.5&lt;60),"",IF(MOD(AH14+0.5,10)&gt;=7,"+",IF(MOD(AH14+0.5,10)&lt;3,"-",""))),"")</f>
        <v/>
      </c>
      <c r="AK14" s="31" t="b">
        <f>IF(A14&lt;&gt;"",OR(AI14&lt;&gt;AC14,AJ14&lt;&gt;AD14),"")</f>
        <v>0</v>
      </c>
      <c r="AL14" s="81">
        <f>IF(AND(A14&lt;&gt;"",U14&gt;0),SUM(U14,$AL$8)/$AL$2*100,"")</f>
        <v>94</v>
      </c>
      <c r="AM14" s="24">
        <f>IF(AND(A14&lt;&gt;"",V14&gt;0),SUM(V14,$AM$8)/$AM$2*100,"")</f>
        <v>92.666666666666657</v>
      </c>
      <c r="AN14" s="24" t="str">
        <f>IF(AND(A14&lt;&gt;"",P14&lt;&gt;0),SUM(P14,$AN$8)/$AN$2*100,"")</f>
        <v/>
      </c>
      <c r="AO14" s="24" t="str">
        <f>IF(AND(A14&lt;&gt;"",Q14&lt;&gt;0),SUM(Q14,$AO$8)/$AO$2*100,"")</f>
        <v/>
      </c>
      <c r="AP14" s="24">
        <f>IF(AND(A14&lt;&gt;"",R14&lt;&gt;0),SUM(R14,$AP$8)/$AP$2*100,"")</f>
        <v>84.002659574468083</v>
      </c>
      <c r="AQ14" s="24" t="str">
        <f>IF(AND(A14&lt;&gt;"",W14&gt;0),SUM(W14,$AQ$8)/$AQ$2*100,"")</f>
        <v/>
      </c>
      <c r="AR14" s="24">
        <f>IF(AND(A14&lt;&gt;"",T14&gt;0),SUM(T14,$AR$8)/$AR$2*100,"")</f>
        <v>97.03047091412742</v>
      </c>
      <c r="AS14" s="24">
        <f>IF(AND(A14&lt;&gt;"",X14&lt;&gt;0),SUM(X14,$AS$8)/$AS$2*100,"")</f>
        <v>97.03047091412742</v>
      </c>
      <c r="AT14" s="86">
        <f>IF(A14&lt;&gt;"",SUM(W14:X14,$AT$8)/$AT$2*100,"")</f>
        <v>97.03047091412742</v>
      </c>
      <c r="AU14" s="24">
        <f>AA14</f>
        <v>95.415235457063716</v>
      </c>
      <c r="AV14" s="24"/>
      <c r="AW14" s="27">
        <f>IF(A14&lt;&gt;"",AE14-AA14,"")</f>
        <v>1.6152354570637044</v>
      </c>
      <c r="AY14" s="27">
        <f>AR14-AP14</f>
        <v>13.027811339659337</v>
      </c>
      <c r="AZ14" s="27">
        <f>ABS(AY14)</f>
        <v>13.027811339659337</v>
      </c>
    </row>
    <row r="15" spans="1:52" s="27" customFormat="1" ht="12.75" customHeight="1" x14ac:dyDescent="0.2">
      <c r="A15" s="10">
        <v>20368</v>
      </c>
      <c r="B15" s="2">
        <v>25</v>
      </c>
      <c r="C15" s="10">
        <v>25</v>
      </c>
      <c r="D15" s="10">
        <v>23</v>
      </c>
      <c r="E15" s="10">
        <v>25</v>
      </c>
      <c r="F15" s="10">
        <v>24</v>
      </c>
      <c r="G15" s="10">
        <v>25</v>
      </c>
      <c r="H15" s="10">
        <v>22</v>
      </c>
      <c r="I15" s="10">
        <v>25</v>
      </c>
      <c r="J15" s="2"/>
      <c r="K15" s="10">
        <v>60</v>
      </c>
      <c r="L15" s="10">
        <v>44</v>
      </c>
      <c r="M15" s="10">
        <v>19</v>
      </c>
      <c r="N15" s="51">
        <v>62</v>
      </c>
      <c r="O15" s="11">
        <v>61</v>
      </c>
      <c r="P15" s="10"/>
      <c r="Q15" s="40"/>
      <c r="R15" s="2">
        <v>118</v>
      </c>
      <c r="S15" s="10">
        <f>IF(T15="",R15,MAX((R15+$R$8)/$R$2,(T15+$T$8)/$T$2)*$R$2-$R$8)</f>
        <v>118</v>
      </c>
      <c r="T15" s="12">
        <v>150</v>
      </c>
      <c r="U15" s="34">
        <f>IF(A15&lt;&gt;"",SUM(B15:I15),"")</f>
        <v>194</v>
      </c>
      <c r="V15" s="10">
        <f>IF(A15&lt;&gt;"",SUM(J15:O15),"")</f>
        <v>246</v>
      </c>
      <c r="W15" s="10">
        <f>IF(A15&lt;&gt;"",SUM(P15:Q15),"")</f>
        <v>0</v>
      </c>
      <c r="X15" s="10">
        <f>IF(A15&lt;&gt;"",SUM(S15:T15),"")</f>
        <v>268</v>
      </c>
      <c r="Y15" s="12">
        <v>3</v>
      </c>
      <c r="Z15" s="12">
        <f>IF(A15&lt;&gt;"",SUM(U15:Y15),"")</f>
        <v>711</v>
      </c>
      <c r="AA15" s="27">
        <f>IF(A15&lt;&gt;"",(Z15+Normalize_To_Add)/(Point_Total_So_Far)*100,"")</f>
        <v>78.60967318913184</v>
      </c>
      <c r="AB15" s="10">
        <f>IF(A15&lt;&gt;"",RANK(AA15,All_Student_XC),"")</f>
        <v>231</v>
      </c>
      <c r="AC15" s="31" t="str">
        <f>IF(A15&lt;&gt;"",CHOOSE(10-MIN(9,TRUNC((AA15+0.5)/10)),"A","B","C","D","F","F","F","F","F","F"),"")</f>
        <v>C</v>
      </c>
      <c r="AD15" s="31" t="str">
        <f>IF(A15&lt;&gt;"",IF(OR(AA15+0.5&gt;=93,AA15+0.5&lt;60),"",IF(MOD(AA15+0.5,10)&gt;=7,"+",IF(MOD(AA15+0.5,10)&lt;3,"-",""))),"")</f>
        <v>+</v>
      </c>
      <c r="AE15" s="31">
        <f>IF(A15&lt;&gt;"",SUM(W15:X15,$W$8:$X$8)/SUM($W$2:$X$2)*100,"")</f>
        <v>68.619346378263685</v>
      </c>
      <c r="AF15" s="31" t="str">
        <f>IF(A15&lt;&gt;"",CHOOSE(10-MIN(9,TRUNC((AE15+0.5)/10)),"A","B","C","D","F","F","F","F","F","F"),"")</f>
        <v>D</v>
      </c>
      <c r="AG15" s="31" t="str">
        <f>IF(A15&lt;&gt;"",IF(OR(AE15+0.5&gt;=93,AE15+0.5&lt;60),"",IF(MOD(AE15+0.5,10)&gt;=7,"+",IF(MOD(AE15+0.5,10)&lt;3,"-",""))),"")</f>
        <v>+</v>
      </c>
      <c r="AH15" s="35">
        <f>IF(A15&lt;&gt;"",MIN(MAX(AA15,AE15),AA15+$AH$8,AE15+$AH$8),"")</f>
        <v>78.60967318913184</v>
      </c>
      <c r="AI15" s="31" t="str">
        <f>IF(A15&lt;&gt;"",CHOOSE(10-MIN(9,TRUNC((AH15+0.5)/10)),"A","B","C","D","F","F","F","F","F","F"),"")</f>
        <v>C</v>
      </c>
      <c r="AJ15" s="31" t="str">
        <f>IF(A15&lt;&gt;"",IF(OR(AH15+0.5&gt;=93,AH15+0.5&lt;60),"",IF(MOD(AH15+0.5,10)&gt;=7,"+",IF(MOD(AH15+0.5,10)&lt;3,"-",""))),"")</f>
        <v>+</v>
      </c>
      <c r="AK15" s="31" t="b">
        <f>IF(A15&lt;&gt;"",OR(AI15&lt;&gt;AC15,AJ15&lt;&gt;AD15),"")</f>
        <v>0</v>
      </c>
      <c r="AL15" s="81">
        <f>IF(AND(A15&lt;&gt;"",U15&gt;0),SUM(U15,$AL$8)/$AL$2*100,"")</f>
        <v>97</v>
      </c>
      <c r="AM15" s="24">
        <f>IF(AND(A15&lt;&gt;"",V15&gt;0),SUM(V15,$AM$8)/$AM$2*100,"")</f>
        <v>82</v>
      </c>
      <c r="AN15" s="24" t="str">
        <f>IF(AND(A15&lt;&gt;"",P15&lt;&gt;0),SUM(P15,$AN$8)/$AN$2*100,"")</f>
        <v/>
      </c>
      <c r="AO15" s="24" t="str">
        <f>IF(AND(A15&lt;&gt;"",Q15&lt;&gt;0),SUM(Q15,$AO$8)/$AO$2*100,"")</f>
        <v/>
      </c>
      <c r="AP15" s="24">
        <f>IF(AND(A15&lt;&gt;"",R15&lt;&gt;0),SUM(R15,$AP$8)/$AP$2*100,"")</f>
        <v>73.502659574468083</v>
      </c>
      <c r="AQ15" s="24" t="str">
        <f>IF(AND(A15&lt;&gt;"",W15&gt;0),SUM(W15,$AQ$8)/$AQ$2*100,"")</f>
        <v/>
      </c>
      <c r="AR15" s="24">
        <f>IF(AND(A15&lt;&gt;"",T15&gt;0),SUM(T15,$AR$8)/$AR$2*100,"")</f>
        <v>65.363804247460749</v>
      </c>
      <c r="AS15" s="24">
        <f>IF(AND(A15&lt;&gt;"",X15&lt;&gt;0),SUM(X15,$AS$8)/$AS$2*100,"")</f>
        <v>68.619346378263685</v>
      </c>
      <c r="AT15" s="86">
        <f>IF(A15&lt;&gt;"",SUM(W15:X15,$AT$8)/$AT$2*100,"")</f>
        <v>68.619346378263685</v>
      </c>
      <c r="AU15" s="24">
        <f>AA15</f>
        <v>78.60967318913184</v>
      </c>
      <c r="AV15" s="24"/>
      <c r="AW15" s="27">
        <f>IF(A15&lt;&gt;"",AE15-AA15,"")</f>
        <v>-9.9903268108681544</v>
      </c>
      <c r="AY15" s="27">
        <f>AR15-AP15</f>
        <v>-8.1388553270073345</v>
      </c>
      <c r="AZ15" s="27">
        <f>ABS(AY15)</f>
        <v>8.1388553270073345</v>
      </c>
    </row>
    <row r="16" spans="1:52" s="27" customFormat="1" ht="12.75" customHeight="1" x14ac:dyDescent="0.2">
      <c r="A16" s="10">
        <v>32518</v>
      </c>
      <c r="B16" s="2">
        <v>12</v>
      </c>
      <c r="C16" s="10">
        <v>24</v>
      </c>
      <c r="D16" s="10">
        <v>23</v>
      </c>
      <c r="E16" s="10">
        <v>21</v>
      </c>
      <c r="F16" s="10">
        <v>22</v>
      </c>
      <c r="G16" s="10">
        <v>25</v>
      </c>
      <c r="H16" s="10">
        <v>23</v>
      </c>
      <c r="I16" s="10">
        <v>20</v>
      </c>
      <c r="J16" s="2"/>
      <c r="K16" s="10">
        <v>39</v>
      </c>
      <c r="L16" s="10">
        <v>46</v>
      </c>
      <c r="M16" s="10">
        <v>59</v>
      </c>
      <c r="N16" s="51">
        <v>59</v>
      </c>
      <c r="O16" s="11">
        <v>61</v>
      </c>
      <c r="P16" s="10"/>
      <c r="Q16" s="40"/>
      <c r="R16" s="2">
        <v>164</v>
      </c>
      <c r="S16" s="10">
        <f>IF(T16="",R16,MAX((R16+$R$8)/$R$2,(T16+$T$8)/$T$2)*$R$2-$R$8)</f>
        <v>164</v>
      </c>
      <c r="T16" s="12">
        <v>235</v>
      </c>
      <c r="U16" s="34">
        <f>IF(A16&lt;&gt;"",SUM(B16:I16),"")</f>
        <v>170</v>
      </c>
      <c r="V16" s="10">
        <f>IF(A16&lt;&gt;"",SUM(J16:O16),"")</f>
        <v>264</v>
      </c>
      <c r="W16" s="10">
        <f>IF(A16&lt;&gt;"",SUM(P16:Q16),"")</f>
        <v>0</v>
      </c>
      <c r="X16" s="10">
        <f>IF(A16&lt;&gt;"",SUM(S16:T16),"")</f>
        <v>399</v>
      </c>
      <c r="Y16" s="12">
        <v>3</v>
      </c>
      <c r="Z16" s="12">
        <f>IF(A16&lt;&gt;"",SUM(U16:Y16),"")</f>
        <v>836</v>
      </c>
      <c r="AA16" s="27">
        <f>IF(A16&lt;&gt;"",(Z16+Normalize_To_Add)/(Point_Total_So_Far)*100,"")</f>
        <v>91.10967318913184</v>
      </c>
      <c r="AB16" s="10">
        <f>IF(A16&lt;&gt;"",RANK(AA16,All_Student_XC),"")</f>
        <v>64</v>
      </c>
      <c r="AC16" s="31" t="str">
        <f>IF(A16&lt;&gt;"",CHOOSE(10-MIN(9,TRUNC((AA16+0.5)/10)),"A","B","C","D","F","F","F","F","F","F"),"")</f>
        <v>A</v>
      </c>
      <c r="AD16" s="31" t="str">
        <f>IF(A16&lt;&gt;"",IF(OR(AA16+0.5&gt;=93,AA16+0.5&lt;60),"",IF(MOD(AA16+0.5,10)&gt;=7,"+",IF(MOD(AA16+0.5,10)&lt;3,"-",""))),"")</f>
        <v>-</v>
      </c>
      <c r="AE16" s="31">
        <f>IF(A16&lt;&gt;"",SUM(W16:X16,$W$8:$X$8)/SUM($W$2:$X$2)*100,"")</f>
        <v>94.819346378263674</v>
      </c>
      <c r="AF16" s="31" t="str">
        <f>IF(A16&lt;&gt;"",CHOOSE(10-MIN(9,TRUNC((AE16+0.5)/10)),"A","B","C","D","F","F","F","F","F","F"),"")</f>
        <v>A</v>
      </c>
      <c r="AG16" s="31" t="str">
        <f>IF(A16&lt;&gt;"",IF(OR(AE16+0.5&gt;=93,AE16+0.5&lt;60),"",IF(MOD(AE16+0.5,10)&gt;=7,"+",IF(MOD(AE16+0.5,10)&lt;3,"-",""))),"")</f>
        <v/>
      </c>
      <c r="AH16" s="35">
        <f>IF(A16&lt;&gt;"",MIN(MAX(AA16,AE16),AA16+$AH$8,AE16+$AH$8),"")</f>
        <v>94.819346378263674</v>
      </c>
      <c r="AI16" s="31" t="str">
        <f>IF(A16&lt;&gt;"",CHOOSE(10-MIN(9,TRUNC((AH16+0.5)/10)),"A","B","C","D","F","F","F","F","F","F"),"")</f>
        <v>A</v>
      </c>
      <c r="AJ16" s="31" t="str">
        <f>IF(A16&lt;&gt;"",IF(OR(AH16+0.5&gt;=93,AH16+0.5&lt;60),"",IF(MOD(AH16+0.5,10)&gt;=7,"+",IF(MOD(AH16+0.5,10)&lt;3,"-",""))),"")</f>
        <v/>
      </c>
      <c r="AK16" s="31" t="b">
        <f>IF(A16&lt;&gt;"",OR(AI16&lt;&gt;AC16,AJ16&lt;&gt;AD16),"")</f>
        <v>1</v>
      </c>
      <c r="AL16" s="81">
        <f>IF(AND(A16&lt;&gt;"",U16&gt;0),SUM(U16,$AL$8)/$AL$2*100,"")</f>
        <v>85</v>
      </c>
      <c r="AM16" s="24">
        <f>IF(AND(A16&lt;&gt;"",V16&gt;0),SUM(V16,$AM$8)/$AM$2*100,"")</f>
        <v>88</v>
      </c>
      <c r="AN16" s="24" t="str">
        <f>IF(AND(A16&lt;&gt;"",P16&lt;&gt;0),SUM(P16,$AN$8)/$AN$2*100,"")</f>
        <v/>
      </c>
      <c r="AO16" s="24" t="str">
        <f>IF(AND(A16&lt;&gt;"",Q16&lt;&gt;0),SUM(Q16,$AO$8)/$AO$2*100,"")</f>
        <v/>
      </c>
      <c r="AP16" s="24">
        <f>IF(AND(A16&lt;&gt;"",R16&lt;&gt;0),SUM(R16,$AP$8)/$AP$2*100,"")</f>
        <v>96.502659574468083</v>
      </c>
      <c r="AQ16" s="24" t="str">
        <f>IF(AND(A16&lt;&gt;"",W16&gt;0),SUM(W16,$AQ$8)/$AQ$2*100,"")</f>
        <v/>
      </c>
      <c r="AR16" s="24">
        <f>IF(AND(A16&lt;&gt;"",T16&gt;0),SUM(T16,$AR$8)/$AR$2*100,"")</f>
        <v>93.697137580794092</v>
      </c>
      <c r="AS16" s="24">
        <f>IF(AND(A16&lt;&gt;"",X16&lt;&gt;0),SUM(X16,$AS$8)/$AS$2*100,"")</f>
        <v>94.819346378263674</v>
      </c>
      <c r="AT16" s="86">
        <f>IF(A16&lt;&gt;"",SUM(W16:X16,$AT$8)/$AT$2*100,"")</f>
        <v>94.819346378263674</v>
      </c>
      <c r="AU16" s="24">
        <f>AA16</f>
        <v>91.10967318913184</v>
      </c>
      <c r="AV16" s="24"/>
      <c r="AW16" s="27">
        <f>IF(A16&lt;&gt;"",AE16-AA16,"")</f>
        <v>3.7096731891318342</v>
      </c>
      <c r="AY16" s="27">
        <f>AR16-AP16</f>
        <v>-2.8055219936739917</v>
      </c>
      <c r="AZ16" s="27">
        <f>ABS(AY16)</f>
        <v>2.8055219936739917</v>
      </c>
    </row>
    <row r="17" spans="1:52" s="27" customFormat="1" ht="12.75" customHeight="1" x14ac:dyDescent="0.2">
      <c r="A17" s="50">
        <v>33068</v>
      </c>
      <c r="B17" s="2">
        <v>23</v>
      </c>
      <c r="C17" s="50">
        <v>25</v>
      </c>
      <c r="D17" s="10">
        <v>17</v>
      </c>
      <c r="E17" s="10">
        <v>25</v>
      </c>
      <c r="F17" s="10">
        <v>18</v>
      </c>
      <c r="G17" s="10">
        <v>25</v>
      </c>
      <c r="H17" s="10">
        <v>24</v>
      </c>
      <c r="I17" s="10">
        <v>18</v>
      </c>
      <c r="J17" s="2"/>
      <c r="K17" s="10">
        <v>42</v>
      </c>
      <c r="L17" s="10">
        <v>47</v>
      </c>
      <c r="M17" s="10">
        <v>43</v>
      </c>
      <c r="N17" s="51">
        <v>44</v>
      </c>
      <c r="O17" s="11">
        <v>60</v>
      </c>
      <c r="P17" s="10"/>
      <c r="Q17" s="40"/>
      <c r="R17" s="2">
        <v>156</v>
      </c>
      <c r="S17" s="10">
        <f>IF(T17="",R17,MAX((R17+$R$8)/$R$2,(T17+$T$8)/$T$2)*$R$2-$R$8)</f>
        <v>156</v>
      </c>
      <c r="T17" s="62">
        <v>179</v>
      </c>
      <c r="U17" s="10">
        <f>IF(A17&lt;&gt;"",SUM(B17:I17),"")</f>
        <v>175</v>
      </c>
      <c r="V17" s="10">
        <f>IF(A17&lt;&gt;"",SUM(J17:O17),"")</f>
        <v>236</v>
      </c>
      <c r="W17" s="10">
        <f>IF(A17&lt;&gt;"",SUM(P17:Q17),"")</f>
        <v>0</v>
      </c>
      <c r="X17" s="10">
        <f>IF(A17&lt;&gt;"",SUM(S17:T17),"")</f>
        <v>335</v>
      </c>
      <c r="Y17" s="12">
        <v>3</v>
      </c>
      <c r="Z17" s="12">
        <f>IF(A17&lt;&gt;"",SUM(U17:Y17),"")</f>
        <v>749</v>
      </c>
      <c r="AA17" s="27">
        <f>IF(A17&lt;&gt;"",(Z17+Normalize_To_Add)/(Point_Total_So_Far)*100,"")</f>
        <v>82.409673189131837</v>
      </c>
      <c r="AB17" s="10">
        <f>IF(A17&lt;&gt;"",RANK(AA17,All_Student_XC),"")</f>
        <v>179</v>
      </c>
      <c r="AC17" s="31" t="str">
        <f>IF(A17&lt;&gt;"",CHOOSE(10-MIN(9,TRUNC((AA17+0.5)/10)),"A","B","C","D","F","F","F","F","F","F"),"")</f>
        <v>B</v>
      </c>
      <c r="AD17" s="31" t="str">
        <f>IF(A17&lt;&gt;"",IF(OR(AA17+0.5&gt;=93,AA17+0.5&lt;60),"",IF(MOD(AA17+0.5,10)&gt;=7,"+",IF(MOD(AA17+0.5,10)&lt;3,"-",""))),"")</f>
        <v>-</v>
      </c>
      <c r="AE17" s="31">
        <f>IF(A17&lt;&gt;"",SUM(W17:X17,$W$8:$X$8)/SUM($W$2:$X$2)*100,"")</f>
        <v>82.019346378263677</v>
      </c>
      <c r="AF17" s="43" t="str">
        <f>IF(A17&lt;&gt;"",CHOOSE(10-MIN(9,TRUNC((AE17+0.5)/10)),"A","B","C","D","F","F","F","F","F","F"),"")</f>
        <v>B</v>
      </c>
      <c r="AG17" s="43" t="str">
        <f>IF(A17&lt;&gt;"",IF(OR(AE17+0.5&gt;=93,AE17+0.5&lt;60),"",IF(MOD(AE17+0.5,10)&gt;=7,"+",IF(MOD(AE17+0.5,10)&lt;3,"-",""))),"")</f>
        <v>-</v>
      </c>
      <c r="AH17" s="35">
        <f>IF(A17&lt;&gt;"",MIN(MAX(AA17,AE17),AA17+$AH$8,AE17+$AH$8),"")</f>
        <v>82.409673189131837</v>
      </c>
      <c r="AI17" s="31" t="str">
        <f>IF(A17&lt;&gt;"",CHOOSE(10-MIN(9,TRUNC((AH17+0.5)/10)),"A","B","C","D","F","F","F","F","F","F"),"")</f>
        <v>B</v>
      </c>
      <c r="AJ17" s="31" t="str">
        <f>IF(A17&lt;&gt;"",IF(OR(AH17+0.5&gt;=93,AH17+0.5&lt;60),"",IF(MOD(AH17+0.5,10)&gt;=7,"+",IF(MOD(AH17+0.5,10)&lt;3,"-",""))),"")</f>
        <v>-</v>
      </c>
      <c r="AK17" s="31" t="b">
        <f>IF(A17&lt;&gt;"",OR(AI17&lt;&gt;AC17,AJ17&lt;&gt;AD17),"")</f>
        <v>0</v>
      </c>
      <c r="AL17" s="81">
        <f>IF(AND(A17&lt;&gt;"",U17&gt;0),SUM(U17,$AL$8)/$AL$2*100,"")</f>
        <v>87.5</v>
      </c>
      <c r="AM17" s="24">
        <f>IF(AND(A17&lt;&gt;"",V17&gt;0),SUM(V17,$AM$8)/$AM$2*100,"")</f>
        <v>78.666666666666657</v>
      </c>
      <c r="AN17" s="24" t="str">
        <f>IF(AND(A17&lt;&gt;"",P17&lt;&gt;0),SUM(P17,$AN$8)/$AN$2*100,"")</f>
        <v/>
      </c>
      <c r="AO17" s="24" t="str">
        <f>IF(AND(A17&lt;&gt;"",Q17&lt;&gt;0),SUM(Q17,$AO$8)/$AO$2*100,"")</f>
        <v/>
      </c>
      <c r="AP17" s="24">
        <f>IF(AND(A17&lt;&gt;"",R17&lt;&gt;0),SUM(R17,$AP$8)/$AP$2*100,"")</f>
        <v>92.502659574468083</v>
      </c>
      <c r="AQ17" s="24" t="str">
        <f>IF(AND(A17&lt;&gt;"",W17&gt;0),SUM(W17,$AQ$8)/$AQ$2*100,"")</f>
        <v/>
      </c>
      <c r="AR17" s="24">
        <f>IF(AND(A17&lt;&gt;"",T17&gt;0),SUM(T17,$AR$8)/$AR$2*100,"")</f>
        <v>75.03047091412742</v>
      </c>
      <c r="AS17" s="24">
        <f>IF(AND(A17&lt;&gt;"",X17&lt;&gt;0),SUM(X17,$AS$8)/$AS$2*100,"")</f>
        <v>82.019346378263677</v>
      </c>
      <c r="AT17" s="86">
        <f>IF(A17&lt;&gt;"",SUM(W17:X17,$AT$8)/$AT$2*100,"")</f>
        <v>82.019346378263677</v>
      </c>
      <c r="AU17" s="24">
        <f>AA17</f>
        <v>82.409673189131837</v>
      </c>
      <c r="AV17" s="24"/>
      <c r="AW17" s="27">
        <f>IF(A17&lt;&gt;"",AE17-AA17,"")</f>
        <v>-0.39032681086816012</v>
      </c>
      <c r="AY17" s="27">
        <f>AR17-AP17</f>
        <v>-17.472188660340663</v>
      </c>
      <c r="AZ17" s="27">
        <f>ABS(AY17)</f>
        <v>17.472188660340663</v>
      </c>
    </row>
    <row r="18" spans="1:52" s="27" customFormat="1" ht="12.75" customHeight="1" x14ac:dyDescent="0.2">
      <c r="A18" s="50">
        <v>34636</v>
      </c>
      <c r="B18" s="2">
        <v>25</v>
      </c>
      <c r="C18" s="50">
        <v>21</v>
      </c>
      <c r="D18" s="10">
        <v>19</v>
      </c>
      <c r="E18" s="10">
        <v>19</v>
      </c>
      <c r="F18" s="10">
        <v>20</v>
      </c>
      <c r="G18" s="10">
        <v>17</v>
      </c>
      <c r="H18" s="10" t="s">
        <v>69</v>
      </c>
      <c r="I18" s="10" t="s">
        <v>69</v>
      </c>
      <c r="J18" s="2"/>
      <c r="K18" s="10">
        <v>51</v>
      </c>
      <c r="L18" s="10">
        <v>45</v>
      </c>
      <c r="M18" s="10">
        <v>0</v>
      </c>
      <c r="N18" s="51">
        <v>0</v>
      </c>
      <c r="O18" s="11" t="s">
        <v>69</v>
      </c>
      <c r="P18" s="10"/>
      <c r="Q18" s="40"/>
      <c r="R18" s="2">
        <v>126</v>
      </c>
      <c r="S18" s="10">
        <f>IF(T18="",R18,MAX((R18+$R$8)/$R$2,(T18+$T$8)/$T$2)*$R$2-$R$8)</f>
        <v>126</v>
      </c>
      <c r="T18" s="62" t="s">
        <v>69</v>
      </c>
      <c r="U18" s="10">
        <f>IF(A18&lt;&gt;"",SUM(B18:I18),"")</f>
        <v>121</v>
      </c>
      <c r="V18" s="10">
        <f>IF(A18&lt;&gt;"",SUM(J18:O18),"")</f>
        <v>96</v>
      </c>
      <c r="W18" s="10">
        <f>IF(A18&lt;&gt;"",SUM(P18:Q18),"")</f>
        <v>0</v>
      </c>
      <c r="X18" s="10">
        <f>IF(A18&lt;&gt;"",SUM(S18:T18),"")</f>
        <v>126</v>
      </c>
      <c r="Y18" s="12" t="s">
        <v>69</v>
      </c>
      <c r="Z18" s="12">
        <f>IF(A18&lt;&gt;"",SUM(U18:Y18),"")</f>
        <v>343</v>
      </c>
      <c r="AA18" s="27">
        <f>IF(A18&lt;&gt;"",(Z18+Normalize_To_Add)/(Point_Total_So_Far)*100,"")</f>
        <v>41.809673189131843</v>
      </c>
      <c r="AB18" s="10">
        <f>IF(A18&lt;&gt;"",RANK(AA18,All_Student_XC),"")</f>
        <v>363</v>
      </c>
      <c r="AC18" s="31" t="str">
        <f>IF(A18&lt;&gt;"",CHOOSE(10-MIN(9,TRUNC((AA18+0.5)/10)),"A","B","C","D","F","F","F","F","F","F"),"")</f>
        <v>F</v>
      </c>
      <c r="AD18" s="31" t="str">
        <f>IF(A18&lt;&gt;"",IF(OR(AA18+0.5&gt;=93,AA18+0.5&lt;60),"",IF(MOD(AA18+0.5,10)&gt;=7,"+",IF(MOD(AA18+0.5,10)&lt;3,"-",""))),"")</f>
        <v/>
      </c>
      <c r="AE18" s="31">
        <f>IF(A18&lt;&gt;"",SUM(W18:X18,$W$8:$X$8)/SUM($W$2:$X$2)*100,"")</f>
        <v>40.219346378263687</v>
      </c>
      <c r="AF18" s="43" t="str">
        <f>IF(A18&lt;&gt;"",CHOOSE(10-MIN(9,TRUNC((AE18+0.5)/10)),"A","B","C","D","F","F","F","F","F","F"),"")</f>
        <v>F</v>
      </c>
      <c r="AG18" s="43" t="str">
        <f>IF(A18&lt;&gt;"",IF(OR(AE18+0.5&gt;=93,AE18+0.5&lt;60),"",IF(MOD(AE18+0.5,10)&gt;=7,"+",IF(MOD(AE18+0.5,10)&lt;3,"-",""))),"")</f>
        <v/>
      </c>
      <c r="AH18" s="35">
        <f>IF(A18&lt;&gt;"",MIN(MAX(AA18,AE18),AA18+$AH$8,AE18+$AH$8),"")</f>
        <v>41.809673189131843</v>
      </c>
      <c r="AI18" s="31" t="str">
        <f>IF(A18&lt;&gt;"",CHOOSE(10-MIN(9,TRUNC((AH18+0.5)/10)),"A","B","C","D","F","F","F","F","F","F"),"")</f>
        <v>F</v>
      </c>
      <c r="AJ18" s="31" t="str">
        <f>IF(A18&lt;&gt;"",IF(OR(AH18+0.5&gt;=93,AH18+0.5&lt;60),"",IF(MOD(AH18+0.5,10)&gt;=7,"+",IF(MOD(AH18+0.5,10)&lt;3,"-",""))),"")</f>
        <v/>
      </c>
      <c r="AK18" s="31" t="b">
        <f>IF(A18&lt;&gt;"",OR(AI18&lt;&gt;AC18,AJ18&lt;&gt;AD18),"")</f>
        <v>0</v>
      </c>
      <c r="AL18" s="81">
        <f>IF(AND(A18&lt;&gt;"",U18&gt;0),SUM(U18,$AL$8)/$AL$2*100,"")</f>
        <v>60.5</v>
      </c>
      <c r="AM18" s="24">
        <f>IF(AND(A18&lt;&gt;"",V18&gt;0),SUM(V18,$AM$8)/$AM$2*100,"")</f>
        <v>32</v>
      </c>
      <c r="AN18" s="24" t="str">
        <f>IF(AND(A18&lt;&gt;"",P18&lt;&gt;0),SUM(P18,$AN$8)/$AN$2*100,"")</f>
        <v/>
      </c>
      <c r="AO18" s="24" t="str">
        <f>IF(AND(A18&lt;&gt;"",Q18&lt;&gt;0),SUM(Q18,$AO$8)/$AO$2*100,"")</f>
        <v/>
      </c>
      <c r="AP18" s="24">
        <f>IF(AND(A18&lt;&gt;"",R18&lt;&gt;0),SUM(R18,$AP$8)/$AP$2*100,"")</f>
        <v>77.502659574468083</v>
      </c>
      <c r="AQ18" s="24" t="str">
        <f>IF(AND(A18&lt;&gt;"",W18&gt;0),SUM(W18,$AQ$8)/$AQ$2*100,"")</f>
        <v/>
      </c>
      <c r="AR18" s="24">
        <f>IF(AND(A18&lt;&gt;"",T18&gt;0),SUM(T18,$AR$8)/$AR$2*100,"")</f>
        <v>15.363804247460756</v>
      </c>
      <c r="AS18" s="24">
        <f>IF(AND(A18&lt;&gt;"",X18&lt;&gt;0),SUM(X18,$AS$8)/$AS$2*100,"")</f>
        <v>40.219346378263687</v>
      </c>
      <c r="AT18" s="86">
        <f>IF(A18&lt;&gt;"",SUM(W18:X18,$AT$8)/$AT$2*100,"")</f>
        <v>40.219346378263687</v>
      </c>
      <c r="AU18" s="24">
        <f>AA18</f>
        <v>41.809673189131843</v>
      </c>
      <c r="AV18" s="24"/>
      <c r="AW18" s="27">
        <f>IF(A18&lt;&gt;"",AE18-AA18,"")</f>
        <v>-1.5903268108681559</v>
      </c>
      <c r="AY18" s="27">
        <f>AR18-AP18</f>
        <v>-62.138855327007327</v>
      </c>
      <c r="AZ18" s="27">
        <f>ABS(AY18)</f>
        <v>62.138855327007327</v>
      </c>
    </row>
    <row r="19" spans="1:52" s="27" customFormat="1" ht="12.75" customHeight="1" x14ac:dyDescent="0.2">
      <c r="A19" s="10">
        <v>35154</v>
      </c>
      <c r="B19" s="2">
        <v>25</v>
      </c>
      <c r="C19" s="10">
        <v>22</v>
      </c>
      <c r="D19" s="10">
        <v>22</v>
      </c>
      <c r="E19" s="10">
        <v>25</v>
      </c>
      <c r="F19" s="10">
        <v>15</v>
      </c>
      <c r="G19" s="10">
        <v>25</v>
      </c>
      <c r="H19" s="10">
        <v>11</v>
      </c>
      <c r="I19" s="10">
        <v>25</v>
      </c>
      <c r="J19" s="2"/>
      <c r="K19" s="10">
        <v>52</v>
      </c>
      <c r="L19" s="10">
        <v>49</v>
      </c>
      <c r="M19" s="10">
        <v>28</v>
      </c>
      <c r="N19" s="51">
        <v>41</v>
      </c>
      <c r="O19" s="11">
        <v>45</v>
      </c>
      <c r="P19" s="10"/>
      <c r="Q19" s="40"/>
      <c r="R19" s="2">
        <v>122</v>
      </c>
      <c r="S19" s="10">
        <f>IF(T19="",R19,MAX((R19+$R$8)/$R$2,(T19+$T$8)/$T$2)*$R$2-$R$8)</f>
        <v>122.38895601265199</v>
      </c>
      <c r="T19" s="12">
        <v>181</v>
      </c>
      <c r="U19" s="7">
        <f>IF(A19&lt;&gt;"",SUM(B19:I19),"")</f>
        <v>170</v>
      </c>
      <c r="V19" s="10">
        <f>IF(A19&lt;&gt;"",SUM(J19:O19),"")</f>
        <v>215</v>
      </c>
      <c r="W19" s="10">
        <f>IF(A19&lt;&gt;"",SUM(P19:Q19),"")</f>
        <v>0</v>
      </c>
      <c r="X19" s="10">
        <f>IF(A19&lt;&gt;"",SUM(S19:T19),"")</f>
        <v>303.38895601265199</v>
      </c>
      <c r="Y19" s="12" t="s">
        <v>69</v>
      </c>
      <c r="Z19" s="12">
        <f>IF(A19&lt;&gt;"",SUM(U19:Y19),"")</f>
        <v>688.38895601265199</v>
      </c>
      <c r="AA19" s="27">
        <f>IF(A19&lt;&gt;"",(Z19+Normalize_To_Add)/(Point_Total_So_Far)*100,"")</f>
        <v>76.348568790397039</v>
      </c>
      <c r="AB19" s="10">
        <f>IF(A19&lt;&gt;"",RANK(AA19,All_Student_XC),"")</f>
        <v>259</v>
      </c>
      <c r="AC19" s="31" t="str">
        <f>IF(A19&lt;&gt;"",CHOOSE(10-MIN(9,TRUNC((AA19+0.5)/10)),"A","B","C","D","F","F","F","F","F","F"),"")</f>
        <v>C</v>
      </c>
      <c r="AD19" s="31" t="str">
        <f>IF(A19&lt;&gt;"",IF(OR(AA19+0.5&gt;=93,AA19+0.5&lt;60),"",IF(MOD(AA19+0.5,10)&gt;=7,"+",IF(MOD(AA19+0.5,10)&lt;3,"-",""))),"")</f>
        <v/>
      </c>
      <c r="AE19" s="31">
        <f>IF(A19&lt;&gt;"",SUM(W19:X19,$W$8:$X$8)/SUM($W$2:$X$2)*100,"")</f>
        <v>75.697137580794077</v>
      </c>
      <c r="AF19" s="43" t="str">
        <f>IF(A19&lt;&gt;"",CHOOSE(10-MIN(9,TRUNC((AE19+0.5)/10)),"A","B","C","D","F","F","F","F","F","F"),"")</f>
        <v>C</v>
      </c>
      <c r="AG19" s="43" t="str">
        <f>IF(A19&lt;&gt;"",IF(OR(AE19+0.5&gt;=93,AE19+0.5&lt;60),"",IF(MOD(AE19+0.5,10)&gt;=7,"+",IF(MOD(AE19+0.5,10)&lt;3,"-",""))),"")</f>
        <v/>
      </c>
      <c r="AH19" s="35">
        <f>IF(A19&lt;&gt;"",MIN(MAX(AA19,AE19),AA19+$AH$8,AE19+$AH$8),"")</f>
        <v>76.348568790397039</v>
      </c>
      <c r="AI19" s="31" t="str">
        <f>IF(A19&lt;&gt;"",CHOOSE(10-MIN(9,TRUNC((AH19+0.5)/10)),"A","B","C","D","F","F","F","F","F","F"),"")</f>
        <v>C</v>
      </c>
      <c r="AJ19" s="31" t="str">
        <f>IF(A19&lt;&gt;"",IF(OR(AH19+0.5&gt;=93,AH19+0.5&lt;60),"",IF(MOD(AH19+0.5,10)&gt;=7,"+",IF(MOD(AH19+0.5,10)&lt;3,"-",""))),"")</f>
        <v/>
      </c>
      <c r="AK19" s="31" t="b">
        <f>IF(A19&lt;&gt;"",OR(AI19&lt;&gt;AC19,AJ19&lt;&gt;AD19),"")</f>
        <v>0</v>
      </c>
      <c r="AL19" s="81">
        <f>IF(AND(A19&lt;&gt;"",U19&gt;0),SUM(U19,$AL$8)/$AL$2*100,"")</f>
        <v>85</v>
      </c>
      <c r="AM19" s="24">
        <f>IF(AND(A19&lt;&gt;"",V19&gt;0),SUM(V19,$AM$8)/$AM$2*100,"")</f>
        <v>71.666666666666671</v>
      </c>
      <c r="AN19" s="24" t="str">
        <f>IF(AND(A19&lt;&gt;"",P19&lt;&gt;0),SUM(P19,$AN$8)/$AN$2*100,"")</f>
        <v/>
      </c>
      <c r="AO19" s="24" t="str">
        <f>IF(AND(A19&lt;&gt;"",Q19&lt;&gt;0),SUM(Q19,$AO$8)/$AO$2*100,"")</f>
        <v/>
      </c>
      <c r="AP19" s="24">
        <f>IF(AND(A19&lt;&gt;"",R19&lt;&gt;0),SUM(R19,$AP$8)/$AP$2*100,"")</f>
        <v>75.502659574468083</v>
      </c>
      <c r="AQ19" s="24" t="str">
        <f>IF(AND(A19&lt;&gt;"",W19&gt;0),SUM(W19,$AQ$8)/$AQ$2*100,"")</f>
        <v/>
      </c>
      <c r="AR19" s="24">
        <f>IF(AND(A19&lt;&gt;"",T19&gt;0),SUM(T19,$AR$8)/$AR$2*100,"")</f>
        <v>75.697137580794077</v>
      </c>
      <c r="AS19" s="24">
        <f>IF(AND(A19&lt;&gt;"",X19&lt;&gt;0),SUM(X19,$AS$8)/$AS$2*100,"")</f>
        <v>75.697137580794077</v>
      </c>
      <c r="AT19" s="86">
        <f>IF(A19&lt;&gt;"",SUM(W19:X19,$AT$8)/$AT$2*100,"")</f>
        <v>75.697137580794077</v>
      </c>
      <c r="AU19" s="24">
        <f>AA19</f>
        <v>76.348568790397039</v>
      </c>
      <c r="AV19" s="24"/>
      <c r="AW19" s="27">
        <f>IF(A19&lt;&gt;"",AE19-AA19,"")</f>
        <v>-0.6514312096029613</v>
      </c>
      <c r="AY19" s="27">
        <f>AR19-AP19</f>
        <v>0.1944780063259941</v>
      </c>
      <c r="AZ19" s="27">
        <f>ABS(AY19)</f>
        <v>0.1944780063259941</v>
      </c>
    </row>
    <row r="20" spans="1:52" s="27" customFormat="1" ht="12.75" customHeight="1" x14ac:dyDescent="0.2">
      <c r="A20" s="50">
        <v>37072</v>
      </c>
      <c r="B20" s="2">
        <v>25</v>
      </c>
      <c r="C20" s="50">
        <v>23</v>
      </c>
      <c r="D20" s="10">
        <v>24</v>
      </c>
      <c r="E20" s="10">
        <v>24</v>
      </c>
      <c r="F20" s="10">
        <v>14</v>
      </c>
      <c r="G20" s="10">
        <v>25</v>
      </c>
      <c r="H20" s="10" t="s">
        <v>69</v>
      </c>
      <c r="I20" s="10" t="s">
        <v>69</v>
      </c>
      <c r="J20" s="2"/>
      <c r="K20" s="10">
        <v>54</v>
      </c>
      <c r="L20" s="10">
        <v>25</v>
      </c>
      <c r="M20" s="10">
        <v>10</v>
      </c>
      <c r="N20" s="51" t="s">
        <v>69</v>
      </c>
      <c r="O20" s="11" t="s">
        <v>69</v>
      </c>
      <c r="P20" s="10"/>
      <c r="Q20" s="40"/>
      <c r="R20" s="2">
        <v>111</v>
      </c>
      <c r="S20" s="10">
        <f>IF(T20="",R20,MAX((R20+$R$8)/$R$2,(T20+$T$8)/$T$2)*$R$2-$R$8)</f>
        <v>111</v>
      </c>
      <c r="T20" s="62" t="s">
        <v>69</v>
      </c>
      <c r="U20" s="10">
        <f>IF(A20&lt;&gt;"",SUM(B20:I20),"")</f>
        <v>135</v>
      </c>
      <c r="V20" s="10">
        <f>IF(A20&lt;&gt;"",SUM(J20:O20),"")</f>
        <v>89</v>
      </c>
      <c r="W20" s="10">
        <f>IF(A20&lt;&gt;"",SUM(P20:Q20),"")</f>
        <v>0</v>
      </c>
      <c r="X20" s="10">
        <f>IF(A20&lt;&gt;"",SUM(S20:T20),"")</f>
        <v>111</v>
      </c>
      <c r="Y20" s="12" t="s">
        <v>69</v>
      </c>
      <c r="Z20" s="12">
        <f>IF(A20&lt;&gt;"",SUM(U20:Y20),"")</f>
        <v>335</v>
      </c>
      <c r="AA20" s="27">
        <f>IF(A20&lt;&gt;"",(Z20+Normalize_To_Add)/(Point_Total_So_Far)*100,"")</f>
        <v>41.009673189131838</v>
      </c>
      <c r="AB20" s="10">
        <f>IF(A20&lt;&gt;"",RANK(AA20,All_Student_XC),"")</f>
        <v>365</v>
      </c>
      <c r="AC20" s="31" t="str">
        <f>IF(A20&lt;&gt;"",CHOOSE(10-MIN(9,TRUNC((AA20+0.5)/10)),"A","B","C","D","F","F","F","F","F","F"),"")</f>
        <v>F</v>
      </c>
      <c r="AD20" s="31" t="str">
        <f>IF(A20&lt;&gt;"",IF(OR(AA20+0.5&gt;=93,AA20+0.5&lt;60),"",IF(MOD(AA20+0.5,10)&gt;=7,"+",IF(MOD(AA20+0.5,10)&lt;3,"-",""))),"")</f>
        <v/>
      </c>
      <c r="AE20" s="31">
        <f>IF(A20&lt;&gt;"",SUM(W20:X20,$W$8:$X$8)/SUM($W$2:$X$2)*100,"")</f>
        <v>37.219346378263687</v>
      </c>
      <c r="AF20" s="43" t="str">
        <f>IF(A20&lt;&gt;"",CHOOSE(10-MIN(9,TRUNC((AE20+0.5)/10)),"A","B","C","D","F","F","F","F","F","F"),"")</f>
        <v>F</v>
      </c>
      <c r="AG20" s="43" t="str">
        <f>IF(A20&lt;&gt;"",IF(OR(AE20+0.5&gt;=93,AE20+0.5&lt;60),"",IF(MOD(AE20+0.5,10)&gt;=7,"+",IF(MOD(AE20+0.5,10)&lt;3,"-",""))),"")</f>
        <v/>
      </c>
      <c r="AH20" s="35">
        <f>IF(A20&lt;&gt;"",MIN(MAX(AA20,AE20),AA20+$AH$8,AE20+$AH$8),"")</f>
        <v>41.009673189131838</v>
      </c>
      <c r="AI20" s="31" t="str">
        <f>IF(A20&lt;&gt;"",CHOOSE(10-MIN(9,TRUNC((AH20+0.5)/10)),"A","B","C","D","F","F","F","F","F","F"),"")</f>
        <v>F</v>
      </c>
      <c r="AJ20" s="31" t="str">
        <f>IF(A20&lt;&gt;"",IF(OR(AH20+0.5&gt;=93,AH20+0.5&lt;60),"",IF(MOD(AH20+0.5,10)&gt;=7,"+",IF(MOD(AH20+0.5,10)&lt;3,"-",""))),"")</f>
        <v/>
      </c>
      <c r="AK20" s="31" t="b">
        <f>IF(A20&lt;&gt;"",OR(AI20&lt;&gt;AC20,AJ20&lt;&gt;AD20),"")</f>
        <v>0</v>
      </c>
      <c r="AL20" s="81">
        <f>IF(AND(A20&lt;&gt;"",U20&gt;0),SUM(U20,$AL$8)/$AL$2*100,"")</f>
        <v>67.5</v>
      </c>
      <c r="AM20" s="24">
        <f>IF(AND(A20&lt;&gt;"",V20&gt;0),SUM(V20,$AM$8)/$AM$2*100,"")</f>
        <v>29.666666666666668</v>
      </c>
      <c r="AN20" s="24" t="str">
        <f>IF(AND(A20&lt;&gt;"",P20&lt;&gt;0),SUM(P20,$AN$8)/$AN$2*100,"")</f>
        <v/>
      </c>
      <c r="AO20" s="24" t="str">
        <f>IF(AND(A20&lt;&gt;"",Q20&lt;&gt;0),SUM(Q20,$AO$8)/$AO$2*100,"")</f>
        <v/>
      </c>
      <c r="AP20" s="24">
        <f>IF(AND(A20&lt;&gt;"",R20&lt;&gt;0),SUM(R20,$AP$8)/$AP$2*100,"")</f>
        <v>70.002659574468083</v>
      </c>
      <c r="AQ20" s="24" t="str">
        <f>IF(AND(A20&lt;&gt;"",W20&gt;0),SUM(W20,$AQ$8)/$AQ$2*100,"")</f>
        <v/>
      </c>
      <c r="AR20" s="24">
        <f>IF(AND(A20&lt;&gt;"",T20&gt;0),SUM(T20,$AR$8)/$AR$2*100,"")</f>
        <v>15.363804247460756</v>
      </c>
      <c r="AS20" s="24">
        <f>IF(AND(A20&lt;&gt;"",X20&lt;&gt;0),SUM(X20,$AS$8)/$AS$2*100,"")</f>
        <v>37.219346378263687</v>
      </c>
      <c r="AT20" s="86">
        <f>IF(A20&lt;&gt;"",SUM(W20:X20,$AT$8)/$AT$2*100,"")</f>
        <v>37.219346378263687</v>
      </c>
      <c r="AU20" s="24">
        <f>AA20</f>
        <v>41.009673189131838</v>
      </c>
      <c r="AV20" s="24"/>
      <c r="AW20" s="27">
        <f>IF(A20&lt;&gt;"",AE20-AA20,"")</f>
        <v>-3.7903268108681516</v>
      </c>
      <c r="AY20" s="27">
        <f>AR20-AP20</f>
        <v>-54.638855327007327</v>
      </c>
      <c r="AZ20" s="27">
        <f>ABS(AY20)</f>
        <v>54.638855327007327</v>
      </c>
    </row>
    <row r="21" spans="1:52" s="27" customFormat="1" ht="12.75" customHeight="1" x14ac:dyDescent="0.2">
      <c r="A21" s="50">
        <v>43136</v>
      </c>
      <c r="B21" s="2">
        <v>25</v>
      </c>
      <c r="C21" s="50">
        <v>25</v>
      </c>
      <c r="D21" s="10">
        <v>24</v>
      </c>
      <c r="E21" s="10">
        <v>17</v>
      </c>
      <c r="F21" s="10">
        <v>25</v>
      </c>
      <c r="G21" s="10">
        <v>25</v>
      </c>
      <c r="H21" s="10">
        <v>22</v>
      </c>
      <c r="I21" s="10">
        <v>20</v>
      </c>
      <c r="J21" s="2"/>
      <c r="K21" s="10">
        <v>56</v>
      </c>
      <c r="L21" s="10">
        <v>60</v>
      </c>
      <c r="M21" s="10">
        <v>59</v>
      </c>
      <c r="N21" s="51">
        <v>61</v>
      </c>
      <c r="O21" s="11">
        <v>60</v>
      </c>
      <c r="P21" s="10"/>
      <c r="Q21" s="40"/>
      <c r="R21" s="2">
        <v>145</v>
      </c>
      <c r="S21" s="10">
        <f>IF(T21="",R21,MAX((R21+$R$8)/$R$2,(T21+$T$8)/$T$2)*$R$2-$R$8)</f>
        <v>145</v>
      </c>
      <c r="T21" s="62">
        <v>147</v>
      </c>
      <c r="U21" s="10">
        <f>IF(A21&lt;&gt;"",SUM(B21:I21),"")</f>
        <v>183</v>
      </c>
      <c r="V21" s="10">
        <f>IF(A21&lt;&gt;"",SUM(J21:O21),"")</f>
        <v>296</v>
      </c>
      <c r="W21" s="10">
        <f>IF(A21&lt;&gt;"",SUM(P21:Q21),"")</f>
        <v>0</v>
      </c>
      <c r="X21" s="10">
        <f>IF(A21&lt;&gt;"",SUM(S21:T21),"")</f>
        <v>292</v>
      </c>
      <c r="Y21" s="12">
        <v>3</v>
      </c>
      <c r="Z21" s="12">
        <f>IF(A21&lt;&gt;"",SUM(U21:Y21),"")</f>
        <v>774</v>
      </c>
      <c r="AA21" s="27">
        <f>IF(A21&lt;&gt;"",(Z21+Normalize_To_Add)/(Point_Total_So_Far)*100,"")</f>
        <v>84.909673189131837</v>
      </c>
      <c r="AB21" s="10">
        <f>IF(A21&lt;&gt;"",RANK(AA21,All_Student_XC),"")</f>
        <v>159</v>
      </c>
      <c r="AC21" s="31" t="str">
        <f>IF(A21&lt;&gt;"",CHOOSE(10-MIN(9,TRUNC((AA21+0.5)/10)),"A","B","C","D","F","F","F","F","F","F"),"")</f>
        <v>B</v>
      </c>
      <c r="AD21" s="31" t="str">
        <f>IF(A21&lt;&gt;"",IF(OR(AA21+0.5&gt;=93,AA21+0.5&lt;60),"",IF(MOD(AA21+0.5,10)&gt;=7,"+",IF(MOD(AA21+0.5,10)&lt;3,"-",""))),"")</f>
        <v/>
      </c>
      <c r="AE21" s="31">
        <f>IF(A21&lt;&gt;"",SUM(W21:X21,$W$8:$X$8)/SUM($W$2:$X$2)*100,"")</f>
        <v>73.419346378263683</v>
      </c>
      <c r="AF21" s="43" t="str">
        <f>IF(A21&lt;&gt;"",CHOOSE(10-MIN(9,TRUNC((AE21+0.5)/10)),"A","B","C","D","F","F","F","F","F","F"),"")</f>
        <v>C</v>
      </c>
      <c r="AG21" s="43" t="str">
        <f>IF(A21&lt;&gt;"",IF(OR(AE21+0.5&gt;=93,AE21+0.5&lt;60),"",IF(MOD(AE21+0.5,10)&gt;=7,"+",IF(MOD(AE21+0.5,10)&lt;3,"-",""))),"")</f>
        <v/>
      </c>
      <c r="AH21" s="35">
        <f>IF(A21&lt;&gt;"",MIN(MAX(AA21,AE21),AA21+$AH$8,AE21+$AH$8),"")</f>
        <v>84.909673189131837</v>
      </c>
      <c r="AI21" s="31" t="str">
        <f>IF(A21&lt;&gt;"",CHOOSE(10-MIN(9,TRUNC((AH21+0.5)/10)),"A","B","C","D","F","F","F","F","F","F"),"")</f>
        <v>B</v>
      </c>
      <c r="AJ21" s="31" t="str">
        <f>IF(A21&lt;&gt;"",IF(OR(AH21+0.5&gt;=93,AH21+0.5&lt;60),"",IF(MOD(AH21+0.5,10)&gt;=7,"+",IF(MOD(AH21+0.5,10)&lt;3,"-",""))),"")</f>
        <v/>
      </c>
      <c r="AK21" s="31" t="b">
        <f>IF(A21&lt;&gt;"",OR(AI21&lt;&gt;AC21,AJ21&lt;&gt;AD21),"")</f>
        <v>0</v>
      </c>
      <c r="AL21" s="81">
        <f>IF(AND(A21&lt;&gt;"",U21&gt;0),SUM(U21,$AL$8)/$AL$2*100,"")</f>
        <v>91.5</v>
      </c>
      <c r="AM21" s="24">
        <f>IF(AND(A21&lt;&gt;"",V21&gt;0),SUM(V21,$AM$8)/$AM$2*100,"")</f>
        <v>98.666666666666671</v>
      </c>
      <c r="AN21" s="24" t="str">
        <f>IF(AND(A21&lt;&gt;"",P21&lt;&gt;0),SUM(P21,$AN$8)/$AN$2*100,"")</f>
        <v/>
      </c>
      <c r="AO21" s="24" t="str">
        <f>IF(AND(A21&lt;&gt;"",Q21&lt;&gt;0),SUM(Q21,$AO$8)/$AO$2*100,"")</f>
        <v/>
      </c>
      <c r="AP21" s="24">
        <f>IF(AND(A21&lt;&gt;"",R21&lt;&gt;0),SUM(R21,$AP$8)/$AP$2*100,"")</f>
        <v>87.002659574468083</v>
      </c>
      <c r="AQ21" s="24" t="str">
        <f>IF(AND(A21&lt;&gt;"",W21&gt;0),SUM(W21,$AQ$8)/$AQ$2*100,"")</f>
        <v/>
      </c>
      <c r="AR21" s="24">
        <f>IF(AND(A21&lt;&gt;"",T21&gt;0),SUM(T21,$AR$8)/$AR$2*100,"")</f>
        <v>64.363804247460749</v>
      </c>
      <c r="AS21" s="24">
        <f>IF(AND(A21&lt;&gt;"",X21&lt;&gt;0),SUM(X21,$AS$8)/$AS$2*100,"")</f>
        <v>73.419346378263683</v>
      </c>
      <c r="AT21" s="86">
        <f>IF(A21&lt;&gt;"",SUM(W21:X21,$AT$8)/$AT$2*100,"")</f>
        <v>73.419346378263683</v>
      </c>
      <c r="AU21" s="24">
        <f>AA21</f>
        <v>84.909673189131837</v>
      </c>
      <c r="AV21" s="24"/>
      <c r="AW21" s="27">
        <f>IF(A21&lt;&gt;"",AE21-AA21,"")</f>
        <v>-11.490326810868154</v>
      </c>
      <c r="AY21" s="27">
        <f>AR21-AP21</f>
        <v>-22.638855327007334</v>
      </c>
      <c r="AZ21" s="27">
        <f>ABS(AY21)</f>
        <v>22.638855327007334</v>
      </c>
    </row>
    <row r="22" spans="1:52" s="27" customFormat="1" ht="12.75" customHeight="1" x14ac:dyDescent="0.2">
      <c r="A22" s="50">
        <v>46976</v>
      </c>
      <c r="B22" s="2">
        <v>18</v>
      </c>
      <c r="C22" s="50">
        <v>22</v>
      </c>
      <c r="D22" s="10" t="s">
        <v>69</v>
      </c>
      <c r="E22" s="10">
        <v>21</v>
      </c>
      <c r="F22" s="10">
        <v>4</v>
      </c>
      <c r="G22" s="10">
        <v>25</v>
      </c>
      <c r="H22" s="10">
        <v>25</v>
      </c>
      <c r="I22" s="10">
        <v>18</v>
      </c>
      <c r="J22" s="2"/>
      <c r="K22" s="10">
        <v>45</v>
      </c>
      <c r="L22" s="10">
        <v>32</v>
      </c>
      <c r="M22" s="10">
        <v>23</v>
      </c>
      <c r="N22" s="51">
        <v>41</v>
      </c>
      <c r="O22" s="11">
        <v>60</v>
      </c>
      <c r="P22" s="10"/>
      <c r="Q22" s="40"/>
      <c r="R22" s="2">
        <v>76</v>
      </c>
      <c r="S22" s="10">
        <f>IF(T22="",R22,MAX((R22+$R$8)/$R$2,(T22+$T$8)/$T$2)*$R$2-$R$8)</f>
        <v>102.38895601265202</v>
      </c>
      <c r="T22" s="62">
        <v>151</v>
      </c>
      <c r="U22" s="10">
        <f>IF(A22&lt;&gt;"",SUM(B22:I22),"")</f>
        <v>133</v>
      </c>
      <c r="V22" s="10">
        <f>IF(A22&lt;&gt;"",SUM(J22:O22),"")</f>
        <v>201</v>
      </c>
      <c r="W22" s="10">
        <f>IF(A22&lt;&gt;"",SUM(P22:Q22),"")</f>
        <v>0</v>
      </c>
      <c r="X22" s="10">
        <f>IF(A22&lt;&gt;"",SUM(S22:T22),"")</f>
        <v>253.38895601265202</v>
      </c>
      <c r="Y22" s="12" t="s">
        <v>69</v>
      </c>
      <c r="Z22" s="12">
        <f>IF(A22&lt;&gt;"",SUM(U22:Y22),"")</f>
        <v>587.38895601265199</v>
      </c>
      <c r="AA22" s="27">
        <f>IF(A22&lt;&gt;"",(Z22+Normalize_To_Add)/(Point_Total_So_Far)*100,"")</f>
        <v>66.248568790397044</v>
      </c>
      <c r="AB22" s="10">
        <f>IF(A22&lt;&gt;"",RANK(AA22,All_Student_XC),"")</f>
        <v>333</v>
      </c>
      <c r="AC22" s="31" t="str">
        <f>IF(A22&lt;&gt;"",CHOOSE(10-MIN(9,TRUNC((AA22+0.5)/10)),"A","B","C","D","F","F","F","F","F","F"),"")</f>
        <v>D</v>
      </c>
      <c r="AD22" s="31" t="str">
        <f>IF(A22&lt;&gt;"",IF(OR(AA22+0.5&gt;=93,AA22+0.5&lt;60),"",IF(MOD(AA22+0.5,10)&gt;=7,"+",IF(MOD(AA22+0.5,10)&lt;3,"-",""))),"")</f>
        <v/>
      </c>
      <c r="AE22" s="31">
        <f>IF(A22&lt;&gt;"",SUM(W22:X22,$W$8:$X$8)/SUM($W$2:$X$2)*100,"")</f>
        <v>65.697137580794092</v>
      </c>
      <c r="AF22" s="43" t="str">
        <f>IF(A22&lt;&gt;"",CHOOSE(10-MIN(9,TRUNC((AE22+0.5)/10)),"A","B","C","D","F","F","F","F","F","F"),"")</f>
        <v>D</v>
      </c>
      <c r="AG22" s="43" t="str">
        <f>IF(A22&lt;&gt;"",IF(OR(AE22+0.5&gt;=93,AE22+0.5&lt;60),"",IF(MOD(AE22+0.5,10)&gt;=7,"+",IF(MOD(AE22+0.5,10)&lt;3,"-",""))),"")</f>
        <v/>
      </c>
      <c r="AH22" s="35">
        <f>IF(A22&lt;&gt;"",MIN(MAX(AA22,AE22),AA22+$AH$8,AE22+$AH$8),"")</f>
        <v>66.248568790397044</v>
      </c>
      <c r="AI22" s="31" t="str">
        <f>IF(A22&lt;&gt;"",CHOOSE(10-MIN(9,TRUNC((AH22+0.5)/10)),"A","B","C","D","F","F","F","F","F","F"),"")</f>
        <v>D</v>
      </c>
      <c r="AJ22" s="31" t="str">
        <f>IF(A22&lt;&gt;"",IF(OR(AH22+0.5&gt;=93,AH22+0.5&lt;60),"",IF(MOD(AH22+0.5,10)&gt;=7,"+",IF(MOD(AH22+0.5,10)&lt;3,"-",""))),"")</f>
        <v/>
      </c>
      <c r="AK22" s="31" t="b">
        <f>IF(A22&lt;&gt;"",OR(AI22&lt;&gt;AC22,AJ22&lt;&gt;AD22),"")</f>
        <v>0</v>
      </c>
      <c r="AL22" s="81">
        <f>IF(AND(A22&lt;&gt;"",U22&gt;0),SUM(U22,$AL$8)/$AL$2*100,"")</f>
        <v>66.5</v>
      </c>
      <c r="AM22" s="24">
        <f>IF(AND(A22&lt;&gt;"",V22&gt;0),SUM(V22,$AM$8)/$AM$2*100,"")</f>
        <v>67</v>
      </c>
      <c r="AN22" s="24" t="str">
        <f>IF(AND(A22&lt;&gt;"",P22&lt;&gt;0),SUM(P22,$AN$8)/$AN$2*100,"")</f>
        <v/>
      </c>
      <c r="AO22" s="24" t="str">
        <f>IF(AND(A22&lt;&gt;"",Q22&lt;&gt;0),SUM(Q22,$AO$8)/$AO$2*100,"")</f>
        <v/>
      </c>
      <c r="AP22" s="24">
        <f>IF(AND(A22&lt;&gt;"",R22&lt;&gt;0),SUM(R22,$AP$8)/$AP$2*100,"")</f>
        <v>52.502659574468083</v>
      </c>
      <c r="AQ22" s="24" t="str">
        <f>IF(AND(A22&lt;&gt;"",W22&gt;0),SUM(W22,$AQ$8)/$AQ$2*100,"")</f>
        <v/>
      </c>
      <c r="AR22" s="24">
        <f>IF(AND(A22&lt;&gt;"",T22&gt;0),SUM(T22,$AR$8)/$AR$2*100,"")</f>
        <v>65.697137580794092</v>
      </c>
      <c r="AS22" s="24">
        <f>IF(AND(A22&lt;&gt;"",X22&lt;&gt;0),SUM(X22,$AS$8)/$AS$2*100,"")</f>
        <v>65.697137580794092</v>
      </c>
      <c r="AT22" s="86">
        <f>IF(A22&lt;&gt;"",SUM(W22:X22,$AT$8)/$AT$2*100,"")</f>
        <v>65.697137580794092</v>
      </c>
      <c r="AU22" s="24">
        <f>AA22</f>
        <v>66.248568790397044</v>
      </c>
      <c r="AV22" s="24"/>
      <c r="AW22" s="27">
        <f>IF(A22&lt;&gt;"",AE22-AA22,"")</f>
        <v>-0.55143120960295278</v>
      </c>
      <c r="AY22" s="27">
        <f>AR22-AP22</f>
        <v>13.194478006326008</v>
      </c>
      <c r="AZ22" s="27">
        <f>ABS(AY22)</f>
        <v>13.194478006326008</v>
      </c>
    </row>
    <row r="23" spans="1:52" s="27" customFormat="1" ht="12.75" customHeight="1" x14ac:dyDescent="0.2">
      <c r="A23" s="10">
        <v>47838</v>
      </c>
      <c r="B23" s="2">
        <v>24</v>
      </c>
      <c r="C23" s="10">
        <v>18</v>
      </c>
      <c r="D23" s="10">
        <v>20</v>
      </c>
      <c r="E23" s="10">
        <v>22</v>
      </c>
      <c r="F23" s="10">
        <v>20</v>
      </c>
      <c r="G23" s="10">
        <v>25</v>
      </c>
      <c r="H23" s="10">
        <v>21</v>
      </c>
      <c r="I23" s="10">
        <v>23</v>
      </c>
      <c r="J23" s="2"/>
      <c r="K23" s="10">
        <v>48</v>
      </c>
      <c r="L23" s="10">
        <v>49</v>
      </c>
      <c r="M23" s="10">
        <v>53</v>
      </c>
      <c r="N23" s="51">
        <v>59</v>
      </c>
      <c r="O23" s="11">
        <v>45</v>
      </c>
      <c r="P23" s="10"/>
      <c r="Q23" s="40"/>
      <c r="R23" s="2">
        <v>99</v>
      </c>
      <c r="S23" s="10">
        <f>IF(T23="",R23,MAX((R23+$R$8)/$R$2,(T23+$T$8)/$T$2)*$R$2-$R$8)</f>
        <v>109.05562267931867</v>
      </c>
      <c r="T23" s="12">
        <v>161</v>
      </c>
      <c r="U23" s="34">
        <f>IF(A23&lt;&gt;"",SUM(B23:I23),"")</f>
        <v>173</v>
      </c>
      <c r="V23" s="10">
        <f>IF(A23&lt;&gt;"",SUM(J23:O23),"")</f>
        <v>254</v>
      </c>
      <c r="W23" s="10">
        <f>IF(A23&lt;&gt;"",SUM(P23:Q23),"")</f>
        <v>0</v>
      </c>
      <c r="X23" s="10">
        <f>IF(A23&lt;&gt;"",SUM(S23:T23),"")</f>
        <v>270.05562267931867</v>
      </c>
      <c r="Y23" s="12">
        <v>3</v>
      </c>
      <c r="Z23" s="12">
        <f>IF(A23&lt;&gt;"",SUM(U23:Y23),"")</f>
        <v>700.05562267931873</v>
      </c>
      <c r="AA23" s="27">
        <f>IF(A23&lt;&gt;"",(Z23+Normalize_To_Add)/(Point_Total_So_Far)*100,"")</f>
        <v>77.51523545706371</v>
      </c>
      <c r="AB23" s="10">
        <f>IF(A23&lt;&gt;"",RANK(AA23,All_Student_XC),"")</f>
        <v>249</v>
      </c>
      <c r="AC23" s="31" t="str">
        <f>IF(A23&lt;&gt;"",CHOOSE(10-MIN(9,TRUNC((AA23+0.5)/10)),"A","B","C","D","F","F","F","F","F","F"),"")</f>
        <v>C</v>
      </c>
      <c r="AD23" s="31" t="str">
        <f>IF(A23&lt;&gt;"",IF(OR(AA23+0.5&gt;=93,AA23+0.5&lt;60),"",IF(MOD(AA23+0.5,10)&gt;=7,"+",IF(MOD(AA23+0.5,10)&lt;3,"-",""))),"")</f>
        <v>+</v>
      </c>
      <c r="AE23" s="31">
        <f>IF(A23&lt;&gt;"",SUM(W23:X23,$W$8:$X$8)/SUM($W$2:$X$2)*100,"")</f>
        <v>69.03047091412742</v>
      </c>
      <c r="AF23" s="31" t="str">
        <f>IF(A23&lt;&gt;"",CHOOSE(10-MIN(9,TRUNC((AE23+0.5)/10)),"A","B","C","D","F","F","F","F","F","F"),"")</f>
        <v>D</v>
      </c>
      <c r="AG23" s="31" t="str">
        <f>IF(A23&lt;&gt;"",IF(OR(AE23+0.5&gt;=93,AE23+0.5&lt;60),"",IF(MOD(AE23+0.5,10)&gt;=7,"+",IF(MOD(AE23+0.5,10)&lt;3,"-",""))),"")</f>
        <v>+</v>
      </c>
      <c r="AH23" s="35">
        <f>IF(A23&lt;&gt;"",MIN(MAX(AA23,AE23),AA23+$AH$8,AE23+$AH$8),"")</f>
        <v>77.51523545706371</v>
      </c>
      <c r="AI23" s="31" t="str">
        <f>IF(A23&lt;&gt;"",CHOOSE(10-MIN(9,TRUNC((AH23+0.5)/10)),"A","B","C","D","F","F","F","F","F","F"),"")</f>
        <v>C</v>
      </c>
      <c r="AJ23" s="31" t="str">
        <f>IF(A23&lt;&gt;"",IF(OR(AH23+0.5&gt;=93,AH23+0.5&lt;60),"",IF(MOD(AH23+0.5,10)&gt;=7,"+",IF(MOD(AH23+0.5,10)&lt;3,"-",""))),"")</f>
        <v>+</v>
      </c>
      <c r="AK23" s="31" t="b">
        <f>IF(A23&lt;&gt;"",OR(AI23&lt;&gt;AC23,AJ23&lt;&gt;AD23),"")</f>
        <v>0</v>
      </c>
      <c r="AL23" s="81">
        <f>IF(AND(A23&lt;&gt;"",U23&gt;0),SUM(U23,$AL$8)/$AL$2*100,"")</f>
        <v>86.5</v>
      </c>
      <c r="AM23" s="24">
        <f>IF(AND(A23&lt;&gt;"",V23&gt;0),SUM(V23,$AM$8)/$AM$2*100,"")</f>
        <v>84.666666666666671</v>
      </c>
      <c r="AN23" s="24" t="str">
        <f>IF(AND(A23&lt;&gt;"",P23&lt;&gt;0),SUM(P23,$AN$8)/$AN$2*100,"")</f>
        <v/>
      </c>
      <c r="AO23" s="24" t="str">
        <f>IF(AND(A23&lt;&gt;"",Q23&lt;&gt;0),SUM(Q23,$AO$8)/$AO$2*100,"")</f>
        <v/>
      </c>
      <c r="AP23" s="24">
        <f>IF(AND(A23&lt;&gt;"",R23&lt;&gt;0),SUM(R23,$AP$8)/$AP$2*100,"")</f>
        <v>64.002659574468083</v>
      </c>
      <c r="AQ23" s="24" t="str">
        <f>IF(AND(A23&lt;&gt;"",W23&gt;0),SUM(W23,$AQ$8)/$AQ$2*100,"")</f>
        <v/>
      </c>
      <c r="AR23" s="24">
        <f>IF(AND(A23&lt;&gt;"",T23&gt;0),SUM(T23,$AR$8)/$AR$2*100,"")</f>
        <v>69.03047091412742</v>
      </c>
      <c r="AS23" s="24">
        <f>IF(AND(A23&lt;&gt;"",X23&lt;&gt;0),SUM(X23,$AS$8)/$AS$2*100,"")</f>
        <v>69.03047091412742</v>
      </c>
      <c r="AT23" s="86">
        <f>IF(A23&lt;&gt;"",SUM(W23:X23,$AT$8)/$AT$2*100,"")</f>
        <v>69.03047091412742</v>
      </c>
      <c r="AU23" s="24">
        <f>AA23</f>
        <v>77.51523545706371</v>
      </c>
      <c r="AV23" s="24"/>
      <c r="AW23" s="27">
        <f>IF(A23&lt;&gt;"",AE23-AA23,"")</f>
        <v>-8.4847645429362899</v>
      </c>
      <c r="AY23" s="27">
        <f>AR23-AP23</f>
        <v>5.0278113396593369</v>
      </c>
      <c r="AZ23" s="27">
        <f>ABS(AY23)</f>
        <v>5.0278113396593369</v>
      </c>
    </row>
    <row r="24" spans="1:52" s="27" customFormat="1" ht="12.75" customHeight="1" x14ac:dyDescent="0.2">
      <c r="A24" s="50">
        <v>50872</v>
      </c>
      <c r="B24" s="2">
        <v>25</v>
      </c>
      <c r="C24" s="10">
        <v>19</v>
      </c>
      <c r="D24" s="10">
        <v>22</v>
      </c>
      <c r="E24" s="10">
        <v>24</v>
      </c>
      <c r="F24" s="10">
        <v>12</v>
      </c>
      <c r="G24" s="10">
        <v>25</v>
      </c>
      <c r="H24" s="10" t="s">
        <v>69</v>
      </c>
      <c r="I24" s="10">
        <v>25</v>
      </c>
      <c r="J24" s="2"/>
      <c r="K24" s="10">
        <v>62</v>
      </c>
      <c r="L24" s="10">
        <v>59</v>
      </c>
      <c r="M24" s="10">
        <v>59</v>
      </c>
      <c r="N24" s="51">
        <v>57</v>
      </c>
      <c r="O24" s="11">
        <v>60</v>
      </c>
      <c r="P24" s="10"/>
      <c r="Q24" s="40"/>
      <c r="R24" s="2">
        <v>140</v>
      </c>
      <c r="S24" s="10">
        <f>IF(T24="",R24,MAX((R24+$R$8)/$R$2,(T24+$T$8)/$T$2)*$R$2-$R$8)</f>
        <v>140</v>
      </c>
      <c r="T24" s="12">
        <v>146</v>
      </c>
      <c r="U24" s="7">
        <f>IF(A24&lt;&gt;"",SUM(B24:I24),"")</f>
        <v>152</v>
      </c>
      <c r="V24" s="10">
        <f>IF(A24&lt;&gt;"",SUM(J24:O24),"")</f>
        <v>297</v>
      </c>
      <c r="W24" s="10">
        <f>IF(A24&lt;&gt;"",SUM(P24:Q24),"")</f>
        <v>0</v>
      </c>
      <c r="X24" s="10">
        <f>IF(A24&lt;&gt;"",SUM(S24:T24),"")</f>
        <v>286</v>
      </c>
      <c r="Y24" s="12">
        <v>3</v>
      </c>
      <c r="Z24" s="12">
        <f>IF(A24&lt;&gt;"",SUM(U24:Y24),"")</f>
        <v>738</v>
      </c>
      <c r="AA24" s="27">
        <f>IF(A24&lt;&gt;"",(Z24+Normalize_To_Add)/(Point_Total_So_Far)*100,"")</f>
        <v>81.309673189131843</v>
      </c>
      <c r="AB24" s="10">
        <f>IF(A24&lt;&gt;"",RANK(AA24,All_Student_XC),"")</f>
        <v>193</v>
      </c>
      <c r="AC24" s="31" t="str">
        <f>IF(A24&lt;&gt;"",CHOOSE(10-MIN(9,TRUNC((AA24+0.5)/10)),"A","B","C","D","F","F","F","F","F","F"),"")</f>
        <v>B</v>
      </c>
      <c r="AD24" s="31" t="str">
        <f>IF(A24&lt;&gt;"",IF(OR(AA24+0.5&gt;=93,AA24+0.5&lt;60),"",IF(MOD(AA24+0.5,10)&gt;=7,"+",IF(MOD(AA24+0.5,10)&lt;3,"-",""))),"")</f>
        <v>-</v>
      </c>
      <c r="AE24" s="31">
        <f>IF(A24&lt;&gt;"",SUM(W24:X24,$W$8:$X$8)/SUM($W$2:$X$2)*100,"")</f>
        <v>72.21934637826368</v>
      </c>
      <c r="AF24" s="31" t="str">
        <f>IF(A24&lt;&gt;"",CHOOSE(10-MIN(9,TRUNC((AE24+0.5)/10)),"A","B","C","D","F","F","F","F","F","F"),"")</f>
        <v>C</v>
      </c>
      <c r="AG24" s="31" t="str">
        <f>IF(A24&lt;&gt;"",IF(OR(AE24+0.5&gt;=93,AE24+0.5&lt;60),"",IF(MOD(AE24+0.5,10)&gt;=7,"+",IF(MOD(AE24+0.5,10)&lt;3,"-",""))),"")</f>
        <v>-</v>
      </c>
      <c r="AH24" s="35">
        <f>IF(A24&lt;&gt;"",MIN(MAX(AA24,AE24),AA24+$AH$8,AE24+$AH$8),"")</f>
        <v>81.309673189131843</v>
      </c>
      <c r="AI24" s="31" t="str">
        <f>IF(A24&lt;&gt;"",CHOOSE(10-MIN(9,TRUNC((AH24+0.5)/10)),"A","B","C","D","F","F","F","F","F","F"),"")</f>
        <v>B</v>
      </c>
      <c r="AJ24" s="31" t="str">
        <f>IF(A24&lt;&gt;"",IF(OR(AH24+0.5&gt;=93,AH24+0.5&lt;60),"",IF(MOD(AH24+0.5,10)&gt;=7,"+",IF(MOD(AH24+0.5,10)&lt;3,"-",""))),"")</f>
        <v>-</v>
      </c>
      <c r="AK24" s="31" t="b">
        <f>IF(A24&lt;&gt;"",OR(AI24&lt;&gt;AC24,AJ24&lt;&gt;AD24),"")</f>
        <v>0</v>
      </c>
      <c r="AL24" s="81">
        <f>IF(AND(A24&lt;&gt;"",U24&gt;0),SUM(U24,$AL$8)/$AL$2*100,"")</f>
        <v>76</v>
      </c>
      <c r="AM24" s="24">
        <f>IF(AND(A24&lt;&gt;"",V24&gt;0),SUM(V24,$AM$8)/$AM$2*100,"")</f>
        <v>99</v>
      </c>
      <c r="AN24" s="24" t="str">
        <f>IF(AND(A24&lt;&gt;"",P24&lt;&gt;0),SUM(P24,$AN$8)/$AN$2*100,"")</f>
        <v/>
      </c>
      <c r="AO24" s="24" t="str">
        <f>IF(AND(A24&lt;&gt;"",Q24&lt;&gt;0),SUM(Q24,$AO$8)/$AO$2*100,"")</f>
        <v/>
      </c>
      <c r="AP24" s="24">
        <f>IF(AND(A24&lt;&gt;"",R24&lt;&gt;0),SUM(R24,$AP$8)/$AP$2*100,"")</f>
        <v>84.502659574468083</v>
      </c>
      <c r="AQ24" s="24" t="str">
        <f>IF(AND(A24&lt;&gt;"",W24&gt;0),SUM(W24,$AQ$8)/$AQ$2*100,"")</f>
        <v/>
      </c>
      <c r="AR24" s="24">
        <f>IF(AND(A24&lt;&gt;"",T24&gt;0),SUM(T24,$AR$8)/$AR$2*100,"")</f>
        <v>64.03047091412742</v>
      </c>
      <c r="AS24" s="24">
        <f>IF(AND(A24&lt;&gt;"",X24&lt;&gt;0),SUM(X24,$AS$8)/$AS$2*100,"")</f>
        <v>72.21934637826368</v>
      </c>
      <c r="AT24" s="86">
        <f>IF(A24&lt;&gt;"",SUM(W24:X24,$AT$8)/$AT$2*100,"")</f>
        <v>72.21934637826368</v>
      </c>
      <c r="AU24" s="24">
        <f>AA24</f>
        <v>81.309673189131843</v>
      </c>
      <c r="AV24" s="24"/>
      <c r="AW24" s="27">
        <f>IF(A24&lt;&gt;"",AE24-AA24,"")</f>
        <v>-9.090326810868163</v>
      </c>
      <c r="AY24" s="27">
        <f>AR24-AP24</f>
        <v>-20.472188660340663</v>
      </c>
      <c r="AZ24" s="27">
        <f>ABS(AY24)</f>
        <v>20.472188660340663</v>
      </c>
    </row>
    <row r="25" spans="1:52" s="27" customFormat="1" ht="12.75" customHeight="1" x14ac:dyDescent="0.2">
      <c r="A25" s="10">
        <v>51014</v>
      </c>
      <c r="B25" s="2">
        <v>25</v>
      </c>
      <c r="C25" s="10">
        <v>25</v>
      </c>
      <c r="D25" s="10">
        <v>23</v>
      </c>
      <c r="E25" s="10">
        <v>25</v>
      </c>
      <c r="F25" s="10">
        <v>19</v>
      </c>
      <c r="G25" s="10">
        <v>25</v>
      </c>
      <c r="H25" s="10">
        <v>24</v>
      </c>
      <c r="I25" s="10">
        <v>23</v>
      </c>
      <c r="J25" s="2"/>
      <c r="K25" s="10">
        <v>57</v>
      </c>
      <c r="L25" s="10">
        <v>62</v>
      </c>
      <c r="M25" s="10">
        <v>59</v>
      </c>
      <c r="N25" s="51">
        <v>60</v>
      </c>
      <c r="O25" s="11">
        <v>62</v>
      </c>
      <c r="P25" s="10"/>
      <c r="Q25" s="40"/>
      <c r="R25" s="2">
        <v>98</v>
      </c>
      <c r="S25" s="10">
        <f>IF(T25="",R25,MAX((R25+$R$8)/$R$2,(T25+$T$8)/$T$2)*$R$2-$R$8)</f>
        <v>144.38895601265199</v>
      </c>
      <c r="T25" s="12">
        <v>214</v>
      </c>
      <c r="U25" s="34">
        <f>IF(A25&lt;&gt;"",SUM(B25:I25),"")</f>
        <v>189</v>
      </c>
      <c r="V25" s="10">
        <f>IF(A25&lt;&gt;"",SUM(J25:O25),"")</f>
        <v>300</v>
      </c>
      <c r="W25" s="10">
        <f>IF(A25&lt;&gt;"",SUM(P25:Q25),"")</f>
        <v>0</v>
      </c>
      <c r="X25" s="10">
        <f>IF(A25&lt;&gt;"",SUM(S25:T25),"")</f>
        <v>358.38895601265199</v>
      </c>
      <c r="Y25" s="12">
        <v>3</v>
      </c>
      <c r="Z25" s="12">
        <f>IF(A25&lt;&gt;"",SUM(U25:Y25),"")</f>
        <v>850.38895601265199</v>
      </c>
      <c r="AA25" s="27">
        <f>IF(A25&lt;&gt;"",(Z25+Normalize_To_Add)/(Point_Total_So_Far)*100,"")</f>
        <v>92.548568790397042</v>
      </c>
      <c r="AB25" s="10">
        <f>IF(A25&lt;&gt;"",RANK(AA25,All_Student_XC),"")</f>
        <v>53</v>
      </c>
      <c r="AC25" s="31" t="str">
        <f>IF(A25&lt;&gt;"",CHOOSE(10-MIN(9,TRUNC((AA25+0.5)/10)),"A","B","C","D","F","F","F","F","F","F"),"")</f>
        <v>A</v>
      </c>
      <c r="AD25" s="31" t="str">
        <f>IF(A25&lt;&gt;"",IF(OR(AA25+0.5&gt;=93,AA25+0.5&lt;60),"",IF(MOD(AA25+0.5,10)&gt;=7,"+",IF(MOD(AA25+0.5,10)&lt;3,"-",""))),"")</f>
        <v/>
      </c>
      <c r="AE25" s="31">
        <f>IF(A25&lt;&gt;"",SUM(W25:X25,$W$8:$X$8)/SUM($W$2:$X$2)*100,"")</f>
        <v>86.697137580794077</v>
      </c>
      <c r="AF25" s="31" t="str">
        <f>IF(A25&lt;&gt;"",CHOOSE(10-MIN(9,TRUNC((AE25+0.5)/10)),"A","B","C","D","F","F","F","F","F","F"),"")</f>
        <v>B</v>
      </c>
      <c r="AG25" s="31" t="str">
        <f>IF(A25&lt;&gt;"",IF(OR(AE25+0.5&gt;=93,AE25+0.5&lt;60),"",IF(MOD(AE25+0.5,10)&gt;=7,"+",IF(MOD(AE25+0.5,10)&lt;3,"-",""))),"")</f>
        <v>+</v>
      </c>
      <c r="AH25" s="35">
        <f>IF(A25&lt;&gt;"",MIN(MAX(AA25,AE25),AA25+$AH$8,AE25+$AH$8),"")</f>
        <v>92.548568790397042</v>
      </c>
      <c r="AI25" s="31" t="str">
        <f>IF(A25&lt;&gt;"",CHOOSE(10-MIN(9,TRUNC((AH25+0.5)/10)),"A","B","C","D","F","F","F","F","F","F"),"")</f>
        <v>A</v>
      </c>
      <c r="AJ25" s="31" t="str">
        <f>IF(A25&lt;&gt;"",IF(OR(AH25+0.5&gt;=93,AH25+0.5&lt;60),"",IF(MOD(AH25+0.5,10)&gt;=7,"+",IF(MOD(AH25+0.5,10)&lt;3,"-",""))),"")</f>
        <v/>
      </c>
      <c r="AK25" s="31" t="b">
        <f>IF(A25&lt;&gt;"",OR(AI25&lt;&gt;AC25,AJ25&lt;&gt;AD25),"")</f>
        <v>0</v>
      </c>
      <c r="AL25" s="81">
        <f>IF(AND(A25&lt;&gt;"",U25&gt;0),SUM(U25,$AL$8)/$AL$2*100,"")</f>
        <v>94.5</v>
      </c>
      <c r="AM25" s="24">
        <f>IF(AND(A25&lt;&gt;"",V25&gt;0),SUM(V25,$AM$8)/$AM$2*100,"")</f>
        <v>100</v>
      </c>
      <c r="AN25" s="24" t="str">
        <f>IF(AND(A25&lt;&gt;"",P25&lt;&gt;0),SUM(P25,$AN$8)/$AN$2*100,"")</f>
        <v/>
      </c>
      <c r="AO25" s="24" t="str">
        <f>IF(AND(A25&lt;&gt;"",Q25&lt;&gt;0),SUM(Q25,$AO$8)/$AO$2*100,"")</f>
        <v/>
      </c>
      <c r="AP25" s="24">
        <f>IF(AND(A25&lt;&gt;"",R25&lt;&gt;0),SUM(R25,$AP$8)/$AP$2*100,"")</f>
        <v>63.502659574468076</v>
      </c>
      <c r="AQ25" s="24" t="str">
        <f>IF(AND(A25&lt;&gt;"",W25&gt;0),SUM(W25,$AQ$8)/$AQ$2*100,"")</f>
        <v/>
      </c>
      <c r="AR25" s="24">
        <f>IF(AND(A25&lt;&gt;"",T25&gt;0),SUM(T25,$AR$8)/$AR$2*100,"")</f>
        <v>86.697137580794077</v>
      </c>
      <c r="AS25" s="24">
        <f>IF(AND(A25&lt;&gt;"",X25&lt;&gt;0),SUM(X25,$AS$8)/$AS$2*100,"")</f>
        <v>86.697137580794077</v>
      </c>
      <c r="AT25" s="86">
        <f>IF(A25&lt;&gt;"",SUM(W25:X25,$AT$8)/$AT$2*100,"")</f>
        <v>86.697137580794077</v>
      </c>
      <c r="AU25" s="24">
        <f>AA25</f>
        <v>92.548568790397042</v>
      </c>
      <c r="AV25" s="24"/>
      <c r="AW25" s="27">
        <f>IF(A25&lt;&gt;"",AE25-AA25,"")</f>
        <v>-5.8514312096029641</v>
      </c>
      <c r="AY25" s="27">
        <f>AR25-AP25</f>
        <v>23.194478006326001</v>
      </c>
      <c r="AZ25" s="27">
        <f>ABS(AY25)</f>
        <v>23.194478006326001</v>
      </c>
    </row>
    <row r="26" spans="1:52" s="27" customFormat="1" ht="12.75" customHeight="1" x14ac:dyDescent="0.2">
      <c r="A26" s="10">
        <v>51646</v>
      </c>
      <c r="B26" s="2">
        <v>25</v>
      </c>
      <c r="C26" s="10">
        <v>25</v>
      </c>
      <c r="D26" s="10">
        <v>25</v>
      </c>
      <c r="E26" s="10">
        <v>25</v>
      </c>
      <c r="F26" s="10">
        <v>25</v>
      </c>
      <c r="G26" s="10">
        <v>25</v>
      </c>
      <c r="H26" s="10">
        <v>14</v>
      </c>
      <c r="I26" s="10">
        <v>25</v>
      </c>
      <c r="J26" s="2"/>
      <c r="K26" s="10">
        <v>62</v>
      </c>
      <c r="L26" s="10">
        <v>62</v>
      </c>
      <c r="M26" s="10">
        <v>62</v>
      </c>
      <c r="N26" s="51">
        <v>59</v>
      </c>
      <c r="O26" s="11">
        <v>62</v>
      </c>
      <c r="P26" s="10"/>
      <c r="Q26" s="40"/>
      <c r="R26" s="2">
        <v>109</v>
      </c>
      <c r="S26" s="10">
        <f>IF(T26="",R26,MAX((R26+$R$8)/$R$2,(T26+$T$8)/$T$2)*$R$2-$R$8)</f>
        <v>126.38895601265199</v>
      </c>
      <c r="T26" s="12">
        <v>187</v>
      </c>
      <c r="U26" s="34">
        <f>IF(A26&lt;&gt;"",SUM(B26:I26),"")</f>
        <v>189</v>
      </c>
      <c r="V26" s="10">
        <f>IF(A26&lt;&gt;"",SUM(J26:O26),"")</f>
        <v>307</v>
      </c>
      <c r="W26" s="10">
        <f>IF(A26&lt;&gt;"",SUM(P26:Q26),"")</f>
        <v>0</v>
      </c>
      <c r="X26" s="10">
        <f>IF(A26&lt;&gt;"",SUM(S26:T26),"")</f>
        <v>313.38895601265199</v>
      </c>
      <c r="Y26" s="12" t="s">
        <v>69</v>
      </c>
      <c r="Z26" s="12">
        <f>IF(A26&lt;&gt;"",SUM(U26:Y26),"")</f>
        <v>809.38895601265199</v>
      </c>
      <c r="AA26" s="27">
        <f>IF(A26&lt;&gt;"",(Z26+Normalize_To_Add)/(Point_Total_So_Far)*100,"")</f>
        <v>88.448568790397047</v>
      </c>
      <c r="AB26" s="10">
        <f>IF(A26&lt;&gt;"",RANK(AA26,All_Student_XC),"")</f>
        <v>106</v>
      </c>
      <c r="AC26" s="31" t="str">
        <f>IF(A26&lt;&gt;"",CHOOSE(10-MIN(9,TRUNC((AA26+0.5)/10)),"A","B","C","D","F","F","F","F","F","F"),"")</f>
        <v>B</v>
      </c>
      <c r="AD26" s="31" t="str">
        <f>IF(A26&lt;&gt;"",IF(OR(AA26+0.5&gt;=93,AA26+0.5&lt;60),"",IF(MOD(AA26+0.5,10)&gt;=7,"+",IF(MOD(AA26+0.5,10)&lt;3,"-",""))),"")</f>
        <v>+</v>
      </c>
      <c r="AE26" s="31">
        <f>IF(A26&lt;&gt;"",SUM(W26:X26,$W$8:$X$8)/SUM($W$2:$X$2)*100,"")</f>
        <v>77.697137580794077</v>
      </c>
      <c r="AF26" s="31" t="str">
        <f>IF(A26&lt;&gt;"",CHOOSE(10-MIN(9,TRUNC((AE26+0.5)/10)),"A","B","C","D","F","F","F","F","F","F"),"")</f>
        <v>C</v>
      </c>
      <c r="AG26" s="31" t="str">
        <f>IF(A26&lt;&gt;"",IF(OR(AE26+0.5&gt;=93,AE26+0.5&lt;60),"",IF(MOD(AE26+0.5,10)&gt;=7,"+",IF(MOD(AE26+0.5,10)&lt;3,"-",""))),"")</f>
        <v>+</v>
      </c>
      <c r="AH26" s="35">
        <f>IF(A26&lt;&gt;"",MIN(MAX(AA26,AE26),AA26+$AH$8,AE26+$AH$8),"")</f>
        <v>88.448568790397047</v>
      </c>
      <c r="AI26" s="31" t="str">
        <f>IF(A26&lt;&gt;"",CHOOSE(10-MIN(9,TRUNC((AH26+0.5)/10)),"A","B","C","D","F","F","F","F","F","F"),"")</f>
        <v>B</v>
      </c>
      <c r="AJ26" s="31" t="str">
        <f>IF(A26&lt;&gt;"",IF(OR(AH26+0.5&gt;=93,AH26+0.5&lt;60),"",IF(MOD(AH26+0.5,10)&gt;=7,"+",IF(MOD(AH26+0.5,10)&lt;3,"-",""))),"")</f>
        <v>+</v>
      </c>
      <c r="AK26" s="31" t="b">
        <f>IF(A26&lt;&gt;"",OR(AI26&lt;&gt;AC26,AJ26&lt;&gt;AD26),"")</f>
        <v>0</v>
      </c>
      <c r="AL26" s="81">
        <f>IF(AND(A26&lt;&gt;"",U26&gt;0),SUM(U26,$AL$8)/$AL$2*100,"")</f>
        <v>94.5</v>
      </c>
      <c r="AM26" s="24">
        <f>IF(AND(A26&lt;&gt;"",V26&gt;0),SUM(V26,$AM$8)/$AM$2*100,"")</f>
        <v>102.33333333333334</v>
      </c>
      <c r="AN26" s="24" t="str">
        <f>IF(AND(A26&lt;&gt;"",P26&lt;&gt;0),SUM(P26,$AN$8)/$AN$2*100,"")</f>
        <v/>
      </c>
      <c r="AO26" s="24" t="str">
        <f>IF(AND(A26&lt;&gt;"",Q26&lt;&gt;0),SUM(Q26,$AO$8)/$AO$2*100,"")</f>
        <v/>
      </c>
      <c r="AP26" s="24">
        <f>IF(AND(A26&lt;&gt;"",R26&lt;&gt;0),SUM(R26,$AP$8)/$AP$2*100,"")</f>
        <v>69.002659574468083</v>
      </c>
      <c r="AQ26" s="24" t="str">
        <f>IF(AND(A26&lt;&gt;"",W26&gt;0),SUM(W26,$AQ$8)/$AQ$2*100,"")</f>
        <v/>
      </c>
      <c r="AR26" s="24">
        <f>IF(AND(A26&lt;&gt;"",T26&gt;0),SUM(T26,$AR$8)/$AR$2*100,"")</f>
        <v>77.697137580794077</v>
      </c>
      <c r="AS26" s="24">
        <f>IF(AND(A26&lt;&gt;"",X26&lt;&gt;0),SUM(X26,$AS$8)/$AS$2*100,"")</f>
        <v>77.697137580794077</v>
      </c>
      <c r="AT26" s="86">
        <f>IF(A26&lt;&gt;"",SUM(W26:X26,$AT$8)/$AT$2*100,"")</f>
        <v>77.697137580794077</v>
      </c>
      <c r="AU26" s="24">
        <f>AA26</f>
        <v>88.448568790397047</v>
      </c>
      <c r="AV26" s="24"/>
      <c r="AW26" s="27">
        <f>IF(A26&lt;&gt;"",AE26-AA26,"")</f>
        <v>-10.75143120960297</v>
      </c>
      <c r="AY26" s="27">
        <f>AR26-AP26</f>
        <v>8.6944780063259941</v>
      </c>
      <c r="AZ26" s="27">
        <f>ABS(AY26)</f>
        <v>8.6944780063259941</v>
      </c>
    </row>
    <row r="27" spans="1:52" s="27" customFormat="1" ht="12.75" customHeight="1" x14ac:dyDescent="0.2">
      <c r="A27" s="10">
        <v>55700</v>
      </c>
      <c r="B27" s="2">
        <v>24</v>
      </c>
      <c r="C27" s="10">
        <v>25</v>
      </c>
      <c r="D27" s="10">
        <v>25</v>
      </c>
      <c r="E27" s="10">
        <v>25</v>
      </c>
      <c r="F27" s="10">
        <v>23</v>
      </c>
      <c r="G27" s="10">
        <v>25</v>
      </c>
      <c r="H27" s="10">
        <v>14</v>
      </c>
      <c r="I27" s="10">
        <v>25</v>
      </c>
      <c r="J27" s="2"/>
      <c r="K27" s="10">
        <v>57</v>
      </c>
      <c r="L27" s="10">
        <v>60</v>
      </c>
      <c r="M27" s="10">
        <v>60</v>
      </c>
      <c r="N27" s="51">
        <v>62</v>
      </c>
      <c r="O27" s="11">
        <v>62</v>
      </c>
      <c r="P27" s="10"/>
      <c r="Q27" s="40"/>
      <c r="R27" s="2">
        <v>89</v>
      </c>
      <c r="S27" s="10">
        <f>IF(T27="",R27,MAX((R27+$R$8)/$R$2,(T27+$T$8)/$T$2)*$R$2-$R$8)</f>
        <v>99.055622679318674</v>
      </c>
      <c r="T27" s="12">
        <v>146</v>
      </c>
      <c r="U27" s="34">
        <f>IF(A27&lt;&gt;"",SUM(B27:I27),"")</f>
        <v>186</v>
      </c>
      <c r="V27" s="10">
        <f>IF(A27&lt;&gt;"",SUM(J27:O27),"")</f>
        <v>301</v>
      </c>
      <c r="W27" s="10">
        <f>IF(A27&lt;&gt;"",SUM(P27:Q27),"")</f>
        <v>0</v>
      </c>
      <c r="X27" s="10">
        <f>IF(A27&lt;&gt;"",SUM(S27:T27),"")</f>
        <v>245.05562267931867</v>
      </c>
      <c r="Y27" s="12">
        <v>3</v>
      </c>
      <c r="Z27" s="12">
        <f>IF(A27&lt;&gt;"",SUM(U27:Y27),"")</f>
        <v>735.05562267931873</v>
      </c>
      <c r="AA27" s="27">
        <f>IF(A27&lt;&gt;"",(Z27+Normalize_To_Add)/(Point_Total_So_Far)*100,"")</f>
        <v>81.01523545706371</v>
      </c>
      <c r="AB27" s="10">
        <f>IF(A27&lt;&gt;"",RANK(AA27,All_Student_XC),"")</f>
        <v>196</v>
      </c>
      <c r="AC27" s="31" t="str">
        <f>IF(A27&lt;&gt;"",CHOOSE(10-MIN(9,TRUNC((AA27+0.5)/10)),"A","B","C","D","F","F","F","F","F","F"),"")</f>
        <v>B</v>
      </c>
      <c r="AD27" s="31" t="str">
        <f>IF(A27&lt;&gt;"",IF(OR(AA27+0.5&gt;=93,AA27+0.5&lt;60),"",IF(MOD(AA27+0.5,10)&gt;=7,"+",IF(MOD(AA27+0.5,10)&lt;3,"-",""))),"")</f>
        <v>-</v>
      </c>
      <c r="AE27" s="31">
        <f>IF(A27&lt;&gt;"",SUM(W27:X27,$W$8:$X$8)/SUM($W$2:$X$2)*100,"")</f>
        <v>64.03047091412742</v>
      </c>
      <c r="AF27" s="31" t="str">
        <f>IF(A27&lt;&gt;"",CHOOSE(10-MIN(9,TRUNC((AE27+0.5)/10)),"A","B","C","D","F","F","F","F","F","F"),"")</f>
        <v>D</v>
      </c>
      <c r="AG27" s="31" t="str">
        <f>IF(A27&lt;&gt;"",IF(OR(AE27+0.5&gt;=93,AE27+0.5&lt;60),"",IF(MOD(AE27+0.5,10)&gt;=7,"+",IF(MOD(AE27+0.5,10)&lt;3,"-",""))),"")</f>
        <v/>
      </c>
      <c r="AH27" s="35">
        <f>IF(A27&lt;&gt;"",MIN(MAX(AA27,AE27),AA27+$AH$8,AE27+$AH$8),"")</f>
        <v>81.01523545706371</v>
      </c>
      <c r="AI27" s="31" t="str">
        <f>IF(A27&lt;&gt;"",CHOOSE(10-MIN(9,TRUNC((AH27+0.5)/10)),"A","B","C","D","F","F","F","F","F","F"),"")</f>
        <v>B</v>
      </c>
      <c r="AJ27" s="31" t="str">
        <f>IF(A27&lt;&gt;"",IF(OR(AH27+0.5&gt;=93,AH27+0.5&lt;60),"",IF(MOD(AH27+0.5,10)&gt;=7,"+",IF(MOD(AH27+0.5,10)&lt;3,"-",""))),"")</f>
        <v>-</v>
      </c>
      <c r="AK27" s="31" t="b">
        <f>IF(A27&lt;&gt;"",OR(AI27&lt;&gt;AC27,AJ27&lt;&gt;AD27),"")</f>
        <v>0</v>
      </c>
      <c r="AL27" s="81">
        <f>IF(AND(A27&lt;&gt;"",U27&gt;0),SUM(U27,$AL$8)/$AL$2*100,"")</f>
        <v>93</v>
      </c>
      <c r="AM27" s="24">
        <f>IF(AND(A27&lt;&gt;"",V27&gt;0),SUM(V27,$AM$8)/$AM$2*100,"")</f>
        <v>100.33333333333334</v>
      </c>
      <c r="AN27" s="24" t="str">
        <f>IF(AND(A27&lt;&gt;"",P27&lt;&gt;0),SUM(P27,$AN$8)/$AN$2*100,"")</f>
        <v/>
      </c>
      <c r="AO27" s="24" t="str">
        <f>IF(AND(A27&lt;&gt;"",Q27&lt;&gt;0),SUM(Q27,$AO$8)/$AO$2*100,"")</f>
        <v/>
      </c>
      <c r="AP27" s="24">
        <f>IF(AND(A27&lt;&gt;"",R27&lt;&gt;0),SUM(R27,$AP$8)/$AP$2*100,"")</f>
        <v>59.002659574468083</v>
      </c>
      <c r="AQ27" s="24" t="str">
        <f>IF(AND(A27&lt;&gt;"",W27&gt;0),SUM(W27,$AQ$8)/$AQ$2*100,"")</f>
        <v/>
      </c>
      <c r="AR27" s="24">
        <f>IF(AND(A27&lt;&gt;"",T27&gt;0),SUM(T27,$AR$8)/$AR$2*100,"")</f>
        <v>64.03047091412742</v>
      </c>
      <c r="AS27" s="24">
        <f>IF(AND(A27&lt;&gt;"",X27&lt;&gt;0),SUM(X27,$AS$8)/$AS$2*100,"")</f>
        <v>64.03047091412742</v>
      </c>
      <c r="AT27" s="86">
        <f>IF(A27&lt;&gt;"",SUM(W27:X27,$AT$8)/$AT$2*100,"")</f>
        <v>64.03047091412742</v>
      </c>
      <c r="AU27" s="24">
        <f>AA27</f>
        <v>81.01523545706371</v>
      </c>
      <c r="AV27" s="24"/>
      <c r="AW27" s="27">
        <f>IF(A27&lt;&gt;"",AE27-AA27,"")</f>
        <v>-16.98476454293629</v>
      </c>
      <c r="AY27" s="27">
        <f>AR27-AP27</f>
        <v>5.0278113396593369</v>
      </c>
      <c r="AZ27" s="27">
        <f>ABS(AY27)</f>
        <v>5.0278113396593369</v>
      </c>
    </row>
    <row r="28" spans="1:52" s="27" customFormat="1" ht="12.75" customHeight="1" x14ac:dyDescent="0.2">
      <c r="A28" s="10">
        <v>57284</v>
      </c>
      <c r="B28" s="2">
        <v>25</v>
      </c>
      <c r="C28" s="10">
        <v>22</v>
      </c>
      <c r="D28" s="10">
        <v>23</v>
      </c>
      <c r="E28" s="10">
        <v>23</v>
      </c>
      <c r="F28" s="10">
        <v>14</v>
      </c>
      <c r="G28" s="10">
        <v>25</v>
      </c>
      <c r="H28" s="10">
        <v>14</v>
      </c>
      <c r="I28" s="10">
        <v>22</v>
      </c>
      <c r="J28" s="2"/>
      <c r="K28" s="10">
        <v>54</v>
      </c>
      <c r="L28" s="10">
        <v>51</v>
      </c>
      <c r="M28" s="10">
        <v>58</v>
      </c>
      <c r="N28" s="51">
        <v>47</v>
      </c>
      <c r="O28" s="11">
        <v>60</v>
      </c>
      <c r="P28" s="10"/>
      <c r="Q28" s="40"/>
      <c r="R28" s="2">
        <v>104</v>
      </c>
      <c r="S28" s="10">
        <f>IF(T28="",R28,MAX((R28+$R$8)/$R$2,(T28+$T$8)/$T$2)*$R$2-$R$8)</f>
        <v>104</v>
      </c>
      <c r="T28" s="12">
        <v>152</v>
      </c>
      <c r="U28" s="34">
        <f>IF(A28&lt;&gt;"",SUM(B28:I28),"")</f>
        <v>168</v>
      </c>
      <c r="V28" s="10">
        <f>IF(A28&lt;&gt;"",SUM(J28:O28),"")</f>
        <v>270</v>
      </c>
      <c r="W28" s="10">
        <f>IF(A28&lt;&gt;"",SUM(P28:Q28),"")</f>
        <v>0</v>
      </c>
      <c r="X28" s="10">
        <f>IF(A28&lt;&gt;"",SUM(S28:T28),"")</f>
        <v>256</v>
      </c>
      <c r="Y28" s="12" t="s">
        <v>69</v>
      </c>
      <c r="Z28" s="12">
        <f>IF(A28&lt;&gt;"",SUM(U28:Y28),"")</f>
        <v>694</v>
      </c>
      <c r="AA28" s="27">
        <f>IF(A28&lt;&gt;"",(Z28+Normalize_To_Add)/(Point_Total_So_Far)*100,"")</f>
        <v>76.909673189131837</v>
      </c>
      <c r="AB28" s="10">
        <f>IF(A28&lt;&gt;"",RANK(AA28,All_Student_XC),"")</f>
        <v>255</v>
      </c>
      <c r="AC28" s="31" t="str">
        <f>IF(A28&lt;&gt;"",CHOOSE(10-MIN(9,TRUNC((AA28+0.5)/10)),"A","B","C","D","F","F","F","F","F","F"),"")</f>
        <v>C</v>
      </c>
      <c r="AD28" s="31" t="str">
        <f>IF(A28&lt;&gt;"",IF(OR(AA28+0.5&gt;=93,AA28+0.5&lt;60),"",IF(MOD(AA28+0.5,10)&gt;=7,"+",IF(MOD(AA28+0.5,10)&lt;3,"-",""))),"")</f>
        <v>+</v>
      </c>
      <c r="AE28" s="31">
        <f>IF(A28&lt;&gt;"",SUM(W28:X28,$W$8:$X$8)/SUM($W$2:$X$2)*100,"")</f>
        <v>66.219346378263694</v>
      </c>
      <c r="AF28" s="31" t="str">
        <f>IF(A28&lt;&gt;"",CHOOSE(10-MIN(9,TRUNC((AE28+0.5)/10)),"A","B","C","D","F","F","F","F","F","F"),"")</f>
        <v>D</v>
      </c>
      <c r="AG28" s="31" t="str">
        <f>IF(A28&lt;&gt;"",IF(OR(AE28+0.5&gt;=93,AE28+0.5&lt;60),"",IF(MOD(AE28+0.5,10)&gt;=7,"+",IF(MOD(AE28+0.5,10)&lt;3,"-",""))),"")</f>
        <v/>
      </c>
      <c r="AH28" s="35">
        <f>IF(A28&lt;&gt;"",MIN(MAX(AA28,AE28),AA28+$AH$8,AE28+$AH$8),"")</f>
        <v>76.909673189131837</v>
      </c>
      <c r="AI28" s="31" t="str">
        <f>IF(A28&lt;&gt;"",CHOOSE(10-MIN(9,TRUNC((AH28+0.5)/10)),"A","B","C","D","F","F","F","F","F","F"),"")</f>
        <v>C</v>
      </c>
      <c r="AJ28" s="31" t="str">
        <f>IF(A28&lt;&gt;"",IF(OR(AH28+0.5&gt;=93,AH28+0.5&lt;60),"",IF(MOD(AH28+0.5,10)&gt;=7,"+",IF(MOD(AH28+0.5,10)&lt;3,"-",""))),"")</f>
        <v>+</v>
      </c>
      <c r="AK28" s="31" t="b">
        <f>IF(A28&lt;&gt;"",OR(AI28&lt;&gt;AC28,AJ28&lt;&gt;AD28),"")</f>
        <v>0</v>
      </c>
      <c r="AL28" s="81">
        <f>IF(AND(A28&lt;&gt;"",U28&gt;0),SUM(U28,$AL$8)/$AL$2*100,"")</f>
        <v>84</v>
      </c>
      <c r="AM28" s="24">
        <f>IF(AND(A28&lt;&gt;"",V28&gt;0),SUM(V28,$AM$8)/$AM$2*100,"")</f>
        <v>90</v>
      </c>
      <c r="AN28" s="24" t="str">
        <f>IF(AND(A28&lt;&gt;"",P28&lt;&gt;0),SUM(P28,$AN$8)/$AN$2*100,"")</f>
        <v/>
      </c>
      <c r="AO28" s="24" t="str">
        <f>IF(AND(A28&lt;&gt;"",Q28&lt;&gt;0),SUM(Q28,$AO$8)/$AO$2*100,"")</f>
        <v/>
      </c>
      <c r="AP28" s="24">
        <f>IF(AND(A28&lt;&gt;"",R28&lt;&gt;0),SUM(R28,$AP$8)/$AP$2*100,"")</f>
        <v>66.502659574468083</v>
      </c>
      <c r="AQ28" s="24" t="str">
        <f>IF(AND(A28&lt;&gt;"",W28&gt;0),SUM(W28,$AQ$8)/$AQ$2*100,"")</f>
        <v/>
      </c>
      <c r="AR28" s="24">
        <f>IF(AND(A28&lt;&gt;"",T28&gt;0),SUM(T28,$AR$8)/$AR$2*100,"")</f>
        <v>66.03047091412742</v>
      </c>
      <c r="AS28" s="24">
        <f>IF(AND(A28&lt;&gt;"",X28&lt;&gt;0),SUM(X28,$AS$8)/$AS$2*100,"")</f>
        <v>66.219346378263694</v>
      </c>
      <c r="AT28" s="86">
        <f>IF(A28&lt;&gt;"",SUM(W28:X28,$AT$8)/$AT$2*100,"")</f>
        <v>66.219346378263694</v>
      </c>
      <c r="AU28" s="24">
        <f>AA28</f>
        <v>76.909673189131837</v>
      </c>
      <c r="AV28" s="24"/>
      <c r="AW28" s="27">
        <f>IF(A28&lt;&gt;"",AE28-AA28,"")</f>
        <v>-10.690326810868143</v>
      </c>
      <c r="AY28" s="27">
        <f>AR28-AP28</f>
        <v>-0.47218866034066309</v>
      </c>
      <c r="AZ28" s="27">
        <f>ABS(AY28)</f>
        <v>0.47218866034066309</v>
      </c>
    </row>
    <row r="29" spans="1:52" s="27" customFormat="1" ht="12.75" customHeight="1" x14ac:dyDescent="0.2">
      <c r="A29" s="50">
        <v>59456</v>
      </c>
      <c r="B29" s="2">
        <v>25</v>
      </c>
      <c r="C29" s="50">
        <v>25</v>
      </c>
      <c r="D29" s="10">
        <v>23</v>
      </c>
      <c r="E29" s="10">
        <v>25</v>
      </c>
      <c r="F29" s="10">
        <v>22</v>
      </c>
      <c r="G29" s="10">
        <v>25</v>
      </c>
      <c r="H29" s="10">
        <v>25</v>
      </c>
      <c r="I29" s="10">
        <v>25</v>
      </c>
      <c r="J29" s="2"/>
      <c r="K29" s="10">
        <v>59</v>
      </c>
      <c r="L29" s="10">
        <v>62</v>
      </c>
      <c r="M29" s="10">
        <v>53</v>
      </c>
      <c r="N29" s="51">
        <v>56</v>
      </c>
      <c r="O29" s="11">
        <v>62</v>
      </c>
      <c r="P29" s="10"/>
      <c r="Q29" s="40"/>
      <c r="R29" s="2">
        <v>144</v>
      </c>
      <c r="S29" s="10">
        <f>IF(T29="",R29,MAX((R29+$R$8)/$R$2,(T29+$T$8)/$T$2)*$R$2-$R$8)</f>
        <v>157.72228934598536</v>
      </c>
      <c r="T29" s="62">
        <v>234</v>
      </c>
      <c r="U29" s="10">
        <f>IF(A29&lt;&gt;"",SUM(B29:I29),"")</f>
        <v>195</v>
      </c>
      <c r="V29" s="10">
        <f>IF(A29&lt;&gt;"",SUM(J29:O29),"")</f>
        <v>292</v>
      </c>
      <c r="W29" s="10">
        <f>IF(A29&lt;&gt;"",SUM(P29:Q29),"")</f>
        <v>0</v>
      </c>
      <c r="X29" s="10">
        <f>IF(A29&lt;&gt;"",SUM(S29:T29),"")</f>
        <v>391.72228934598536</v>
      </c>
      <c r="Y29" s="12">
        <v>3</v>
      </c>
      <c r="Z29" s="12">
        <f>IF(A29&lt;&gt;"",SUM(U29:Y29),"")</f>
        <v>881.72228934598536</v>
      </c>
      <c r="AA29" s="27">
        <f>IF(A29&lt;&gt;"",(Z29+Normalize_To_Add)/(Point_Total_So_Far)*100,"")</f>
        <v>95.681902123730382</v>
      </c>
      <c r="AB29" s="10">
        <f>IF(A29&lt;&gt;"",RANK(AA29,All_Student_XC),"")</f>
        <v>24</v>
      </c>
      <c r="AC29" s="31" t="str">
        <f>IF(A29&lt;&gt;"",CHOOSE(10-MIN(9,TRUNC((AA29+0.5)/10)),"A","B","C","D","F","F","F","F","F","F"),"")</f>
        <v>A</v>
      </c>
      <c r="AD29" s="31" t="str">
        <f>IF(A29&lt;&gt;"",IF(OR(AA29+0.5&gt;=93,AA29+0.5&lt;60),"",IF(MOD(AA29+0.5,10)&gt;=7,"+",IF(MOD(AA29+0.5,10)&lt;3,"-",""))),"")</f>
        <v/>
      </c>
      <c r="AE29" s="31">
        <f>IF(A29&lt;&gt;"",SUM(W29:X29,$W$8:$X$8)/SUM($W$2:$X$2)*100,"")</f>
        <v>93.363804247460763</v>
      </c>
      <c r="AF29" s="43" t="str">
        <f>IF(A29&lt;&gt;"",CHOOSE(10-MIN(9,TRUNC((AE29+0.5)/10)),"A","B","C","D","F","F","F","F","F","F"),"")</f>
        <v>A</v>
      </c>
      <c r="AG29" s="43" t="str">
        <f>IF(A29&lt;&gt;"",IF(OR(AE29+0.5&gt;=93,AE29+0.5&lt;60),"",IF(MOD(AE29+0.5,10)&gt;=7,"+",IF(MOD(AE29+0.5,10)&lt;3,"-",""))),"")</f>
        <v/>
      </c>
      <c r="AH29" s="35">
        <f>IF(A29&lt;&gt;"",MIN(MAX(AA29,AE29),AA29+$AH$8,AE29+$AH$8),"")</f>
        <v>95.681902123730382</v>
      </c>
      <c r="AI29" s="31" t="str">
        <f>IF(A29&lt;&gt;"",CHOOSE(10-MIN(9,TRUNC((AH29+0.5)/10)),"A","B","C","D","F","F","F","F","F","F"),"")</f>
        <v>A</v>
      </c>
      <c r="AJ29" s="31" t="str">
        <f>IF(A29&lt;&gt;"",IF(OR(AH29+0.5&gt;=93,AH29+0.5&lt;60),"",IF(MOD(AH29+0.5,10)&gt;=7,"+",IF(MOD(AH29+0.5,10)&lt;3,"-",""))),"")</f>
        <v/>
      </c>
      <c r="AK29" s="31" t="b">
        <f>IF(A29&lt;&gt;"",OR(AI29&lt;&gt;AC29,AJ29&lt;&gt;AD29),"")</f>
        <v>0</v>
      </c>
      <c r="AL29" s="81">
        <f>IF(AND(A29&lt;&gt;"",U29&gt;0),SUM(U29,$AL$8)/$AL$2*100,"")</f>
        <v>97.5</v>
      </c>
      <c r="AM29" s="24">
        <f>IF(AND(A29&lt;&gt;"",V29&gt;0),SUM(V29,$AM$8)/$AM$2*100,"")</f>
        <v>97.333333333333343</v>
      </c>
      <c r="AN29" s="24" t="str">
        <f>IF(AND(A29&lt;&gt;"",P29&lt;&gt;0),SUM(P29,$AN$8)/$AN$2*100,"")</f>
        <v/>
      </c>
      <c r="AO29" s="24" t="str">
        <f>IF(AND(A29&lt;&gt;"",Q29&lt;&gt;0),SUM(Q29,$AO$8)/$AO$2*100,"")</f>
        <v/>
      </c>
      <c r="AP29" s="24">
        <f>IF(AND(A29&lt;&gt;"",R29&lt;&gt;0),SUM(R29,$AP$8)/$AP$2*100,"")</f>
        <v>86.502659574468083</v>
      </c>
      <c r="AQ29" s="24" t="str">
        <f>IF(AND(A29&lt;&gt;"",W29&gt;0),SUM(W29,$AQ$8)/$AQ$2*100,"")</f>
        <v/>
      </c>
      <c r="AR29" s="24">
        <f>IF(AND(A29&lt;&gt;"",T29&gt;0),SUM(T29,$AR$8)/$AR$2*100,"")</f>
        <v>93.363804247460763</v>
      </c>
      <c r="AS29" s="24">
        <f>IF(AND(A29&lt;&gt;"",X29&lt;&gt;0),SUM(X29,$AS$8)/$AS$2*100,"")</f>
        <v>93.363804247460763</v>
      </c>
      <c r="AT29" s="86">
        <f>IF(A29&lt;&gt;"",SUM(W29:X29,$AT$8)/$AT$2*100,"")</f>
        <v>93.363804247460763</v>
      </c>
      <c r="AU29" s="24">
        <f>AA29</f>
        <v>95.681902123730382</v>
      </c>
      <c r="AV29" s="24"/>
      <c r="AW29" s="27">
        <f>IF(A29&lt;&gt;"",AE29-AA29,"")</f>
        <v>-2.3180978762696185</v>
      </c>
      <c r="AY29" s="27">
        <f>AR29-AP29</f>
        <v>6.8611446729926797</v>
      </c>
      <c r="AZ29" s="27">
        <f>ABS(AY29)</f>
        <v>6.8611446729926797</v>
      </c>
    </row>
    <row r="30" spans="1:52" s="27" customFormat="1" ht="12.75" customHeight="1" x14ac:dyDescent="0.2">
      <c r="A30" s="10">
        <v>62620</v>
      </c>
      <c r="B30" s="2">
        <v>25</v>
      </c>
      <c r="C30" s="10">
        <v>25</v>
      </c>
      <c r="D30" s="10">
        <v>23</v>
      </c>
      <c r="E30" s="10">
        <v>23</v>
      </c>
      <c r="F30" s="10">
        <v>17</v>
      </c>
      <c r="G30" s="10">
        <v>25</v>
      </c>
      <c r="H30" s="10">
        <v>25</v>
      </c>
      <c r="I30" s="10">
        <v>25</v>
      </c>
      <c r="J30" s="2"/>
      <c r="K30" s="10">
        <v>62</v>
      </c>
      <c r="L30" s="10">
        <v>62</v>
      </c>
      <c r="M30" s="10">
        <v>38</v>
      </c>
      <c r="N30" s="51">
        <v>59</v>
      </c>
      <c r="O30" s="11">
        <v>60</v>
      </c>
      <c r="P30" s="10"/>
      <c r="Q30" s="40"/>
      <c r="R30" s="2">
        <v>157</v>
      </c>
      <c r="S30" s="10">
        <f>IF(T30="",R30,MAX((R30+$R$8)/$R$2,(T30+$T$8)/$T$2)*$R$2-$R$8)</f>
        <v>157</v>
      </c>
      <c r="T30" s="12">
        <v>189</v>
      </c>
      <c r="U30" s="34">
        <f>IF(A30&lt;&gt;"",SUM(B30:I30),"")</f>
        <v>188</v>
      </c>
      <c r="V30" s="10">
        <f>IF(A30&lt;&gt;"",SUM(J30:O30),"")</f>
        <v>281</v>
      </c>
      <c r="W30" s="10">
        <f>IF(A30&lt;&gt;"",SUM(P30:Q30),"")</f>
        <v>0</v>
      </c>
      <c r="X30" s="10">
        <f>IF(A30&lt;&gt;"",SUM(S30:T30),"")</f>
        <v>346</v>
      </c>
      <c r="Y30" s="12">
        <v>3</v>
      </c>
      <c r="Z30" s="12">
        <f>IF(A30&lt;&gt;"",SUM(U30:Y30),"")</f>
        <v>818</v>
      </c>
      <c r="AA30" s="27">
        <f>IF(A30&lt;&gt;"",(Z30+Normalize_To_Add)/(Point_Total_So_Far)*100,"")</f>
        <v>89.309673189131843</v>
      </c>
      <c r="AB30" s="10">
        <f>IF(A30&lt;&gt;"",RANK(AA30,All_Student_XC),"")</f>
        <v>86</v>
      </c>
      <c r="AC30" s="31" t="str">
        <f>IF(A30&lt;&gt;"",CHOOSE(10-MIN(9,TRUNC((AA30+0.5)/10)),"A","B","C","D","F","F","F","F","F","F"),"")</f>
        <v>B</v>
      </c>
      <c r="AD30" s="31" t="str">
        <f>IF(A30&lt;&gt;"",IF(OR(AA30+0.5&gt;=93,AA30+0.5&lt;60),"",IF(MOD(AA30+0.5,10)&gt;=7,"+",IF(MOD(AA30+0.5,10)&lt;3,"-",""))),"")</f>
        <v>+</v>
      </c>
      <c r="AE30" s="31">
        <f>IF(A30&lt;&gt;"",SUM(W30:X30,$W$8:$X$8)/SUM($W$2:$X$2)*100,"")</f>
        <v>84.21934637826368</v>
      </c>
      <c r="AF30" s="31" t="str">
        <f>IF(A30&lt;&gt;"",CHOOSE(10-MIN(9,TRUNC((AE30+0.5)/10)),"A","B","C","D","F","F","F","F","F","F"),"")</f>
        <v>B</v>
      </c>
      <c r="AG30" s="31" t="str">
        <f>IF(A30&lt;&gt;"",IF(OR(AE30+0.5&gt;=93,AE30+0.5&lt;60),"",IF(MOD(AE30+0.5,10)&gt;=7,"+",IF(MOD(AE30+0.5,10)&lt;3,"-",""))),"")</f>
        <v/>
      </c>
      <c r="AH30" s="35">
        <f>IF(A30&lt;&gt;"",MIN(MAX(AA30,AE30),AA30+$AH$8,AE30+$AH$8),"")</f>
        <v>89.309673189131843</v>
      </c>
      <c r="AI30" s="31" t="str">
        <f>IF(A30&lt;&gt;"",CHOOSE(10-MIN(9,TRUNC((AH30+0.5)/10)),"A","B","C","D","F","F","F","F","F","F"),"")</f>
        <v>B</v>
      </c>
      <c r="AJ30" s="31" t="str">
        <f>IF(A30&lt;&gt;"",IF(OR(AH30+0.5&gt;=93,AH30+0.5&lt;60),"",IF(MOD(AH30+0.5,10)&gt;=7,"+",IF(MOD(AH30+0.5,10)&lt;3,"-",""))),"")</f>
        <v>+</v>
      </c>
      <c r="AK30" s="31" t="b">
        <f>IF(A30&lt;&gt;"",OR(AI30&lt;&gt;AC30,AJ30&lt;&gt;AD30),"")</f>
        <v>0</v>
      </c>
      <c r="AL30" s="81">
        <f>IF(AND(A30&lt;&gt;"",U30&gt;0),SUM(U30,$AL$8)/$AL$2*100,"")</f>
        <v>94</v>
      </c>
      <c r="AM30" s="24">
        <f>IF(AND(A30&lt;&gt;"",V30&gt;0),SUM(V30,$AM$8)/$AM$2*100,"")</f>
        <v>93.666666666666671</v>
      </c>
      <c r="AN30" s="24" t="str">
        <f>IF(AND(A30&lt;&gt;"",P30&lt;&gt;0),SUM(P30,$AN$8)/$AN$2*100,"")</f>
        <v/>
      </c>
      <c r="AO30" s="24" t="str">
        <f>IF(AND(A30&lt;&gt;"",Q30&lt;&gt;0),SUM(Q30,$AO$8)/$AO$2*100,"")</f>
        <v/>
      </c>
      <c r="AP30" s="24">
        <f>IF(AND(A30&lt;&gt;"",R30&lt;&gt;0),SUM(R30,$AP$8)/$AP$2*100,"")</f>
        <v>93.002659574468083</v>
      </c>
      <c r="AQ30" s="24" t="str">
        <f>IF(AND(A30&lt;&gt;"",W30&gt;0),SUM(W30,$AQ$8)/$AQ$2*100,"")</f>
        <v/>
      </c>
      <c r="AR30" s="24">
        <f>IF(AND(A30&lt;&gt;"",T30&gt;0),SUM(T30,$AR$8)/$AR$2*100,"")</f>
        <v>78.363804247460749</v>
      </c>
      <c r="AS30" s="24">
        <f>IF(AND(A30&lt;&gt;"",X30&lt;&gt;0),SUM(X30,$AS$8)/$AS$2*100,"")</f>
        <v>84.21934637826368</v>
      </c>
      <c r="AT30" s="86">
        <f>IF(A30&lt;&gt;"",SUM(W30:X30,$AT$8)/$AT$2*100,"")</f>
        <v>84.21934637826368</v>
      </c>
      <c r="AU30" s="24">
        <f>AA30</f>
        <v>89.309673189131843</v>
      </c>
      <c r="AV30" s="24"/>
      <c r="AW30" s="27">
        <f>IF(A30&lt;&gt;"",AE30-AA30,"")</f>
        <v>-5.090326810868163</v>
      </c>
      <c r="AY30" s="27">
        <f>AR30-AP30</f>
        <v>-14.638855327007334</v>
      </c>
      <c r="AZ30" s="27">
        <f>ABS(AY30)</f>
        <v>14.638855327007334</v>
      </c>
    </row>
    <row r="31" spans="1:52" s="27" customFormat="1" ht="12.75" customHeight="1" x14ac:dyDescent="0.2">
      <c r="A31" s="10">
        <v>65626</v>
      </c>
      <c r="B31" s="2">
        <v>25</v>
      </c>
      <c r="C31" s="10">
        <v>18</v>
      </c>
      <c r="D31" s="10">
        <v>20</v>
      </c>
      <c r="E31" s="10">
        <v>22</v>
      </c>
      <c r="F31" s="10">
        <v>19</v>
      </c>
      <c r="G31" s="10">
        <v>16</v>
      </c>
      <c r="H31" s="10">
        <v>14</v>
      </c>
      <c r="I31" s="10">
        <v>25</v>
      </c>
      <c r="J31" s="2"/>
      <c r="K31" s="10">
        <v>57</v>
      </c>
      <c r="L31" s="10">
        <v>60</v>
      </c>
      <c r="M31" s="10">
        <v>55</v>
      </c>
      <c r="N31" s="51">
        <v>62</v>
      </c>
      <c r="O31" s="11">
        <v>60</v>
      </c>
      <c r="P31" s="10"/>
      <c r="Q31" s="40"/>
      <c r="R31" s="2">
        <v>129</v>
      </c>
      <c r="S31" s="10">
        <f>IF(T31="",R31,MAX((R31+$R$8)/$R$2,(T31+$T$8)/$T$2)*$R$2-$R$8)</f>
        <v>129</v>
      </c>
      <c r="T31" s="12">
        <v>163</v>
      </c>
      <c r="U31" s="34">
        <f>IF(A31&lt;&gt;"",SUM(B31:I31),"")</f>
        <v>159</v>
      </c>
      <c r="V31" s="10">
        <f>IF(A31&lt;&gt;"",SUM(J31:O31),"")</f>
        <v>294</v>
      </c>
      <c r="W31" s="10">
        <f>IF(A31&lt;&gt;"",SUM(P31:Q31),"")</f>
        <v>0</v>
      </c>
      <c r="X31" s="10">
        <f>IF(A31&lt;&gt;"",SUM(S31:T31),"")</f>
        <v>292</v>
      </c>
      <c r="Y31" s="12" t="s">
        <v>69</v>
      </c>
      <c r="Z31" s="12">
        <f>IF(A31&lt;&gt;"",SUM(U31:Y31),"")</f>
        <v>745</v>
      </c>
      <c r="AA31" s="27">
        <f>IF(A31&lt;&gt;"",(Z31+Normalize_To_Add)/(Point_Total_So_Far)*100,"")</f>
        <v>82.009673189131831</v>
      </c>
      <c r="AB31" s="10">
        <f>IF(A31&lt;&gt;"",RANK(AA31,All_Student_XC),"")</f>
        <v>182</v>
      </c>
      <c r="AC31" s="31" t="str">
        <f>IF(A31&lt;&gt;"",CHOOSE(10-MIN(9,TRUNC((AA31+0.5)/10)),"A","B","C","D","F","F","F","F","F","F"),"")</f>
        <v>B</v>
      </c>
      <c r="AD31" s="31" t="str">
        <f>IF(A31&lt;&gt;"",IF(OR(AA31+0.5&gt;=93,AA31+0.5&lt;60),"",IF(MOD(AA31+0.5,10)&gt;=7,"+",IF(MOD(AA31+0.5,10)&lt;3,"-",""))),"")</f>
        <v>-</v>
      </c>
      <c r="AE31" s="31">
        <f>IF(A31&lt;&gt;"",SUM(W31:X31,$W$8:$X$8)/SUM($W$2:$X$2)*100,"")</f>
        <v>73.419346378263683</v>
      </c>
      <c r="AF31" s="31" t="str">
        <f>IF(A31&lt;&gt;"",CHOOSE(10-MIN(9,TRUNC((AE31+0.5)/10)),"A","B","C","D","F","F","F","F","F","F"),"")</f>
        <v>C</v>
      </c>
      <c r="AG31" s="31" t="str">
        <f>IF(A31&lt;&gt;"",IF(OR(AE31+0.5&gt;=93,AE31+0.5&lt;60),"",IF(MOD(AE31+0.5,10)&gt;=7,"+",IF(MOD(AE31+0.5,10)&lt;3,"-",""))),"")</f>
        <v/>
      </c>
      <c r="AH31" s="35">
        <f>IF(A31&lt;&gt;"",MIN(MAX(AA31,AE31),AA31+$AH$8,AE31+$AH$8),"")</f>
        <v>82.009673189131831</v>
      </c>
      <c r="AI31" s="31" t="str">
        <f>IF(A31&lt;&gt;"",CHOOSE(10-MIN(9,TRUNC((AH31+0.5)/10)),"A","B","C","D","F","F","F","F","F","F"),"")</f>
        <v>B</v>
      </c>
      <c r="AJ31" s="31" t="str">
        <f>IF(A31&lt;&gt;"",IF(OR(AH31+0.5&gt;=93,AH31+0.5&lt;60),"",IF(MOD(AH31+0.5,10)&gt;=7,"+",IF(MOD(AH31+0.5,10)&lt;3,"-",""))),"")</f>
        <v>-</v>
      </c>
      <c r="AK31" s="31" t="b">
        <f>IF(A31&lt;&gt;"",OR(AI31&lt;&gt;AC31,AJ31&lt;&gt;AD31),"")</f>
        <v>0</v>
      </c>
      <c r="AL31" s="81">
        <f>IF(AND(A31&lt;&gt;"",U31&gt;0),SUM(U31,$AL$8)/$AL$2*100,"")</f>
        <v>79.5</v>
      </c>
      <c r="AM31" s="24">
        <f>IF(AND(A31&lt;&gt;"",V31&gt;0),SUM(V31,$AM$8)/$AM$2*100,"")</f>
        <v>98</v>
      </c>
      <c r="AN31" s="24" t="str">
        <f>IF(AND(A31&lt;&gt;"",P31&lt;&gt;0),SUM(P31,$AN$8)/$AN$2*100,"")</f>
        <v/>
      </c>
      <c r="AO31" s="24" t="str">
        <f>IF(AND(A31&lt;&gt;"",Q31&lt;&gt;0),SUM(Q31,$AO$8)/$AO$2*100,"")</f>
        <v/>
      </c>
      <c r="AP31" s="24">
        <f>IF(AND(A31&lt;&gt;"",R31&lt;&gt;0),SUM(R31,$AP$8)/$AP$2*100,"")</f>
        <v>79.002659574468083</v>
      </c>
      <c r="AQ31" s="24" t="str">
        <f>IF(AND(A31&lt;&gt;"",W31&gt;0),SUM(W31,$AQ$8)/$AQ$2*100,"")</f>
        <v/>
      </c>
      <c r="AR31" s="24">
        <f>IF(AND(A31&lt;&gt;"",T31&gt;0),SUM(T31,$AR$8)/$AR$2*100,"")</f>
        <v>69.697137580794092</v>
      </c>
      <c r="AS31" s="24">
        <f>IF(AND(A31&lt;&gt;"",X31&lt;&gt;0),SUM(X31,$AS$8)/$AS$2*100,"")</f>
        <v>73.419346378263683</v>
      </c>
      <c r="AT31" s="86">
        <f>IF(A31&lt;&gt;"",SUM(W31:X31,$AT$8)/$AT$2*100,"")</f>
        <v>73.419346378263683</v>
      </c>
      <c r="AU31" s="24">
        <f>AA31</f>
        <v>82.009673189131831</v>
      </c>
      <c r="AV31" s="24"/>
      <c r="AW31" s="27">
        <f>IF(A31&lt;&gt;"",AE31-AA31,"")</f>
        <v>-8.5903268108681488</v>
      </c>
      <c r="AY31" s="27">
        <f>AR31-AP31</f>
        <v>-9.3055219936739917</v>
      </c>
      <c r="AZ31" s="27">
        <f>ABS(AY31)</f>
        <v>9.3055219936739917</v>
      </c>
    </row>
    <row r="32" spans="1:52" s="27" customFormat="1" ht="12.75" customHeight="1" x14ac:dyDescent="0.2">
      <c r="A32" s="50">
        <v>66268</v>
      </c>
      <c r="B32" s="2">
        <v>25</v>
      </c>
      <c r="C32" s="50">
        <v>24</v>
      </c>
      <c r="D32" s="10">
        <v>23</v>
      </c>
      <c r="E32" s="10">
        <v>25</v>
      </c>
      <c r="F32" s="10">
        <v>24</v>
      </c>
      <c r="G32" s="10">
        <v>25</v>
      </c>
      <c r="H32" s="10">
        <v>19</v>
      </c>
      <c r="I32" s="10">
        <v>23</v>
      </c>
      <c r="J32" s="2"/>
      <c r="K32" s="10">
        <v>58</v>
      </c>
      <c r="L32" s="10">
        <v>52</v>
      </c>
      <c r="M32" s="10">
        <v>57</v>
      </c>
      <c r="N32" s="51">
        <v>60</v>
      </c>
      <c r="O32" s="11">
        <v>60</v>
      </c>
      <c r="P32" s="10"/>
      <c r="Q32" s="40"/>
      <c r="R32" s="2">
        <v>77</v>
      </c>
      <c r="S32" s="10">
        <f>IF(T32="",R32,MAX((R32+$R$8)/$R$2,(T32+$T$8)/$T$2)*$R$2-$R$8)</f>
        <v>139.72228934598533</v>
      </c>
      <c r="T32" s="62">
        <v>207</v>
      </c>
      <c r="U32" s="10">
        <f>IF(A32&lt;&gt;"",SUM(B32:I32),"")</f>
        <v>188</v>
      </c>
      <c r="V32" s="10">
        <f>IF(A32&lt;&gt;"",SUM(J32:O32),"")</f>
        <v>287</v>
      </c>
      <c r="W32" s="10">
        <f>IF(A32&lt;&gt;"",SUM(P32:Q32),"")</f>
        <v>0</v>
      </c>
      <c r="X32" s="10">
        <f>IF(A32&lt;&gt;"",SUM(S32:T32),"")</f>
        <v>346.72228934598536</v>
      </c>
      <c r="Y32" s="12">
        <v>3</v>
      </c>
      <c r="Z32" s="12">
        <f>IF(A32&lt;&gt;"",SUM(U32:Y32),"")</f>
        <v>824.72228934598536</v>
      </c>
      <c r="AA32" s="27">
        <f>IF(A32&lt;&gt;"",(Z32+Normalize_To_Add)/(Point_Total_So_Far)*100,"")</f>
        <v>89.981902123730379</v>
      </c>
      <c r="AB32" s="10">
        <f>IF(A32&lt;&gt;"",RANK(AA32,All_Student_XC),"")</f>
        <v>76</v>
      </c>
      <c r="AC32" s="31" t="str">
        <f>IF(A32&lt;&gt;"",CHOOSE(10-MIN(9,TRUNC((AA32+0.5)/10)),"A","B","C","D","F","F","F","F","F","F"),"")</f>
        <v>A</v>
      </c>
      <c r="AD32" s="31" t="str">
        <f>IF(A32&lt;&gt;"",IF(OR(AA32+0.5&gt;=93,AA32+0.5&lt;60),"",IF(MOD(AA32+0.5,10)&gt;=7,"+",IF(MOD(AA32+0.5,10)&lt;3,"-",""))),"")</f>
        <v>-</v>
      </c>
      <c r="AE32" s="31">
        <f>IF(A32&lt;&gt;"",SUM(W32:X32,$W$8:$X$8)/SUM($W$2:$X$2)*100,"")</f>
        <v>84.363804247460763</v>
      </c>
      <c r="AF32" s="43" t="str">
        <f>IF(A32&lt;&gt;"",CHOOSE(10-MIN(9,TRUNC((AE32+0.5)/10)),"A","B","C","D","F","F","F","F","F","F"),"")</f>
        <v>B</v>
      </c>
      <c r="AG32" s="43" t="str">
        <f>IF(A32&lt;&gt;"",IF(OR(AE32+0.5&gt;=93,AE32+0.5&lt;60),"",IF(MOD(AE32+0.5,10)&gt;=7,"+",IF(MOD(AE32+0.5,10)&lt;3,"-",""))),"")</f>
        <v/>
      </c>
      <c r="AH32" s="35">
        <f>IF(A32&lt;&gt;"",MIN(MAX(AA32,AE32),AA32+$AH$8,AE32+$AH$8),"")</f>
        <v>89.981902123730379</v>
      </c>
      <c r="AI32" s="31" t="str">
        <f>IF(A32&lt;&gt;"",CHOOSE(10-MIN(9,TRUNC((AH32+0.5)/10)),"A","B","C","D","F","F","F","F","F","F"),"")</f>
        <v>A</v>
      </c>
      <c r="AJ32" s="31" t="str">
        <f>IF(A32&lt;&gt;"",IF(OR(AH32+0.5&gt;=93,AH32+0.5&lt;60),"",IF(MOD(AH32+0.5,10)&gt;=7,"+",IF(MOD(AH32+0.5,10)&lt;3,"-",""))),"")</f>
        <v>-</v>
      </c>
      <c r="AK32" s="31" t="b">
        <f>IF(A32&lt;&gt;"",OR(AI32&lt;&gt;AC32,AJ32&lt;&gt;AD32),"")</f>
        <v>0</v>
      </c>
      <c r="AL32" s="81">
        <f>IF(AND(A32&lt;&gt;"",U32&gt;0),SUM(U32,$AL$8)/$AL$2*100,"")</f>
        <v>94</v>
      </c>
      <c r="AM32" s="24">
        <f>IF(AND(A32&lt;&gt;"",V32&gt;0),SUM(V32,$AM$8)/$AM$2*100,"")</f>
        <v>95.666666666666671</v>
      </c>
      <c r="AN32" s="24" t="str">
        <f>IF(AND(A32&lt;&gt;"",P32&lt;&gt;0),SUM(P32,$AN$8)/$AN$2*100,"")</f>
        <v/>
      </c>
      <c r="AO32" s="24" t="str">
        <f>IF(AND(A32&lt;&gt;"",Q32&lt;&gt;0),SUM(Q32,$AO$8)/$AO$2*100,"")</f>
        <v/>
      </c>
      <c r="AP32" s="24">
        <f>IF(AND(A32&lt;&gt;"",R32&lt;&gt;0),SUM(R32,$AP$8)/$AP$2*100,"")</f>
        <v>53.002659574468083</v>
      </c>
      <c r="AQ32" s="24" t="str">
        <f>IF(AND(A32&lt;&gt;"",W32&gt;0),SUM(W32,$AQ$8)/$AQ$2*100,"")</f>
        <v/>
      </c>
      <c r="AR32" s="24">
        <f>IF(AND(A32&lt;&gt;"",T32&gt;0),SUM(T32,$AR$8)/$AR$2*100,"")</f>
        <v>84.363804247460749</v>
      </c>
      <c r="AS32" s="24">
        <f>IF(AND(A32&lt;&gt;"",X32&lt;&gt;0),SUM(X32,$AS$8)/$AS$2*100,"")</f>
        <v>84.363804247460763</v>
      </c>
      <c r="AT32" s="86">
        <f>IF(A32&lt;&gt;"",SUM(W32:X32,$AT$8)/$AT$2*100,"")</f>
        <v>84.363804247460763</v>
      </c>
      <c r="AU32" s="24">
        <f>AA32</f>
        <v>89.981902123730379</v>
      </c>
      <c r="AV32" s="24"/>
      <c r="AW32" s="27">
        <f>IF(A32&lt;&gt;"",AE32-AA32,"")</f>
        <v>-5.6180978762696157</v>
      </c>
      <c r="AY32" s="27">
        <f>AR32-AP32</f>
        <v>31.361144672992666</v>
      </c>
      <c r="AZ32" s="27">
        <f>ABS(AY32)</f>
        <v>31.361144672992666</v>
      </c>
    </row>
    <row r="33" spans="1:52" s="27" customFormat="1" ht="12.75" customHeight="1" x14ac:dyDescent="0.2">
      <c r="A33" s="50">
        <v>72330</v>
      </c>
      <c r="B33" s="2">
        <v>8</v>
      </c>
      <c r="C33" s="10">
        <v>10</v>
      </c>
      <c r="D33" s="10" t="s">
        <v>69</v>
      </c>
      <c r="E33" s="10" t="s">
        <v>69</v>
      </c>
      <c r="F33" s="10" t="s">
        <v>69</v>
      </c>
      <c r="G33" s="10" t="s">
        <v>69</v>
      </c>
      <c r="H33" s="10" t="s">
        <v>69</v>
      </c>
      <c r="I33" s="10" t="s">
        <v>69</v>
      </c>
      <c r="J33" s="2"/>
      <c r="K33" s="10">
        <v>32</v>
      </c>
      <c r="L33" s="10" t="s">
        <v>69</v>
      </c>
      <c r="M33" s="10" t="s">
        <v>69</v>
      </c>
      <c r="N33" s="51" t="s">
        <v>69</v>
      </c>
      <c r="O33" s="11" t="s">
        <v>69</v>
      </c>
      <c r="P33" s="10"/>
      <c r="Q33" s="40"/>
      <c r="R33" s="2">
        <v>63</v>
      </c>
      <c r="S33" s="10">
        <f>IF(T33="",R33,MAX((R33+$R$8)/$R$2,(T33+$T$8)/$T$2)*$R$2-$R$8)</f>
        <v>63</v>
      </c>
      <c r="T33" s="12" t="s">
        <v>69</v>
      </c>
      <c r="U33" s="7">
        <f>IF(A33&lt;&gt;"",SUM(B33:I33),"")</f>
        <v>18</v>
      </c>
      <c r="V33" s="10">
        <f>IF(A33&lt;&gt;"",SUM(J33:O33),"")</f>
        <v>32</v>
      </c>
      <c r="W33" s="10">
        <f>IF(A33&lt;&gt;"",SUM(P33:Q33),"")</f>
        <v>0</v>
      </c>
      <c r="X33" s="10">
        <f>IF(A33&lt;&gt;"",SUM(S33:T33),"")</f>
        <v>63</v>
      </c>
      <c r="Y33" s="12">
        <v>3</v>
      </c>
      <c r="Z33" s="12">
        <f>IF(A33&lt;&gt;"",SUM(U33:Y33),"")</f>
        <v>116</v>
      </c>
      <c r="AA33" s="27">
        <f>IF(A33&lt;&gt;"",(Z33+Normalize_To_Add)/(Point_Total_So_Far)*100,"")</f>
        <v>19.109673189131843</v>
      </c>
      <c r="AB33" s="10">
        <f>IF(A33&lt;&gt;"",RANK(AA33,All_Student_XC),"")</f>
        <v>375</v>
      </c>
      <c r="AC33" s="31" t="str">
        <f>IF(A33&lt;&gt;"",CHOOSE(10-MIN(9,TRUNC((AA33+0.5)/10)),"A","B","C","D","F","F","F","F","F","F"),"")</f>
        <v>F</v>
      </c>
      <c r="AD33" s="31" t="str">
        <f>IF(A33&lt;&gt;"",IF(OR(AA33+0.5&gt;=93,AA33+0.5&lt;60),"",IF(MOD(AA33+0.5,10)&gt;=7,"+",IF(MOD(AA33+0.5,10)&lt;3,"-",""))),"")</f>
        <v/>
      </c>
      <c r="AE33" s="31">
        <f>IF(A33&lt;&gt;"",SUM(W33:X33,$W$8:$X$8)/SUM($W$2:$X$2)*100,"")</f>
        <v>27.619346378263685</v>
      </c>
      <c r="AF33" s="31" t="str">
        <f>IF(A33&lt;&gt;"",CHOOSE(10-MIN(9,TRUNC((AE33+0.5)/10)),"A","B","C","D","F","F","F","F","F","F"),"")</f>
        <v>F</v>
      </c>
      <c r="AG33" s="31" t="str">
        <f>IF(A33&lt;&gt;"",IF(OR(AE33+0.5&gt;=93,AE33+0.5&lt;60),"",IF(MOD(AE33+0.5,10)&gt;=7,"+",IF(MOD(AE33+0.5,10)&lt;3,"-",""))),"")</f>
        <v/>
      </c>
      <c r="AH33" s="35">
        <f>IF(A33&lt;&gt;"",MIN(MAX(AA33,AE33),AA33+$AH$8,AE33+$AH$8),"")</f>
        <v>27.619346378263685</v>
      </c>
      <c r="AI33" s="31" t="str">
        <f>IF(A33&lt;&gt;"",CHOOSE(10-MIN(9,TRUNC((AH33+0.5)/10)),"A","B","C","D","F","F","F","F","F","F"),"")</f>
        <v>F</v>
      </c>
      <c r="AJ33" s="31" t="str">
        <f>IF(A33&lt;&gt;"",IF(OR(AH33+0.5&gt;=93,AH33+0.5&lt;60),"",IF(MOD(AH33+0.5,10)&gt;=7,"+",IF(MOD(AH33+0.5,10)&lt;3,"-",""))),"")</f>
        <v/>
      </c>
      <c r="AK33" s="31" t="b">
        <f>IF(A33&lt;&gt;"",OR(AI33&lt;&gt;AC33,AJ33&lt;&gt;AD33),"")</f>
        <v>0</v>
      </c>
      <c r="AL33" s="81">
        <f>IF(AND(A33&lt;&gt;"",U33&gt;0),SUM(U33,$AL$8)/$AL$2*100,"")</f>
        <v>9</v>
      </c>
      <c r="AM33" s="24">
        <f>IF(AND(A33&lt;&gt;"",V33&gt;0),SUM(V33,$AM$8)/$AM$2*100,"")</f>
        <v>10.666666666666668</v>
      </c>
      <c r="AN33" s="24" t="str">
        <f>IF(AND(A33&lt;&gt;"",P33&lt;&gt;0),SUM(P33,$AN$8)/$AN$2*100,"")</f>
        <v/>
      </c>
      <c r="AO33" s="24" t="str">
        <f>IF(AND(A33&lt;&gt;"",Q33&lt;&gt;0),SUM(Q33,$AO$8)/$AO$2*100,"")</f>
        <v/>
      </c>
      <c r="AP33" s="24">
        <f>IF(AND(A33&lt;&gt;"",R33&lt;&gt;0),SUM(R33,$AP$8)/$AP$2*100,"")</f>
        <v>46.002659574468083</v>
      </c>
      <c r="AQ33" s="24" t="str">
        <f>IF(AND(A33&lt;&gt;"",W33&gt;0),SUM(W33,$AQ$8)/$AQ$2*100,"")</f>
        <v/>
      </c>
      <c r="AR33" s="24">
        <f>IF(AND(A33&lt;&gt;"",T33&gt;0),SUM(T33,$AR$8)/$AR$2*100,"")</f>
        <v>15.363804247460756</v>
      </c>
      <c r="AS33" s="24">
        <f>IF(AND(A33&lt;&gt;"",X33&lt;&gt;0),SUM(X33,$AS$8)/$AS$2*100,"")</f>
        <v>27.619346378263685</v>
      </c>
      <c r="AT33" s="86">
        <f>IF(A33&lt;&gt;"",SUM(W33:X33,$AT$8)/$AT$2*100,"")</f>
        <v>27.619346378263685</v>
      </c>
      <c r="AU33" s="24">
        <f>AA33</f>
        <v>19.109673189131843</v>
      </c>
      <c r="AV33" s="24"/>
      <c r="AW33" s="27">
        <f>IF(A33&lt;&gt;"",AE33-AA33,"")</f>
        <v>8.509673189131842</v>
      </c>
      <c r="AY33" s="27">
        <f>AR33-AP33</f>
        <v>-30.638855327007327</v>
      </c>
      <c r="AZ33" s="27">
        <f>ABS(AY33)</f>
        <v>30.638855327007327</v>
      </c>
    </row>
    <row r="34" spans="1:52" s="27" customFormat="1" ht="12.75" customHeight="1" x14ac:dyDescent="0.2">
      <c r="A34" s="10">
        <v>73834</v>
      </c>
      <c r="B34" s="2">
        <v>25</v>
      </c>
      <c r="C34" s="10">
        <v>22</v>
      </c>
      <c r="D34" s="10">
        <v>23</v>
      </c>
      <c r="E34" s="10">
        <v>25</v>
      </c>
      <c r="F34" s="10">
        <v>21</v>
      </c>
      <c r="G34" s="10">
        <v>25</v>
      </c>
      <c r="H34" s="10">
        <v>22</v>
      </c>
      <c r="I34" s="10">
        <v>25</v>
      </c>
      <c r="J34" s="2"/>
      <c r="K34" s="10">
        <v>60</v>
      </c>
      <c r="L34" s="10">
        <v>41</v>
      </c>
      <c r="M34" s="10">
        <v>60</v>
      </c>
      <c r="N34" s="51">
        <v>57</v>
      </c>
      <c r="O34" s="11">
        <v>62</v>
      </c>
      <c r="P34" s="10"/>
      <c r="Q34" s="40"/>
      <c r="R34" s="2">
        <v>156</v>
      </c>
      <c r="S34" s="10">
        <f>IF(T34="",R34,MAX((R34+$R$8)/$R$2,(T34+$T$8)/$T$2)*$R$2-$R$8)</f>
        <v>156</v>
      </c>
      <c r="T34" s="12">
        <v>220</v>
      </c>
      <c r="U34" s="34">
        <f>IF(A34&lt;&gt;"",SUM(B34:I34),"")</f>
        <v>188</v>
      </c>
      <c r="V34" s="10">
        <f>IF(A34&lt;&gt;"",SUM(J34:O34),"")</f>
        <v>280</v>
      </c>
      <c r="W34" s="10">
        <f>IF(A34&lt;&gt;"",SUM(P34:Q34),"")</f>
        <v>0</v>
      </c>
      <c r="X34" s="10">
        <f>IF(A34&lt;&gt;"",SUM(S34:T34),"")</f>
        <v>376</v>
      </c>
      <c r="Y34" s="12">
        <v>3</v>
      </c>
      <c r="Z34" s="12">
        <f>IF(A34&lt;&gt;"",SUM(U34:Y34),"")</f>
        <v>847</v>
      </c>
      <c r="AA34" s="27">
        <f>IF(A34&lt;&gt;"",(Z34+Normalize_To_Add)/(Point_Total_So_Far)*100,"")</f>
        <v>92.209673189131848</v>
      </c>
      <c r="AB34" s="10">
        <f>IF(A34&lt;&gt;"",RANK(AA34,All_Student_XC),"")</f>
        <v>57</v>
      </c>
      <c r="AC34" s="31" t="str">
        <f>IF(A34&lt;&gt;"",CHOOSE(10-MIN(9,TRUNC((AA34+0.5)/10)),"A","B","C","D","F","F","F","F","F","F"),"")</f>
        <v>A</v>
      </c>
      <c r="AD34" s="31" t="str">
        <f>IF(A34&lt;&gt;"",IF(OR(AA34+0.5&gt;=93,AA34+0.5&lt;60),"",IF(MOD(AA34+0.5,10)&gt;=7,"+",IF(MOD(AA34+0.5,10)&lt;3,"-",""))),"")</f>
        <v>-</v>
      </c>
      <c r="AE34" s="31">
        <f>IF(A34&lt;&gt;"",SUM(W34:X34,$W$8:$X$8)/SUM($W$2:$X$2)*100,"")</f>
        <v>90.219346378263694</v>
      </c>
      <c r="AF34" s="31" t="str">
        <f>IF(A34&lt;&gt;"",CHOOSE(10-MIN(9,TRUNC((AE34+0.5)/10)),"A","B","C","D","F","F","F","F","F","F"),"")</f>
        <v>A</v>
      </c>
      <c r="AG34" s="31" t="str">
        <f>IF(A34&lt;&gt;"",IF(OR(AE34+0.5&gt;=93,AE34+0.5&lt;60),"",IF(MOD(AE34+0.5,10)&gt;=7,"+",IF(MOD(AE34+0.5,10)&lt;3,"-",""))),"")</f>
        <v>-</v>
      </c>
      <c r="AH34" s="35">
        <f>IF(A34&lt;&gt;"",MIN(MAX(AA34,AE34),AA34+$AH$8,AE34+$AH$8),"")</f>
        <v>92.209673189131848</v>
      </c>
      <c r="AI34" s="31" t="str">
        <f>IF(A34&lt;&gt;"",CHOOSE(10-MIN(9,TRUNC((AH34+0.5)/10)),"A","B","C","D","F","F","F","F","F","F"),"")</f>
        <v>A</v>
      </c>
      <c r="AJ34" s="31" t="str">
        <f>IF(A34&lt;&gt;"",IF(OR(AH34+0.5&gt;=93,AH34+0.5&lt;60),"",IF(MOD(AH34+0.5,10)&gt;=7,"+",IF(MOD(AH34+0.5,10)&lt;3,"-",""))),"")</f>
        <v>-</v>
      </c>
      <c r="AK34" s="31" t="b">
        <f>IF(A34&lt;&gt;"",OR(AI34&lt;&gt;AC34,AJ34&lt;&gt;AD34),"")</f>
        <v>0</v>
      </c>
      <c r="AL34" s="81">
        <f>IF(AND(A34&lt;&gt;"",U34&gt;0),SUM(U34,$AL$8)/$AL$2*100,"")</f>
        <v>94</v>
      </c>
      <c r="AM34" s="24">
        <f>IF(AND(A34&lt;&gt;"",V34&gt;0),SUM(V34,$AM$8)/$AM$2*100,"")</f>
        <v>93.333333333333329</v>
      </c>
      <c r="AN34" s="24" t="str">
        <f>IF(AND(A34&lt;&gt;"",P34&lt;&gt;0),SUM(P34,$AN$8)/$AN$2*100,"")</f>
        <v/>
      </c>
      <c r="AO34" s="24" t="str">
        <f>IF(AND(A34&lt;&gt;"",Q34&lt;&gt;0),SUM(Q34,$AO$8)/$AO$2*100,"")</f>
        <v/>
      </c>
      <c r="AP34" s="24">
        <f>IF(AND(A34&lt;&gt;"",R34&lt;&gt;0),SUM(R34,$AP$8)/$AP$2*100,"")</f>
        <v>92.502659574468083</v>
      </c>
      <c r="AQ34" s="24" t="str">
        <f>IF(AND(A34&lt;&gt;"",W34&gt;0),SUM(W34,$AQ$8)/$AQ$2*100,"")</f>
        <v/>
      </c>
      <c r="AR34" s="24">
        <f>IF(AND(A34&lt;&gt;"",T34&gt;0),SUM(T34,$AR$8)/$AR$2*100,"")</f>
        <v>88.697137580794077</v>
      </c>
      <c r="AS34" s="24">
        <f>IF(AND(A34&lt;&gt;"",X34&lt;&gt;0),SUM(X34,$AS$8)/$AS$2*100,"")</f>
        <v>90.219346378263694</v>
      </c>
      <c r="AT34" s="86">
        <f>IF(A34&lt;&gt;"",SUM(W34:X34,$AT$8)/$AT$2*100,"")</f>
        <v>90.219346378263694</v>
      </c>
      <c r="AU34" s="24">
        <f>AA34</f>
        <v>92.209673189131848</v>
      </c>
      <c r="AV34" s="24"/>
      <c r="AW34" s="27">
        <f>IF(A34&lt;&gt;"",AE34-AA34,"")</f>
        <v>-1.9903268108681544</v>
      </c>
      <c r="AY34" s="27">
        <f>AR34-AP34</f>
        <v>-3.8055219936740059</v>
      </c>
      <c r="AZ34" s="27">
        <f>ABS(AY34)</f>
        <v>3.8055219936740059</v>
      </c>
    </row>
    <row r="35" spans="1:52" s="27" customFormat="1" ht="12.75" customHeight="1" x14ac:dyDescent="0.2">
      <c r="A35" s="10">
        <v>74750</v>
      </c>
      <c r="B35" s="2">
        <v>24</v>
      </c>
      <c r="C35" s="10">
        <v>21</v>
      </c>
      <c r="D35" s="10">
        <v>23</v>
      </c>
      <c r="E35" s="10">
        <v>25</v>
      </c>
      <c r="F35" s="10">
        <v>25</v>
      </c>
      <c r="G35" s="10">
        <v>25</v>
      </c>
      <c r="H35" s="10">
        <v>22</v>
      </c>
      <c r="I35" s="10">
        <v>25</v>
      </c>
      <c r="J35" s="2"/>
      <c r="K35" s="10">
        <v>55</v>
      </c>
      <c r="L35" s="10">
        <v>59</v>
      </c>
      <c r="M35" s="10">
        <v>60</v>
      </c>
      <c r="N35" s="51">
        <v>57</v>
      </c>
      <c r="O35" s="11">
        <v>53</v>
      </c>
      <c r="P35" s="10"/>
      <c r="Q35" s="40"/>
      <c r="R35" s="2">
        <v>96</v>
      </c>
      <c r="S35" s="10">
        <f>IF(T35="",R35,MAX((R35+$R$8)/$R$2,(T35+$T$8)/$T$2)*$R$2-$R$8)</f>
        <v>95.999999999999986</v>
      </c>
      <c r="T35" s="12">
        <v>111</v>
      </c>
      <c r="U35" s="34">
        <f>IF(A35&lt;&gt;"",SUM(B35:I35),"")</f>
        <v>190</v>
      </c>
      <c r="V35" s="10">
        <f>IF(A35&lt;&gt;"",SUM(J35:O35),"")</f>
        <v>284</v>
      </c>
      <c r="W35" s="10">
        <f>IF(A35&lt;&gt;"",SUM(P35:Q35),"")</f>
        <v>0</v>
      </c>
      <c r="X35" s="10">
        <f>IF(A35&lt;&gt;"",SUM(S35:T35),"")</f>
        <v>207</v>
      </c>
      <c r="Y35" s="12">
        <v>3</v>
      </c>
      <c r="Z35" s="12">
        <f>IF(A35&lt;&gt;"",SUM(U35:Y35),"")</f>
        <v>684</v>
      </c>
      <c r="AA35" s="27">
        <f>IF(A35&lt;&gt;"",(Z35+Normalize_To_Add)/(Point_Total_So_Far)*100,"")</f>
        <v>75.909673189131837</v>
      </c>
      <c r="AB35" s="10">
        <f>IF(A35&lt;&gt;"",RANK(AA35,All_Student_XC),"")</f>
        <v>264</v>
      </c>
      <c r="AC35" s="31" t="str">
        <f>IF(A35&lt;&gt;"",CHOOSE(10-MIN(9,TRUNC((AA35+0.5)/10)),"A","B","C","D","F","F","F","F","F","F"),"")</f>
        <v>C</v>
      </c>
      <c r="AD35" s="31" t="str">
        <f>IF(A35&lt;&gt;"",IF(OR(AA35+0.5&gt;=93,AA35+0.5&lt;60),"",IF(MOD(AA35+0.5,10)&gt;=7,"+",IF(MOD(AA35+0.5,10)&lt;3,"-",""))),"")</f>
        <v/>
      </c>
      <c r="AE35" s="31">
        <f>IF(A35&lt;&gt;"",SUM(W35:X35,$W$8:$X$8)/SUM($W$2:$X$2)*100,"")</f>
        <v>56.41934637826369</v>
      </c>
      <c r="AF35" s="31" t="str">
        <f>IF(A35&lt;&gt;"",CHOOSE(10-MIN(9,TRUNC((AE35+0.5)/10)),"A","B","C","D","F","F","F","F","F","F"),"")</f>
        <v>F</v>
      </c>
      <c r="AG35" s="31" t="str">
        <f>IF(A35&lt;&gt;"",IF(OR(AE35+0.5&gt;=93,AE35+0.5&lt;60),"",IF(MOD(AE35+0.5,10)&gt;=7,"+",IF(MOD(AE35+0.5,10)&lt;3,"-",""))),"")</f>
        <v/>
      </c>
      <c r="AH35" s="35">
        <f>IF(A35&lt;&gt;"",MIN(MAX(AA35,AE35),AA35+$AH$8,AE35+$AH$8),"")</f>
        <v>75.909673189131837</v>
      </c>
      <c r="AI35" s="31" t="str">
        <f>IF(A35&lt;&gt;"",CHOOSE(10-MIN(9,TRUNC((AH35+0.5)/10)),"A","B","C","D","F","F","F","F","F","F"),"")</f>
        <v>C</v>
      </c>
      <c r="AJ35" s="31" t="str">
        <f>IF(A35&lt;&gt;"",IF(OR(AH35+0.5&gt;=93,AH35+0.5&lt;60),"",IF(MOD(AH35+0.5,10)&gt;=7,"+",IF(MOD(AH35+0.5,10)&lt;3,"-",""))),"")</f>
        <v/>
      </c>
      <c r="AK35" s="31" t="b">
        <f>IF(A35&lt;&gt;"",OR(AI35&lt;&gt;AC35,AJ35&lt;&gt;AD35),"")</f>
        <v>0</v>
      </c>
      <c r="AL35" s="81">
        <f>IF(AND(A35&lt;&gt;"",U35&gt;0),SUM(U35,$AL$8)/$AL$2*100,"")</f>
        <v>95</v>
      </c>
      <c r="AM35" s="24">
        <f>IF(AND(A35&lt;&gt;"",V35&gt;0),SUM(V35,$AM$8)/$AM$2*100,"")</f>
        <v>94.666666666666671</v>
      </c>
      <c r="AN35" s="24" t="str">
        <f>IF(AND(A35&lt;&gt;"",P35&lt;&gt;0),SUM(P35,$AN$8)/$AN$2*100,"")</f>
        <v/>
      </c>
      <c r="AO35" s="24" t="str">
        <f>IF(AND(A35&lt;&gt;"",Q35&lt;&gt;0),SUM(Q35,$AO$8)/$AO$2*100,"")</f>
        <v/>
      </c>
      <c r="AP35" s="24">
        <f>IF(AND(A35&lt;&gt;"",R35&lt;&gt;0),SUM(R35,$AP$8)/$AP$2*100,"")</f>
        <v>62.502659574468076</v>
      </c>
      <c r="AQ35" s="24" t="str">
        <f>IF(AND(A35&lt;&gt;"",W35&gt;0),SUM(W35,$AQ$8)/$AQ$2*100,"")</f>
        <v/>
      </c>
      <c r="AR35" s="24">
        <f>IF(AND(A35&lt;&gt;"",T35&gt;0),SUM(T35,$AR$8)/$AR$2*100,"")</f>
        <v>52.363804247460756</v>
      </c>
      <c r="AS35" s="24">
        <f>IF(AND(A35&lt;&gt;"",X35&lt;&gt;0),SUM(X35,$AS$8)/$AS$2*100,"")</f>
        <v>56.41934637826369</v>
      </c>
      <c r="AT35" s="86">
        <f>IF(A35&lt;&gt;"",SUM(W35:X35,$AT$8)/$AT$2*100,"")</f>
        <v>56.41934637826369</v>
      </c>
      <c r="AU35" s="24">
        <f>AA35</f>
        <v>75.909673189131837</v>
      </c>
      <c r="AV35" s="24"/>
      <c r="AW35" s="27">
        <f>IF(A35&lt;&gt;"",AE35-AA35,"")</f>
        <v>-19.490326810868147</v>
      </c>
      <c r="AY35" s="27">
        <f>AR35-AP35</f>
        <v>-10.13885532700732</v>
      </c>
      <c r="AZ35" s="27">
        <f>ABS(AY35)</f>
        <v>10.13885532700732</v>
      </c>
    </row>
    <row r="36" spans="1:52" s="27" customFormat="1" ht="12.75" customHeight="1" x14ac:dyDescent="0.2">
      <c r="A36" s="10">
        <v>77552</v>
      </c>
      <c r="B36" s="2">
        <v>25</v>
      </c>
      <c r="C36" s="10">
        <v>25</v>
      </c>
      <c r="D36" s="10">
        <v>23</v>
      </c>
      <c r="E36" s="10">
        <v>20</v>
      </c>
      <c r="F36" s="10">
        <v>23</v>
      </c>
      <c r="G36" s="10">
        <v>25</v>
      </c>
      <c r="H36" s="10">
        <v>24</v>
      </c>
      <c r="I36" s="10">
        <v>25</v>
      </c>
      <c r="J36" s="2"/>
      <c r="K36" s="10">
        <v>53</v>
      </c>
      <c r="L36" s="10">
        <v>60</v>
      </c>
      <c r="M36" s="10">
        <v>61</v>
      </c>
      <c r="N36" s="51">
        <v>59</v>
      </c>
      <c r="O36" s="11">
        <v>62</v>
      </c>
      <c r="P36" s="10"/>
      <c r="Q36" s="40"/>
      <c r="R36" s="2">
        <v>148</v>
      </c>
      <c r="S36" s="10">
        <f>IF(T36="",R36,MAX((R36+$R$8)/$R$2,(T36+$T$8)/$T$2)*$R$2-$R$8)</f>
        <v>161.05562267931867</v>
      </c>
      <c r="T36" s="12">
        <v>239</v>
      </c>
      <c r="U36" s="34">
        <f>IF(A36&lt;&gt;"",SUM(B36:I36),"")</f>
        <v>190</v>
      </c>
      <c r="V36" s="10">
        <f>IF(A36&lt;&gt;"",SUM(J36:O36),"")</f>
        <v>295</v>
      </c>
      <c r="W36" s="10">
        <f>IF(A36&lt;&gt;"",SUM(P36:Q36),"")</f>
        <v>0</v>
      </c>
      <c r="X36" s="10">
        <f>IF(A36&lt;&gt;"",SUM(S36:T36),"")</f>
        <v>400.05562267931867</v>
      </c>
      <c r="Y36" s="12">
        <v>3</v>
      </c>
      <c r="Z36" s="12">
        <f>IF(A36&lt;&gt;"",SUM(U36:Y36),"")</f>
        <v>888.05562267931873</v>
      </c>
      <c r="AA36" s="27">
        <f>IF(A36&lt;&gt;"",(Z36+Normalize_To_Add)/(Point_Total_So_Far)*100,"")</f>
        <v>96.315235457063721</v>
      </c>
      <c r="AB36" s="10">
        <f>IF(A36&lt;&gt;"",RANK(AA36,All_Student_XC),"")</f>
        <v>21</v>
      </c>
      <c r="AC36" s="31" t="str">
        <f>IF(A36&lt;&gt;"",CHOOSE(10-MIN(9,TRUNC((AA36+0.5)/10)),"A","B","C","D","F","F","F","F","F","F"),"")</f>
        <v>A</v>
      </c>
      <c r="AD36" s="31" t="str">
        <f>IF(A36&lt;&gt;"",IF(OR(AA36+0.5&gt;=93,AA36+0.5&lt;60),"",IF(MOD(AA36+0.5,10)&gt;=7,"+",IF(MOD(AA36+0.5,10)&lt;3,"-",""))),"")</f>
        <v/>
      </c>
      <c r="AE36" s="31">
        <f>IF(A36&lt;&gt;"",SUM(W36:X36,$W$8:$X$8)/SUM($W$2:$X$2)*100,"")</f>
        <v>95.03047091412742</v>
      </c>
      <c r="AF36" s="31" t="str">
        <f>IF(A36&lt;&gt;"",CHOOSE(10-MIN(9,TRUNC((AE36+0.5)/10)),"A","B","C","D","F","F","F","F","F","F"),"")</f>
        <v>A</v>
      </c>
      <c r="AG36" s="31" t="str">
        <f>IF(A36&lt;&gt;"",IF(OR(AE36+0.5&gt;=93,AE36+0.5&lt;60),"",IF(MOD(AE36+0.5,10)&gt;=7,"+",IF(MOD(AE36+0.5,10)&lt;3,"-",""))),"")</f>
        <v/>
      </c>
      <c r="AH36" s="35">
        <f>IF(A36&lt;&gt;"",MIN(MAX(AA36,AE36),AA36+$AH$8,AE36+$AH$8),"")</f>
        <v>96.315235457063721</v>
      </c>
      <c r="AI36" s="31" t="str">
        <f>IF(A36&lt;&gt;"",CHOOSE(10-MIN(9,TRUNC((AH36+0.5)/10)),"A","B","C","D","F","F","F","F","F","F"),"")</f>
        <v>A</v>
      </c>
      <c r="AJ36" s="31" t="str">
        <f>IF(A36&lt;&gt;"",IF(OR(AH36+0.5&gt;=93,AH36+0.5&lt;60),"",IF(MOD(AH36+0.5,10)&gt;=7,"+",IF(MOD(AH36+0.5,10)&lt;3,"-",""))),"")</f>
        <v/>
      </c>
      <c r="AK36" s="31" t="b">
        <f>IF(A36&lt;&gt;"",OR(AI36&lt;&gt;AC36,AJ36&lt;&gt;AD36),"")</f>
        <v>0</v>
      </c>
      <c r="AL36" s="81">
        <f>IF(AND(A36&lt;&gt;"",U36&gt;0),SUM(U36,$AL$8)/$AL$2*100,"")</f>
        <v>95</v>
      </c>
      <c r="AM36" s="24">
        <f>IF(AND(A36&lt;&gt;"",V36&gt;0),SUM(V36,$AM$8)/$AM$2*100,"")</f>
        <v>98.333333333333329</v>
      </c>
      <c r="AN36" s="24" t="str">
        <f>IF(AND(A36&lt;&gt;"",P36&lt;&gt;0),SUM(P36,$AN$8)/$AN$2*100,"")</f>
        <v/>
      </c>
      <c r="AO36" s="24" t="str">
        <f>IF(AND(A36&lt;&gt;"",Q36&lt;&gt;0),SUM(Q36,$AO$8)/$AO$2*100,"")</f>
        <v/>
      </c>
      <c r="AP36" s="24">
        <f>IF(AND(A36&lt;&gt;"",R36&lt;&gt;0),SUM(R36,$AP$8)/$AP$2*100,"")</f>
        <v>88.502659574468083</v>
      </c>
      <c r="AQ36" s="24" t="str">
        <f>IF(AND(A36&lt;&gt;"",W36&gt;0),SUM(W36,$AQ$8)/$AQ$2*100,"")</f>
        <v/>
      </c>
      <c r="AR36" s="24">
        <f>IF(AND(A36&lt;&gt;"",T36&gt;0),SUM(T36,$AR$8)/$AR$2*100,"")</f>
        <v>95.03047091412742</v>
      </c>
      <c r="AS36" s="24">
        <f>IF(AND(A36&lt;&gt;"",X36&lt;&gt;0),SUM(X36,$AS$8)/$AS$2*100,"")</f>
        <v>95.03047091412742</v>
      </c>
      <c r="AT36" s="86">
        <f>IF(A36&lt;&gt;"",SUM(W36:X36,$AT$8)/$AT$2*100,"")</f>
        <v>95.03047091412742</v>
      </c>
      <c r="AU36" s="24">
        <f>AA36</f>
        <v>96.315235457063721</v>
      </c>
      <c r="AV36" s="24"/>
      <c r="AW36" s="27">
        <f>IF(A36&lt;&gt;"",AE36-AA36,"")</f>
        <v>-1.2847645429363013</v>
      </c>
      <c r="AY36" s="27">
        <f>AR36-AP36</f>
        <v>6.5278113396593369</v>
      </c>
      <c r="AZ36" s="27">
        <f>ABS(AY36)</f>
        <v>6.5278113396593369</v>
      </c>
    </row>
    <row r="37" spans="1:52" s="27" customFormat="1" ht="12.75" customHeight="1" x14ac:dyDescent="0.2">
      <c r="A37" s="10">
        <v>79200</v>
      </c>
      <c r="B37" s="2">
        <v>25</v>
      </c>
      <c r="C37" s="10">
        <v>25</v>
      </c>
      <c r="D37" s="10">
        <v>19</v>
      </c>
      <c r="E37" s="10">
        <v>16</v>
      </c>
      <c r="F37" s="10">
        <v>19</v>
      </c>
      <c r="G37" s="10">
        <v>25</v>
      </c>
      <c r="H37" s="10">
        <v>19</v>
      </c>
      <c r="I37" s="10">
        <v>25</v>
      </c>
      <c r="J37" s="2"/>
      <c r="K37" s="10">
        <v>54</v>
      </c>
      <c r="L37" s="10">
        <v>49</v>
      </c>
      <c r="M37" s="10">
        <v>57</v>
      </c>
      <c r="N37" s="51">
        <v>54</v>
      </c>
      <c r="O37" s="11">
        <v>60</v>
      </c>
      <c r="P37" s="10"/>
      <c r="Q37" s="40"/>
      <c r="R37" s="2">
        <v>142</v>
      </c>
      <c r="S37" s="10">
        <f>IF(T37="",R37,MAX((R37+$R$8)/$R$2,(T37+$T$8)/$T$2)*$R$2-$R$8)</f>
        <v>142</v>
      </c>
      <c r="T37" s="12">
        <v>201</v>
      </c>
      <c r="U37" s="34">
        <f>IF(A37&lt;&gt;"",SUM(B37:I37),"")</f>
        <v>173</v>
      </c>
      <c r="V37" s="10">
        <f>IF(A37&lt;&gt;"",SUM(J37:O37),"")</f>
        <v>274</v>
      </c>
      <c r="W37" s="10">
        <f>IF(A37&lt;&gt;"",SUM(P37:Q37),"")</f>
        <v>0</v>
      </c>
      <c r="X37" s="10">
        <f>IF(A37&lt;&gt;"",SUM(S37:T37),"")</f>
        <v>343</v>
      </c>
      <c r="Y37" s="12" t="s">
        <v>69</v>
      </c>
      <c r="Z37" s="12">
        <f>IF(A37&lt;&gt;"",SUM(U37:Y37),"")</f>
        <v>790</v>
      </c>
      <c r="AA37" s="27">
        <f>IF(A37&lt;&gt;"",(Z37+Normalize_To_Add)/(Point_Total_So_Far)*100,"")</f>
        <v>86.509673189131846</v>
      </c>
      <c r="AB37" s="10">
        <f>IF(A37&lt;&gt;"",RANK(AA37,All_Student_XC),"")</f>
        <v>131</v>
      </c>
      <c r="AC37" s="31" t="str">
        <f>IF(A37&lt;&gt;"",CHOOSE(10-MIN(9,TRUNC((AA37+0.5)/10)),"A","B","C","D","F","F","F","F","F","F"),"")</f>
        <v>B</v>
      </c>
      <c r="AD37" s="31" t="str">
        <f>IF(A37&lt;&gt;"",IF(OR(AA37+0.5&gt;=93,AA37+0.5&lt;60),"",IF(MOD(AA37+0.5,10)&gt;=7,"+",IF(MOD(AA37+0.5,10)&lt;3,"-",""))),"")</f>
        <v>+</v>
      </c>
      <c r="AE37" s="31">
        <f>IF(A37&lt;&gt;"",SUM(W37:X37,$W$8:$X$8)/SUM($W$2:$X$2)*100,"")</f>
        <v>83.619346378263685</v>
      </c>
      <c r="AF37" s="31" t="str">
        <f>IF(A37&lt;&gt;"",CHOOSE(10-MIN(9,TRUNC((AE37+0.5)/10)),"A","B","C","D","F","F","F","F","F","F"),"")</f>
        <v>B</v>
      </c>
      <c r="AG37" s="31" t="str">
        <f>IF(A37&lt;&gt;"",IF(OR(AE37+0.5&gt;=93,AE37+0.5&lt;60),"",IF(MOD(AE37+0.5,10)&gt;=7,"+",IF(MOD(AE37+0.5,10)&lt;3,"-",""))),"")</f>
        <v/>
      </c>
      <c r="AH37" s="35">
        <f>IF(A37&lt;&gt;"",MIN(MAX(AA37,AE37),AA37+$AH$8,AE37+$AH$8),"")</f>
        <v>86.509673189131846</v>
      </c>
      <c r="AI37" s="31" t="str">
        <f>IF(A37&lt;&gt;"",CHOOSE(10-MIN(9,TRUNC((AH37+0.5)/10)),"A","B","C","D","F","F","F","F","F","F"),"")</f>
        <v>B</v>
      </c>
      <c r="AJ37" s="31" t="str">
        <f>IF(A37&lt;&gt;"",IF(OR(AH37+0.5&gt;=93,AH37+0.5&lt;60),"",IF(MOD(AH37+0.5,10)&gt;=7,"+",IF(MOD(AH37+0.5,10)&lt;3,"-",""))),"")</f>
        <v>+</v>
      </c>
      <c r="AK37" s="31" t="b">
        <f>IF(A37&lt;&gt;"",OR(AI37&lt;&gt;AC37,AJ37&lt;&gt;AD37),"")</f>
        <v>0</v>
      </c>
      <c r="AL37" s="81">
        <f>IF(AND(A37&lt;&gt;"",U37&gt;0),SUM(U37,$AL$8)/$AL$2*100,"")</f>
        <v>86.5</v>
      </c>
      <c r="AM37" s="24">
        <f>IF(AND(A37&lt;&gt;"",V37&gt;0),SUM(V37,$AM$8)/$AM$2*100,"")</f>
        <v>91.333333333333329</v>
      </c>
      <c r="AN37" s="24" t="str">
        <f>IF(AND(A37&lt;&gt;"",P37&lt;&gt;0),SUM(P37,$AN$8)/$AN$2*100,"")</f>
        <v/>
      </c>
      <c r="AO37" s="24" t="str">
        <f>IF(AND(A37&lt;&gt;"",Q37&lt;&gt;0),SUM(Q37,$AO$8)/$AO$2*100,"")</f>
        <v/>
      </c>
      <c r="AP37" s="24">
        <f>IF(AND(A37&lt;&gt;"",R37&lt;&gt;0),SUM(R37,$AP$8)/$AP$2*100,"")</f>
        <v>85.502659574468083</v>
      </c>
      <c r="AQ37" s="24" t="str">
        <f>IF(AND(A37&lt;&gt;"",W37&gt;0),SUM(W37,$AQ$8)/$AQ$2*100,"")</f>
        <v/>
      </c>
      <c r="AR37" s="24">
        <f>IF(AND(A37&lt;&gt;"",T37&gt;0),SUM(T37,$AR$8)/$AR$2*100,"")</f>
        <v>82.363804247460763</v>
      </c>
      <c r="AS37" s="24">
        <f>IF(AND(A37&lt;&gt;"",X37&lt;&gt;0),SUM(X37,$AS$8)/$AS$2*100,"")</f>
        <v>83.619346378263685</v>
      </c>
      <c r="AT37" s="86">
        <f>IF(A37&lt;&gt;"",SUM(W37:X37,$AT$8)/$AT$2*100,"")</f>
        <v>83.619346378263685</v>
      </c>
      <c r="AU37" s="24">
        <f>AA37</f>
        <v>86.509673189131846</v>
      </c>
      <c r="AV37" s="24"/>
      <c r="AW37" s="27">
        <f>IF(A37&lt;&gt;"",AE37-AA37,"")</f>
        <v>-2.8903268108681601</v>
      </c>
      <c r="AY37" s="27">
        <f>AR37-AP37</f>
        <v>-3.1388553270073203</v>
      </c>
      <c r="AZ37" s="27">
        <f>ABS(AY37)</f>
        <v>3.1388553270073203</v>
      </c>
    </row>
    <row r="38" spans="1:52" s="27" customFormat="1" ht="12.75" customHeight="1" x14ac:dyDescent="0.2">
      <c r="A38" s="10">
        <v>80000</v>
      </c>
      <c r="B38" s="2">
        <v>25</v>
      </c>
      <c r="C38" s="10">
        <v>24</v>
      </c>
      <c r="D38" s="10">
        <v>19</v>
      </c>
      <c r="E38" s="10">
        <v>20</v>
      </c>
      <c r="F38" s="10">
        <v>25</v>
      </c>
      <c r="G38" s="10">
        <v>25</v>
      </c>
      <c r="H38" s="10">
        <v>20</v>
      </c>
      <c r="I38" s="10">
        <v>25</v>
      </c>
      <c r="J38" s="2"/>
      <c r="K38" s="10">
        <v>51</v>
      </c>
      <c r="L38" s="10">
        <v>58</v>
      </c>
      <c r="M38" s="10">
        <v>60</v>
      </c>
      <c r="N38" s="51">
        <v>57</v>
      </c>
      <c r="O38" s="11">
        <v>45</v>
      </c>
      <c r="P38" s="10"/>
      <c r="Q38" s="40"/>
      <c r="R38" s="2">
        <v>113</v>
      </c>
      <c r="S38" s="10">
        <f>IF(T38="",R38,MAX((R38+$R$8)/$R$2,(T38+$T$8)/$T$2)*$R$2-$R$8)</f>
        <v>117.72228934598533</v>
      </c>
      <c r="T38" s="12">
        <v>174</v>
      </c>
      <c r="U38" s="7">
        <f>IF(A38&lt;&gt;"",SUM(B38:I38),"")</f>
        <v>183</v>
      </c>
      <c r="V38" s="10">
        <f>IF(A38&lt;&gt;"",SUM(J38:O38),"")</f>
        <v>271</v>
      </c>
      <c r="W38" s="10">
        <f>IF(A38&lt;&gt;"",SUM(P38:Q38),"")</f>
        <v>0</v>
      </c>
      <c r="X38" s="10">
        <f>IF(A38&lt;&gt;"",SUM(S38:T38),"")</f>
        <v>291.72228934598536</v>
      </c>
      <c r="Y38" s="12" t="s">
        <v>69</v>
      </c>
      <c r="Z38" s="12">
        <f>IF(A38&lt;&gt;"",SUM(U38:Y38),"")</f>
        <v>745.72228934598536</v>
      </c>
      <c r="AA38" s="27">
        <f>IF(A38&lt;&gt;"",(Z38+Normalize_To_Add)/(Point_Total_So_Far)*100,"")</f>
        <v>82.081902123730373</v>
      </c>
      <c r="AB38" s="10">
        <f>IF(A38&lt;&gt;"",RANK(AA38,All_Student_XC),"")</f>
        <v>181</v>
      </c>
      <c r="AC38" s="31" t="str">
        <f>IF(A38&lt;&gt;"",CHOOSE(10-MIN(9,TRUNC((AA38+0.5)/10)),"A","B","C","D","F","F","F","F","F","F"),"")</f>
        <v>B</v>
      </c>
      <c r="AD38" s="31" t="str">
        <f>IF(A38&lt;&gt;"",IF(OR(AA38+0.5&gt;=93,AA38+0.5&lt;60),"",IF(MOD(AA38+0.5,10)&gt;=7,"+",IF(MOD(AA38+0.5,10)&lt;3,"-",""))),"")</f>
        <v>-</v>
      </c>
      <c r="AE38" s="31">
        <f>IF(A38&lt;&gt;"",SUM(W38:X38,$W$8:$X$8)/SUM($W$2:$X$2)*100,"")</f>
        <v>73.363804247460763</v>
      </c>
      <c r="AF38" s="43" t="str">
        <f>IF(A38&lt;&gt;"",CHOOSE(10-MIN(9,TRUNC((AE38+0.5)/10)),"A","B","C","D","F","F","F","F","F","F"),"")</f>
        <v>C</v>
      </c>
      <c r="AG38" s="43" t="str">
        <f>IF(A38&lt;&gt;"",IF(OR(AE38+0.5&gt;=93,AE38+0.5&lt;60),"",IF(MOD(AE38+0.5,10)&gt;=7,"+",IF(MOD(AE38+0.5,10)&lt;3,"-",""))),"")</f>
        <v/>
      </c>
      <c r="AH38" s="35">
        <f>IF(A38&lt;&gt;"",MIN(MAX(AA38,AE38),AA38+$AH$8,AE38+$AH$8),"")</f>
        <v>82.081902123730373</v>
      </c>
      <c r="AI38" s="31" t="str">
        <f>IF(A38&lt;&gt;"",CHOOSE(10-MIN(9,TRUNC((AH38+0.5)/10)),"A","B","C","D","F","F","F","F","F","F"),"")</f>
        <v>B</v>
      </c>
      <c r="AJ38" s="31" t="str">
        <f>IF(A38&lt;&gt;"",IF(OR(AH38+0.5&gt;=93,AH38+0.5&lt;60),"",IF(MOD(AH38+0.5,10)&gt;=7,"+",IF(MOD(AH38+0.5,10)&lt;3,"-",""))),"")</f>
        <v>-</v>
      </c>
      <c r="AK38" s="31" t="b">
        <f>IF(A38&lt;&gt;"",OR(AI38&lt;&gt;AC38,AJ38&lt;&gt;AD38),"")</f>
        <v>0</v>
      </c>
      <c r="AL38" s="81">
        <f>IF(AND(A38&lt;&gt;"",U38&gt;0),SUM(U38,$AL$8)/$AL$2*100,"")</f>
        <v>91.5</v>
      </c>
      <c r="AM38" s="24">
        <f>IF(AND(A38&lt;&gt;"",V38&gt;0),SUM(V38,$AM$8)/$AM$2*100,"")</f>
        <v>90.333333333333329</v>
      </c>
      <c r="AN38" s="24" t="str">
        <f>IF(AND(A38&lt;&gt;"",P38&lt;&gt;0),SUM(P38,$AN$8)/$AN$2*100,"")</f>
        <v/>
      </c>
      <c r="AO38" s="24" t="str">
        <f>IF(AND(A38&lt;&gt;"",Q38&lt;&gt;0),SUM(Q38,$AO$8)/$AO$2*100,"")</f>
        <v/>
      </c>
      <c r="AP38" s="24">
        <f>IF(AND(A38&lt;&gt;"",R38&lt;&gt;0),SUM(R38,$AP$8)/$AP$2*100,"")</f>
        <v>71.002659574468083</v>
      </c>
      <c r="AQ38" s="24" t="str">
        <f>IF(AND(A38&lt;&gt;"",W38&gt;0),SUM(W38,$AQ$8)/$AQ$2*100,"")</f>
        <v/>
      </c>
      <c r="AR38" s="24">
        <f>IF(AND(A38&lt;&gt;"",T38&gt;0),SUM(T38,$AR$8)/$AR$2*100,"")</f>
        <v>73.363804247460749</v>
      </c>
      <c r="AS38" s="24">
        <f>IF(AND(A38&lt;&gt;"",X38&lt;&gt;0),SUM(X38,$AS$8)/$AS$2*100,"")</f>
        <v>73.363804247460763</v>
      </c>
      <c r="AT38" s="86">
        <f>IF(A38&lt;&gt;"",SUM(W38:X38,$AT$8)/$AT$2*100,"")</f>
        <v>73.363804247460763</v>
      </c>
      <c r="AU38" s="24">
        <f>AA38</f>
        <v>82.081902123730373</v>
      </c>
      <c r="AV38" s="24"/>
      <c r="AW38" s="27">
        <f>IF(A38&lt;&gt;"",AE38-AA38,"")</f>
        <v>-8.71809787626961</v>
      </c>
      <c r="AY38" s="27">
        <f>AR38-AP38</f>
        <v>2.3611446729926655</v>
      </c>
      <c r="AZ38" s="27">
        <f>ABS(AY38)</f>
        <v>2.3611446729926655</v>
      </c>
    </row>
    <row r="39" spans="1:52" s="27" customFormat="1" ht="12.75" customHeight="1" x14ac:dyDescent="0.2">
      <c r="A39" s="50">
        <v>80140</v>
      </c>
      <c r="B39" s="2">
        <v>23</v>
      </c>
      <c r="C39" s="10">
        <v>25</v>
      </c>
      <c r="D39" s="10">
        <v>21</v>
      </c>
      <c r="E39" s="10">
        <v>22</v>
      </c>
      <c r="F39" s="10">
        <v>22</v>
      </c>
      <c r="G39" s="10">
        <v>25</v>
      </c>
      <c r="H39" s="10">
        <v>25</v>
      </c>
      <c r="I39" s="10">
        <v>25</v>
      </c>
      <c r="J39" s="2"/>
      <c r="K39" s="10">
        <v>58</v>
      </c>
      <c r="L39" s="10">
        <v>58</v>
      </c>
      <c r="M39" s="10">
        <v>57</v>
      </c>
      <c r="N39" s="51">
        <v>62</v>
      </c>
      <c r="O39" s="11">
        <v>62</v>
      </c>
      <c r="P39" s="10"/>
      <c r="Q39" s="40"/>
      <c r="R39" s="2">
        <v>147</v>
      </c>
      <c r="S39" s="10">
        <f>IF(T39="",R39,MAX((R39+$R$8)/$R$2,(T39+$T$8)/$T$2)*$R$2-$R$8)</f>
        <v>147</v>
      </c>
      <c r="T39" s="12">
        <v>150</v>
      </c>
      <c r="U39" s="7">
        <f>IF(A39&lt;&gt;"",SUM(B39:I39),"")</f>
        <v>188</v>
      </c>
      <c r="V39" s="10">
        <f>IF(A39&lt;&gt;"",SUM(J39:O39),"")</f>
        <v>297</v>
      </c>
      <c r="W39" s="10">
        <f>IF(A39&lt;&gt;"",SUM(P39:Q39),"")</f>
        <v>0</v>
      </c>
      <c r="X39" s="10">
        <f>IF(A39&lt;&gt;"",SUM(S39:T39),"")</f>
        <v>297</v>
      </c>
      <c r="Y39" s="12">
        <v>3</v>
      </c>
      <c r="Z39" s="12">
        <f>IF(A39&lt;&gt;"",SUM(U39:Y39),"")</f>
        <v>785</v>
      </c>
      <c r="AA39" s="27">
        <f>IF(A39&lt;&gt;"",(Z39+Normalize_To_Add)/(Point_Total_So_Far)*100,"")</f>
        <v>86.009673189131846</v>
      </c>
      <c r="AB39" s="10">
        <f>IF(A39&lt;&gt;"",RANK(AA39,All_Student_XC),"")</f>
        <v>137</v>
      </c>
      <c r="AC39" s="31" t="str">
        <f>IF(A39&lt;&gt;"",CHOOSE(10-MIN(9,TRUNC((AA39+0.5)/10)),"A","B","C","D","F","F","F","F","F","F"),"")</f>
        <v>B</v>
      </c>
      <c r="AD39" s="31" t="str">
        <f>IF(A39&lt;&gt;"",IF(OR(AA39+0.5&gt;=93,AA39+0.5&lt;60),"",IF(MOD(AA39+0.5,10)&gt;=7,"+",IF(MOD(AA39+0.5,10)&lt;3,"-",""))),"")</f>
        <v/>
      </c>
      <c r="AE39" s="31">
        <f>IF(A39&lt;&gt;"",SUM(W39:X39,$W$8:$X$8)/SUM($W$2:$X$2)*100,"")</f>
        <v>74.419346378263683</v>
      </c>
      <c r="AF39" s="31" t="str">
        <f>IF(A39&lt;&gt;"",CHOOSE(10-MIN(9,TRUNC((AE39+0.5)/10)),"A","B","C","D","F","F","F","F","F","F"),"")</f>
        <v>C</v>
      </c>
      <c r="AG39" s="31" t="str">
        <f>IF(A39&lt;&gt;"",IF(OR(AE39+0.5&gt;=93,AE39+0.5&lt;60),"",IF(MOD(AE39+0.5,10)&gt;=7,"+",IF(MOD(AE39+0.5,10)&lt;3,"-",""))),"")</f>
        <v/>
      </c>
      <c r="AH39" s="35">
        <f>IF(A39&lt;&gt;"",MIN(MAX(AA39,AE39),AA39+$AH$8,AE39+$AH$8),"")</f>
        <v>86.009673189131846</v>
      </c>
      <c r="AI39" s="31" t="str">
        <f>IF(A39&lt;&gt;"",CHOOSE(10-MIN(9,TRUNC((AH39+0.5)/10)),"A","B","C","D","F","F","F","F","F","F"),"")</f>
        <v>B</v>
      </c>
      <c r="AJ39" s="31" t="str">
        <f>IF(A39&lt;&gt;"",IF(OR(AH39+0.5&gt;=93,AH39+0.5&lt;60),"",IF(MOD(AH39+0.5,10)&gt;=7,"+",IF(MOD(AH39+0.5,10)&lt;3,"-",""))),"")</f>
        <v/>
      </c>
      <c r="AK39" s="31" t="b">
        <f>IF(A39&lt;&gt;"",OR(AI39&lt;&gt;AC39,AJ39&lt;&gt;AD39),"")</f>
        <v>0</v>
      </c>
      <c r="AL39" s="81">
        <f>IF(AND(A39&lt;&gt;"",U39&gt;0),SUM(U39,$AL$8)/$AL$2*100,"")</f>
        <v>94</v>
      </c>
      <c r="AM39" s="24">
        <f>IF(AND(A39&lt;&gt;"",V39&gt;0),SUM(V39,$AM$8)/$AM$2*100,"")</f>
        <v>99</v>
      </c>
      <c r="AN39" s="24" t="str">
        <f>IF(AND(A39&lt;&gt;"",P39&lt;&gt;0),SUM(P39,$AN$8)/$AN$2*100,"")</f>
        <v/>
      </c>
      <c r="AO39" s="24" t="str">
        <f>IF(AND(A39&lt;&gt;"",Q39&lt;&gt;0),SUM(Q39,$AO$8)/$AO$2*100,"")</f>
        <v/>
      </c>
      <c r="AP39" s="24">
        <f>IF(AND(A39&lt;&gt;"",R39&lt;&gt;0),SUM(R39,$AP$8)/$AP$2*100,"")</f>
        <v>88.002659574468083</v>
      </c>
      <c r="AQ39" s="24" t="str">
        <f>IF(AND(A39&lt;&gt;"",W39&gt;0),SUM(W39,$AQ$8)/$AQ$2*100,"")</f>
        <v/>
      </c>
      <c r="AR39" s="24">
        <f>IF(AND(A39&lt;&gt;"",T39&gt;0),SUM(T39,$AR$8)/$AR$2*100,"")</f>
        <v>65.363804247460749</v>
      </c>
      <c r="AS39" s="24">
        <f>IF(AND(A39&lt;&gt;"",X39&lt;&gt;0),SUM(X39,$AS$8)/$AS$2*100,"")</f>
        <v>74.419346378263683</v>
      </c>
      <c r="AT39" s="86">
        <f>IF(A39&lt;&gt;"",SUM(W39:X39,$AT$8)/$AT$2*100,"")</f>
        <v>74.419346378263683</v>
      </c>
      <c r="AU39" s="24">
        <f>AA39</f>
        <v>86.009673189131846</v>
      </c>
      <c r="AV39" s="24"/>
      <c r="AW39" s="27">
        <f>IF(A39&lt;&gt;"",AE39-AA39,"")</f>
        <v>-11.590326810868163</v>
      </c>
      <c r="AY39" s="27">
        <f>AR39-AP39</f>
        <v>-22.638855327007334</v>
      </c>
      <c r="AZ39" s="27">
        <f>ABS(AY39)</f>
        <v>22.638855327007334</v>
      </c>
    </row>
    <row r="40" spans="1:52" s="27" customFormat="1" ht="12.75" customHeight="1" x14ac:dyDescent="0.2">
      <c r="A40" s="50">
        <v>81832</v>
      </c>
      <c r="B40" s="2">
        <v>10</v>
      </c>
      <c r="C40" s="10">
        <v>23</v>
      </c>
      <c r="D40" s="10">
        <v>21</v>
      </c>
      <c r="E40" s="10">
        <v>20</v>
      </c>
      <c r="F40" s="10">
        <v>14</v>
      </c>
      <c r="G40" s="40">
        <v>25</v>
      </c>
      <c r="H40" s="10">
        <v>14</v>
      </c>
      <c r="I40" s="10">
        <v>23</v>
      </c>
      <c r="J40" s="2"/>
      <c r="K40" s="10">
        <v>54</v>
      </c>
      <c r="L40" s="10">
        <v>50</v>
      </c>
      <c r="M40" s="10">
        <v>59</v>
      </c>
      <c r="N40" s="51">
        <v>55</v>
      </c>
      <c r="O40" s="11">
        <v>62</v>
      </c>
      <c r="P40" s="10"/>
      <c r="Q40" s="40"/>
      <c r="R40" s="2">
        <v>64</v>
      </c>
      <c r="S40" s="10">
        <f>IF(T40="",R40,MAX((R40+$R$8)/$R$2,(T40+$T$8)/$T$2)*$R$2-$R$8)</f>
        <v>110.38895601265202</v>
      </c>
      <c r="T40" s="12">
        <v>163</v>
      </c>
      <c r="U40" s="7">
        <f>IF(A40&lt;&gt;"",SUM(B40:I40),"")</f>
        <v>150</v>
      </c>
      <c r="V40" s="10">
        <f>IF(A40&lt;&gt;"",SUM(J40:O40),"")</f>
        <v>280</v>
      </c>
      <c r="W40" s="10">
        <f>IF(A40&lt;&gt;"",SUM(P40:Q40),"")</f>
        <v>0</v>
      </c>
      <c r="X40" s="10">
        <f>IF(A40&lt;&gt;"",SUM(S40:T40),"")</f>
        <v>273.38895601265199</v>
      </c>
      <c r="Y40" s="12">
        <v>3</v>
      </c>
      <c r="Z40" s="12">
        <f>IF(A40&lt;&gt;"",SUM(U40:Y40),"")</f>
        <v>706.38895601265199</v>
      </c>
      <c r="AA40" s="27">
        <f>IF(A40&lt;&gt;"",(Z40+Normalize_To_Add)/(Point_Total_So_Far)*100,"")</f>
        <v>78.14856879039705</v>
      </c>
      <c r="AB40" s="10">
        <f>IF(A40&lt;&gt;"",RANK(AA40,All_Student_XC),"")</f>
        <v>240</v>
      </c>
      <c r="AC40" s="31" t="str">
        <f>IF(A40&lt;&gt;"",CHOOSE(10-MIN(9,TRUNC((AA40+0.5)/10)),"A","B","C","D","F","F","F","F","F","F"),"")</f>
        <v>C</v>
      </c>
      <c r="AD40" s="31" t="str">
        <f>IF(A40&lt;&gt;"",IF(OR(AA40+0.5&gt;=93,AA40+0.5&lt;60),"",IF(MOD(AA40+0.5,10)&gt;=7,"+",IF(MOD(AA40+0.5,10)&lt;3,"-",""))),"")</f>
        <v>+</v>
      </c>
      <c r="AE40" s="31">
        <f>IF(A40&lt;&gt;"",SUM(W40:X40,$W$8:$X$8)/SUM($W$2:$X$2)*100,"")</f>
        <v>69.697137580794092</v>
      </c>
      <c r="AF40" s="31" t="str">
        <f>IF(A40&lt;&gt;"",CHOOSE(10-MIN(9,TRUNC((AE40+0.5)/10)),"A","B","C","D","F","F","F","F","F","F"),"")</f>
        <v>C</v>
      </c>
      <c r="AG40" s="31" t="str">
        <f>IF(A40&lt;&gt;"",IF(OR(AE40+0.5&gt;=93,AE40+0.5&lt;60),"",IF(MOD(AE40+0.5,10)&gt;=7,"+",IF(MOD(AE40+0.5,10)&lt;3,"-",""))),"")</f>
        <v>-</v>
      </c>
      <c r="AH40" s="35">
        <f>IF(A40&lt;&gt;"",MIN(MAX(AA40,AE40),AA40+$AH$8,AE40+$AH$8),"")</f>
        <v>78.14856879039705</v>
      </c>
      <c r="AI40" s="31" t="str">
        <f>IF(A40&lt;&gt;"",CHOOSE(10-MIN(9,TRUNC((AH40+0.5)/10)),"A","B","C","D","F","F","F","F","F","F"),"")</f>
        <v>C</v>
      </c>
      <c r="AJ40" s="31" t="str">
        <f>IF(A40&lt;&gt;"",IF(OR(AH40+0.5&gt;=93,AH40+0.5&lt;60),"",IF(MOD(AH40+0.5,10)&gt;=7,"+",IF(MOD(AH40+0.5,10)&lt;3,"-",""))),"")</f>
        <v>+</v>
      </c>
      <c r="AK40" s="31" t="b">
        <f>IF(A40&lt;&gt;"",OR(AI40&lt;&gt;AC40,AJ40&lt;&gt;AD40),"")</f>
        <v>0</v>
      </c>
      <c r="AL40" s="81">
        <f>IF(AND(A40&lt;&gt;"",U40&gt;0),SUM(U40,$AL$8)/$AL$2*100,"")</f>
        <v>75</v>
      </c>
      <c r="AM40" s="24">
        <f>IF(AND(A40&lt;&gt;"",V40&gt;0),SUM(V40,$AM$8)/$AM$2*100,"")</f>
        <v>93.333333333333329</v>
      </c>
      <c r="AN40" s="24" t="str">
        <f>IF(AND(A40&lt;&gt;"",P40&lt;&gt;0),SUM(P40,$AN$8)/$AN$2*100,"")</f>
        <v/>
      </c>
      <c r="AO40" s="24" t="str">
        <f>IF(AND(A40&lt;&gt;"",Q40&lt;&gt;0),SUM(Q40,$AO$8)/$AO$2*100,"")</f>
        <v/>
      </c>
      <c r="AP40" s="24">
        <f>IF(AND(A40&lt;&gt;"",R40&lt;&gt;0),SUM(R40,$AP$8)/$AP$2*100,"")</f>
        <v>46.502659574468083</v>
      </c>
      <c r="AQ40" s="24" t="str">
        <f>IF(AND(A40&lt;&gt;"",W40&gt;0),SUM(W40,$AQ$8)/$AQ$2*100,"")</f>
        <v/>
      </c>
      <c r="AR40" s="24">
        <f>IF(AND(A40&lt;&gt;"",T40&gt;0),SUM(T40,$AR$8)/$AR$2*100,"")</f>
        <v>69.697137580794092</v>
      </c>
      <c r="AS40" s="24">
        <f>IF(AND(A40&lt;&gt;"",X40&lt;&gt;0),SUM(X40,$AS$8)/$AS$2*100,"")</f>
        <v>69.697137580794092</v>
      </c>
      <c r="AT40" s="86">
        <f>IF(A40&lt;&gt;"",SUM(W40:X40,$AT$8)/$AT$2*100,"")</f>
        <v>69.697137580794092</v>
      </c>
      <c r="AU40" s="24">
        <f>AA40</f>
        <v>78.14856879039705</v>
      </c>
      <c r="AV40" s="24"/>
      <c r="AW40" s="27">
        <f>IF(A40&lt;&gt;"",AE40-AA40,"")</f>
        <v>-8.4514312096029585</v>
      </c>
      <c r="AY40" s="27">
        <f>AR40-AP40</f>
        <v>23.194478006326008</v>
      </c>
      <c r="AZ40" s="27">
        <f>ABS(AY40)</f>
        <v>23.194478006326008</v>
      </c>
    </row>
    <row r="41" spans="1:52" s="27" customFormat="1" ht="12.75" customHeight="1" x14ac:dyDescent="0.2">
      <c r="A41" s="50">
        <v>89394</v>
      </c>
      <c r="B41" s="2">
        <v>25</v>
      </c>
      <c r="C41" s="10">
        <v>18</v>
      </c>
      <c r="D41" s="10">
        <v>25</v>
      </c>
      <c r="E41" s="10">
        <v>25</v>
      </c>
      <c r="F41" s="10">
        <v>19</v>
      </c>
      <c r="G41" s="10">
        <v>25</v>
      </c>
      <c r="H41" s="10">
        <v>24</v>
      </c>
      <c r="I41" s="10">
        <v>25</v>
      </c>
      <c r="J41" s="2"/>
      <c r="K41" s="10">
        <v>62</v>
      </c>
      <c r="L41" s="10">
        <v>60</v>
      </c>
      <c r="M41" s="10">
        <v>58</v>
      </c>
      <c r="N41" s="51">
        <v>60</v>
      </c>
      <c r="O41" s="11">
        <v>60</v>
      </c>
      <c r="P41" s="10"/>
      <c r="Q41" s="40"/>
      <c r="R41" s="2">
        <v>126</v>
      </c>
      <c r="S41" s="10">
        <f>IF(T41="",R41,MAX((R41+$R$8)/$R$2,(T41+$T$8)/$T$2)*$R$2-$R$8)</f>
        <v>148.38895601265199</v>
      </c>
      <c r="T41" s="12">
        <v>220</v>
      </c>
      <c r="U41" s="7">
        <f>IF(A41&lt;&gt;"",SUM(B41:I41),"")</f>
        <v>186</v>
      </c>
      <c r="V41" s="10">
        <f>IF(A41&lt;&gt;"",SUM(J41:O41),"")</f>
        <v>300</v>
      </c>
      <c r="W41" s="10">
        <f>IF(A41&lt;&gt;"",SUM(P41:Q41),"")</f>
        <v>0</v>
      </c>
      <c r="X41" s="10">
        <f>IF(A41&lt;&gt;"",SUM(S41:T41),"")</f>
        <v>368.38895601265199</v>
      </c>
      <c r="Y41" s="12">
        <v>3</v>
      </c>
      <c r="Z41" s="12">
        <f>IF(A41&lt;&gt;"",SUM(U41:Y41),"")</f>
        <v>857.38895601265199</v>
      </c>
      <c r="AA41" s="27">
        <f>IF(A41&lt;&gt;"",(Z41+Normalize_To_Add)/(Point_Total_So_Far)*100,"")</f>
        <v>93.248568790397044</v>
      </c>
      <c r="AB41" s="10">
        <f>IF(A41&lt;&gt;"",RANK(AA41,All_Student_XC),"")</f>
        <v>50</v>
      </c>
      <c r="AC41" s="31" t="str">
        <f>IF(A41&lt;&gt;"",CHOOSE(10-MIN(9,TRUNC((AA41+0.5)/10)),"A","B","C","D","F","F","F","F","F","F"),"")</f>
        <v>A</v>
      </c>
      <c r="AD41" s="31" t="str">
        <f>IF(A41&lt;&gt;"",IF(OR(AA41+0.5&gt;=93,AA41+0.5&lt;60),"",IF(MOD(AA41+0.5,10)&gt;=7,"+",IF(MOD(AA41+0.5,10)&lt;3,"-",""))),"")</f>
        <v/>
      </c>
      <c r="AE41" s="31">
        <f>IF(A41&lt;&gt;"",SUM(W41:X41,$W$8:$X$8)/SUM($W$2:$X$2)*100,"")</f>
        <v>88.697137580794077</v>
      </c>
      <c r="AF41" s="31" t="str">
        <f>IF(A41&lt;&gt;"",CHOOSE(10-MIN(9,TRUNC((AE41+0.5)/10)),"A","B","C","D","F","F","F","F","F","F"),"")</f>
        <v>B</v>
      </c>
      <c r="AG41" s="31" t="str">
        <f>IF(A41&lt;&gt;"",IF(OR(AE41+0.5&gt;=93,AE41+0.5&lt;60),"",IF(MOD(AE41+0.5,10)&gt;=7,"+",IF(MOD(AE41+0.5,10)&lt;3,"-",""))),"")</f>
        <v>+</v>
      </c>
      <c r="AH41" s="35">
        <f>IF(A41&lt;&gt;"",MIN(MAX(AA41,AE41),AA41+$AH$8,AE41+$AH$8),"")</f>
        <v>93.248568790397044</v>
      </c>
      <c r="AI41" s="31" t="str">
        <f>IF(A41&lt;&gt;"",CHOOSE(10-MIN(9,TRUNC((AH41+0.5)/10)),"A","B","C","D","F","F","F","F","F","F"),"")</f>
        <v>A</v>
      </c>
      <c r="AJ41" s="31" t="str">
        <f>IF(A41&lt;&gt;"",IF(OR(AH41+0.5&gt;=93,AH41+0.5&lt;60),"",IF(MOD(AH41+0.5,10)&gt;=7,"+",IF(MOD(AH41+0.5,10)&lt;3,"-",""))),"")</f>
        <v/>
      </c>
      <c r="AK41" s="31" t="b">
        <f>IF(A41&lt;&gt;"",OR(AI41&lt;&gt;AC41,AJ41&lt;&gt;AD41),"")</f>
        <v>0</v>
      </c>
      <c r="AL41" s="81">
        <f>IF(AND(A41&lt;&gt;"",U41&gt;0),SUM(U41,$AL$8)/$AL$2*100,"")</f>
        <v>93</v>
      </c>
      <c r="AM41" s="24">
        <f>IF(AND(A41&lt;&gt;"",V41&gt;0),SUM(V41,$AM$8)/$AM$2*100,"")</f>
        <v>100</v>
      </c>
      <c r="AN41" s="24" t="str">
        <f>IF(AND(A41&lt;&gt;"",P41&lt;&gt;0),SUM(P41,$AN$8)/$AN$2*100,"")</f>
        <v/>
      </c>
      <c r="AO41" s="24" t="str">
        <f>IF(AND(A41&lt;&gt;"",Q41&lt;&gt;0),SUM(Q41,$AO$8)/$AO$2*100,"")</f>
        <v/>
      </c>
      <c r="AP41" s="24">
        <f>IF(AND(A41&lt;&gt;"",R41&lt;&gt;0),SUM(R41,$AP$8)/$AP$2*100,"")</f>
        <v>77.502659574468083</v>
      </c>
      <c r="AQ41" s="24" t="str">
        <f>IF(AND(A41&lt;&gt;"",W41&gt;0),SUM(W41,$AQ$8)/$AQ$2*100,"")</f>
        <v/>
      </c>
      <c r="AR41" s="24">
        <f>IF(AND(A41&lt;&gt;"",T41&gt;0),SUM(T41,$AR$8)/$AR$2*100,"")</f>
        <v>88.697137580794077</v>
      </c>
      <c r="AS41" s="24">
        <f>IF(AND(A41&lt;&gt;"",X41&lt;&gt;0),SUM(X41,$AS$8)/$AS$2*100,"")</f>
        <v>88.697137580794077</v>
      </c>
      <c r="AT41" s="86">
        <f>IF(A41&lt;&gt;"",SUM(W41:X41,$AT$8)/$AT$2*100,"")</f>
        <v>88.697137580794077</v>
      </c>
      <c r="AU41" s="24">
        <f>AA41</f>
        <v>93.248568790397044</v>
      </c>
      <c r="AV41" s="24"/>
      <c r="AW41" s="27">
        <f>IF(A41&lt;&gt;"",AE41-AA41,"")</f>
        <v>-4.551431209602967</v>
      </c>
      <c r="AY41" s="27">
        <f>AR41-AP41</f>
        <v>11.194478006325994</v>
      </c>
      <c r="AZ41" s="27">
        <f>ABS(AY41)</f>
        <v>11.194478006325994</v>
      </c>
    </row>
    <row r="42" spans="1:52" s="27" customFormat="1" ht="12.75" customHeight="1" x14ac:dyDescent="0.2">
      <c r="A42" s="10">
        <v>93900</v>
      </c>
      <c r="B42" s="2">
        <v>25</v>
      </c>
      <c r="C42" s="10">
        <v>25</v>
      </c>
      <c r="D42" s="10">
        <v>23</v>
      </c>
      <c r="E42" s="10">
        <v>12</v>
      </c>
      <c r="F42" s="10">
        <v>14</v>
      </c>
      <c r="G42" s="10">
        <v>25</v>
      </c>
      <c r="H42" s="10">
        <v>24</v>
      </c>
      <c r="I42" s="10">
        <v>25</v>
      </c>
      <c r="J42" s="2"/>
      <c r="K42" s="10">
        <v>57</v>
      </c>
      <c r="L42" s="10">
        <v>61</v>
      </c>
      <c r="M42" s="10">
        <v>57</v>
      </c>
      <c r="N42" s="10">
        <v>36</v>
      </c>
      <c r="O42" s="11">
        <v>62</v>
      </c>
      <c r="P42" s="40"/>
      <c r="Q42" s="40"/>
      <c r="R42" s="2">
        <v>96</v>
      </c>
      <c r="S42" s="10">
        <f>IF(T42="",R42,MAX((R42+$R$8)/$R$2,(T42+$T$8)/$T$2)*$R$2-$R$8)</f>
        <v>95.999999999999986</v>
      </c>
      <c r="T42" s="12">
        <v>141</v>
      </c>
      <c r="U42" s="7">
        <f>IF(A42&lt;&gt;"",SUM(B42:I42),"")</f>
        <v>173</v>
      </c>
      <c r="V42" s="10">
        <f>IF(A42&lt;&gt;"",SUM(J42:O42),"")</f>
        <v>273</v>
      </c>
      <c r="W42" s="10">
        <f>IF(A42&lt;&gt;"",SUM(P42:Q42),"")</f>
        <v>0</v>
      </c>
      <c r="X42" s="10">
        <f>IF(A42&lt;&gt;"",SUM(S42:T42),"")</f>
        <v>237</v>
      </c>
      <c r="Y42" s="12">
        <v>3</v>
      </c>
      <c r="Z42" s="12">
        <f>IF(A42&lt;&gt;"",SUM(U42:Y42),"")</f>
        <v>686</v>
      </c>
      <c r="AA42" s="27">
        <f>IF(A42&lt;&gt;"",(Z42+Normalize_To_Add)/(Point_Total_So_Far)*100,"")</f>
        <v>76.10967318913184</v>
      </c>
      <c r="AB42" s="10">
        <f>IF(A42&lt;&gt;"",RANK(AA42,All_Student_XC),"")</f>
        <v>262</v>
      </c>
      <c r="AC42" s="31" t="str">
        <f>IF(A42&lt;&gt;"",CHOOSE(10-MIN(9,TRUNC((AA42+0.5)/10)),"A","B","C","D","F","F","F","F","F","F"),"")</f>
        <v>C</v>
      </c>
      <c r="AD42" s="31" t="str">
        <f>IF(A42&lt;&gt;"",IF(OR(AA42+0.5&gt;=93,AA42+0.5&lt;60),"",IF(MOD(AA42+0.5,10)&gt;=7,"+",IF(MOD(AA42+0.5,10)&lt;3,"-",""))),"")</f>
        <v/>
      </c>
      <c r="AE42" s="31">
        <f>IF(A42&lt;&gt;"",SUM(W42:X42,$W$8:$X$8)/SUM($W$2:$X$2)*100,"")</f>
        <v>62.419346378263683</v>
      </c>
      <c r="AF42" s="31" t="str">
        <f>IF(A42&lt;&gt;"",CHOOSE(10-MIN(9,TRUNC((AE42+0.5)/10)),"A","B","C","D","F","F","F","F","F","F"),"")</f>
        <v>D</v>
      </c>
      <c r="AG42" s="31" t="str">
        <f>IF(A42&lt;&gt;"",IF(OR(AE42+0.5&gt;=93,AE42+0.5&lt;60),"",IF(MOD(AE42+0.5,10)&gt;=7,"+",IF(MOD(AE42+0.5,10)&lt;3,"-",""))),"")</f>
        <v>-</v>
      </c>
      <c r="AH42" s="35">
        <f>IF(A42&lt;&gt;"",MIN(MAX(AA42,AE42),AA42+$AH$8,AE42+$AH$8),"")</f>
        <v>76.10967318913184</v>
      </c>
      <c r="AI42" s="31" t="str">
        <f>IF(A42&lt;&gt;"",CHOOSE(10-MIN(9,TRUNC((AH42+0.5)/10)),"A","B","C","D","F","F","F","F","F","F"),"")</f>
        <v>C</v>
      </c>
      <c r="AJ42" s="31" t="str">
        <f>IF(A42&lt;&gt;"",IF(OR(AH42+0.5&gt;=93,AH42+0.5&lt;60),"",IF(MOD(AH42+0.5,10)&gt;=7,"+",IF(MOD(AH42+0.5,10)&lt;3,"-",""))),"")</f>
        <v/>
      </c>
      <c r="AK42" s="31" t="b">
        <f>IF(A42&lt;&gt;"",OR(AI42&lt;&gt;AC42,AJ42&lt;&gt;AD42),"")</f>
        <v>0</v>
      </c>
      <c r="AL42" s="81">
        <f>IF(AND(A42&lt;&gt;"",U42&gt;0),SUM(U42,$AL$8)/$AL$2*100,"")</f>
        <v>86.5</v>
      </c>
      <c r="AM42" s="24">
        <f>IF(AND(A42&lt;&gt;"",V42&gt;0),SUM(V42,$AM$8)/$AM$2*100,"")</f>
        <v>91</v>
      </c>
      <c r="AN42" s="24" t="str">
        <f>IF(AND(A42&lt;&gt;"",P42&lt;&gt;0),SUM(P42,$AN$8)/$AN$2*100,"")</f>
        <v/>
      </c>
      <c r="AO42" s="24" t="str">
        <f>IF(AND(A42&lt;&gt;"",Q42&lt;&gt;0),SUM(Q42,$AO$8)/$AO$2*100,"")</f>
        <v/>
      </c>
      <c r="AP42" s="24">
        <f>IF(AND(A42&lt;&gt;"",R42&lt;&gt;0),SUM(R42,$AP$8)/$AP$2*100,"")</f>
        <v>62.502659574468076</v>
      </c>
      <c r="AQ42" s="24" t="str">
        <f>IF(AND(A42&lt;&gt;"",W42&gt;0),SUM(W42,$AQ$8)/$AQ$2*100,"")</f>
        <v/>
      </c>
      <c r="AR42" s="24">
        <f>IF(AND(A42&lt;&gt;"",T42&gt;0),SUM(T42,$AR$8)/$AR$2*100,"")</f>
        <v>62.363804247460749</v>
      </c>
      <c r="AS42" s="24">
        <f>IF(AND(A42&lt;&gt;"",X42&lt;&gt;0),SUM(X42,$AS$8)/$AS$2*100,"")</f>
        <v>62.419346378263683</v>
      </c>
      <c r="AT42" s="86">
        <f>IF(A42&lt;&gt;"",SUM(W42:X42,$AT$8)/$AT$2*100,"")</f>
        <v>62.419346378263683</v>
      </c>
      <c r="AU42" s="24">
        <f>AA42</f>
        <v>76.10967318913184</v>
      </c>
      <c r="AV42" s="24"/>
      <c r="AW42" s="27">
        <f>IF(A42&lt;&gt;"",AE42-AA42,"")</f>
        <v>-13.690326810868157</v>
      </c>
      <c r="AY42" s="27">
        <f>AR42-AP42</f>
        <v>-0.13885532700732739</v>
      </c>
      <c r="AZ42" s="27">
        <f>ABS(AY42)</f>
        <v>0.13885532700732739</v>
      </c>
    </row>
    <row r="43" spans="1:52" s="27" customFormat="1" ht="12.75" customHeight="1" x14ac:dyDescent="0.2">
      <c r="A43" s="10">
        <v>96172</v>
      </c>
      <c r="B43" s="2">
        <v>25</v>
      </c>
      <c r="C43" s="10">
        <v>23</v>
      </c>
      <c r="D43" s="10">
        <v>15</v>
      </c>
      <c r="E43" s="10">
        <v>13</v>
      </c>
      <c r="F43" s="10">
        <v>16</v>
      </c>
      <c r="G43" s="10">
        <v>25</v>
      </c>
      <c r="H43" s="10">
        <v>10</v>
      </c>
      <c r="I43" s="10">
        <v>21</v>
      </c>
      <c r="J43" s="2"/>
      <c r="K43" s="10">
        <v>53</v>
      </c>
      <c r="L43" s="10">
        <v>61</v>
      </c>
      <c r="M43" s="10">
        <v>56</v>
      </c>
      <c r="N43" s="51">
        <v>52</v>
      </c>
      <c r="O43" s="11">
        <v>62</v>
      </c>
      <c r="P43" s="10"/>
      <c r="Q43" s="40"/>
      <c r="R43" s="2">
        <v>124</v>
      </c>
      <c r="S43" s="10">
        <f>IF(T43="",R43,MAX((R43+$R$8)/$R$2,(T43+$T$8)/$T$2)*$R$2-$R$8)</f>
        <v>124</v>
      </c>
      <c r="T43" s="12">
        <v>153</v>
      </c>
      <c r="U43" s="34">
        <f>IF(A43&lt;&gt;"",SUM(B43:I43),"")</f>
        <v>148</v>
      </c>
      <c r="V43" s="10">
        <f>IF(A43&lt;&gt;"",SUM(J43:O43),"")</f>
        <v>284</v>
      </c>
      <c r="W43" s="10">
        <f>IF(A43&lt;&gt;"",SUM(P43:Q43),"")</f>
        <v>0</v>
      </c>
      <c r="X43" s="10">
        <f>IF(A43&lt;&gt;"",SUM(S43:T43),"")</f>
        <v>277</v>
      </c>
      <c r="Y43" s="12" t="s">
        <v>69</v>
      </c>
      <c r="Z43" s="12">
        <f>IF(A43&lt;&gt;"",SUM(U43:Y43),"")</f>
        <v>709</v>
      </c>
      <c r="AA43" s="27">
        <f>IF(A43&lt;&gt;"",(Z43+Normalize_To_Add)/(Point_Total_So_Far)*100,"")</f>
        <v>78.409673189131851</v>
      </c>
      <c r="AB43" s="10">
        <f>IF(A43&lt;&gt;"",RANK(AA43,All_Student_XC),"")</f>
        <v>237</v>
      </c>
      <c r="AC43" s="31" t="str">
        <f>IF(A43&lt;&gt;"",CHOOSE(10-MIN(9,TRUNC((AA43+0.5)/10)),"A","B","C","D","F","F","F","F","F","F"),"")</f>
        <v>C</v>
      </c>
      <c r="AD43" s="31" t="str">
        <f>IF(A43&lt;&gt;"",IF(OR(AA43+0.5&gt;=93,AA43+0.5&lt;60),"",IF(MOD(AA43+0.5,10)&gt;=7,"+",IF(MOD(AA43+0.5,10)&lt;3,"-",""))),"")</f>
        <v>+</v>
      </c>
      <c r="AE43" s="31">
        <f>IF(A43&lt;&gt;"",SUM(W43:X43,$W$8:$X$8)/SUM($W$2:$X$2)*100,"")</f>
        <v>70.419346378263683</v>
      </c>
      <c r="AF43" s="31" t="str">
        <f>IF(A43&lt;&gt;"",CHOOSE(10-MIN(9,TRUNC((AE43+0.5)/10)),"A","B","C","D","F","F","F","F","F","F"),"")</f>
        <v>C</v>
      </c>
      <c r="AG43" s="31" t="str">
        <f>IF(A43&lt;&gt;"",IF(OR(AE43+0.5&gt;=93,AE43+0.5&lt;60),"",IF(MOD(AE43+0.5,10)&gt;=7,"+",IF(MOD(AE43+0.5,10)&lt;3,"-",""))),"")</f>
        <v>-</v>
      </c>
      <c r="AH43" s="35">
        <f>IF(A43&lt;&gt;"",MIN(MAX(AA43,AE43),AA43+$AH$8,AE43+$AH$8),"")</f>
        <v>78.409673189131851</v>
      </c>
      <c r="AI43" s="31" t="str">
        <f>IF(A43&lt;&gt;"",CHOOSE(10-MIN(9,TRUNC((AH43+0.5)/10)),"A","B","C","D","F","F","F","F","F","F"),"")</f>
        <v>C</v>
      </c>
      <c r="AJ43" s="31" t="str">
        <f>IF(A43&lt;&gt;"",IF(OR(AH43+0.5&gt;=93,AH43+0.5&lt;60),"",IF(MOD(AH43+0.5,10)&gt;=7,"+",IF(MOD(AH43+0.5,10)&lt;3,"-",""))),"")</f>
        <v>+</v>
      </c>
      <c r="AK43" s="31" t="b">
        <f>IF(A43&lt;&gt;"",OR(AI43&lt;&gt;AC43,AJ43&lt;&gt;AD43),"")</f>
        <v>0</v>
      </c>
      <c r="AL43" s="81">
        <f>IF(AND(A43&lt;&gt;"",U43&gt;0),SUM(U43,$AL$8)/$AL$2*100,"")</f>
        <v>74</v>
      </c>
      <c r="AM43" s="24">
        <f>IF(AND(A43&lt;&gt;"",V43&gt;0),SUM(V43,$AM$8)/$AM$2*100,"")</f>
        <v>94.666666666666671</v>
      </c>
      <c r="AN43" s="24" t="str">
        <f>IF(AND(A43&lt;&gt;"",P43&lt;&gt;0),SUM(P43,$AN$8)/$AN$2*100,"")</f>
        <v/>
      </c>
      <c r="AO43" s="24" t="str">
        <f>IF(AND(A43&lt;&gt;"",Q43&lt;&gt;0),SUM(Q43,$AO$8)/$AO$2*100,"")</f>
        <v/>
      </c>
      <c r="AP43" s="24">
        <f>IF(AND(A43&lt;&gt;"",R43&lt;&gt;0),SUM(R43,$AP$8)/$AP$2*100,"")</f>
        <v>76.502659574468083</v>
      </c>
      <c r="AQ43" s="24" t="str">
        <f>IF(AND(A43&lt;&gt;"",W43&gt;0),SUM(W43,$AQ$8)/$AQ$2*100,"")</f>
        <v/>
      </c>
      <c r="AR43" s="24">
        <f>IF(AND(A43&lt;&gt;"",T43&gt;0),SUM(T43,$AR$8)/$AR$2*100,"")</f>
        <v>66.363804247460763</v>
      </c>
      <c r="AS43" s="24">
        <f>IF(AND(A43&lt;&gt;"",X43&lt;&gt;0),SUM(X43,$AS$8)/$AS$2*100,"")</f>
        <v>70.419346378263683</v>
      </c>
      <c r="AT43" s="86">
        <f>IF(A43&lt;&gt;"",SUM(W43:X43,$AT$8)/$AT$2*100,"")</f>
        <v>70.419346378263683</v>
      </c>
      <c r="AU43" s="24">
        <f>AA43</f>
        <v>78.409673189131851</v>
      </c>
      <c r="AV43" s="24"/>
      <c r="AW43" s="27">
        <f>IF(A43&lt;&gt;"",AE43-AA43,"")</f>
        <v>-7.9903268108681686</v>
      </c>
      <c r="AY43" s="27">
        <f>AR43-AP43</f>
        <v>-10.13885532700732</v>
      </c>
      <c r="AZ43" s="27">
        <f>ABS(AY43)</f>
        <v>10.13885532700732</v>
      </c>
    </row>
    <row r="44" spans="1:52" s="27" customFormat="1" ht="12.75" customHeight="1" x14ac:dyDescent="0.2">
      <c r="A44" s="10">
        <v>97506</v>
      </c>
      <c r="B44" s="2">
        <v>25</v>
      </c>
      <c r="C44" s="10">
        <v>23</v>
      </c>
      <c r="D44" s="10">
        <v>24</v>
      </c>
      <c r="E44" s="10">
        <v>25</v>
      </c>
      <c r="F44" s="10">
        <v>23</v>
      </c>
      <c r="G44" s="10">
        <v>25</v>
      </c>
      <c r="H44" s="10">
        <v>24</v>
      </c>
      <c r="I44" s="10">
        <v>25</v>
      </c>
      <c r="J44" s="2"/>
      <c r="K44" s="10">
        <v>37</v>
      </c>
      <c r="L44" s="10">
        <v>60</v>
      </c>
      <c r="M44" s="10">
        <v>50</v>
      </c>
      <c r="N44" s="51">
        <v>45</v>
      </c>
      <c r="O44" s="11">
        <v>60</v>
      </c>
      <c r="P44" s="10"/>
      <c r="Q44" s="40"/>
      <c r="R44" s="2">
        <v>97</v>
      </c>
      <c r="S44" s="10">
        <f>IF(T44="",R44,MAX((R44+$R$8)/$R$2,(T44+$T$8)/$T$2)*$R$2-$R$8)</f>
        <v>99.722289345985331</v>
      </c>
      <c r="T44" s="12">
        <v>147</v>
      </c>
      <c r="U44" s="34">
        <f>IF(A44&lt;&gt;"",SUM(B44:I44),"")</f>
        <v>194</v>
      </c>
      <c r="V44" s="10">
        <f>IF(A44&lt;&gt;"",SUM(J44:O44),"")</f>
        <v>252</v>
      </c>
      <c r="W44" s="10">
        <f>IF(A44&lt;&gt;"",SUM(P44:Q44),"")</f>
        <v>0</v>
      </c>
      <c r="X44" s="10">
        <f>IF(A44&lt;&gt;"",SUM(S44:T44),"")</f>
        <v>246.72228934598533</v>
      </c>
      <c r="Y44" s="12">
        <v>3</v>
      </c>
      <c r="Z44" s="12">
        <f>IF(A44&lt;&gt;"",SUM(U44:Y44),"")</f>
        <v>695.72228934598536</v>
      </c>
      <c r="AA44" s="27">
        <f>IF(A44&lt;&gt;"",(Z44+Normalize_To_Add)/(Point_Total_So_Far)*100,"")</f>
        <v>77.081902123730387</v>
      </c>
      <c r="AB44" s="10">
        <f>IF(A44&lt;&gt;"",RANK(AA44,All_Student_XC),"")</f>
        <v>253</v>
      </c>
      <c r="AC44" s="31" t="str">
        <f>IF(A44&lt;&gt;"",CHOOSE(10-MIN(9,TRUNC((AA44+0.5)/10)),"A","B","C","D","F","F","F","F","F","F"),"")</f>
        <v>C</v>
      </c>
      <c r="AD44" s="31" t="str">
        <f>IF(A44&lt;&gt;"",IF(OR(AA44+0.5&gt;=93,AA44+0.5&lt;60),"",IF(MOD(AA44+0.5,10)&gt;=7,"+",IF(MOD(AA44+0.5,10)&lt;3,"-",""))),"")</f>
        <v>+</v>
      </c>
      <c r="AE44" s="31">
        <f>IF(A44&lt;&gt;"",SUM(W44:X44,$W$8:$X$8)/SUM($W$2:$X$2)*100,"")</f>
        <v>64.363804247460749</v>
      </c>
      <c r="AF44" s="31" t="str">
        <f>IF(A44&lt;&gt;"",CHOOSE(10-MIN(9,TRUNC((AE44+0.5)/10)),"A","B","C","D","F","F","F","F","F","F"),"")</f>
        <v>D</v>
      </c>
      <c r="AG44" s="31" t="str">
        <f>IF(A44&lt;&gt;"",IF(OR(AE44+0.5&gt;=93,AE44+0.5&lt;60),"",IF(MOD(AE44+0.5,10)&gt;=7,"+",IF(MOD(AE44+0.5,10)&lt;3,"-",""))),"")</f>
        <v/>
      </c>
      <c r="AH44" s="35">
        <f>IF(A44&lt;&gt;"",MIN(MAX(AA44,AE44),AA44+$AH$8,AE44+$AH$8),"")</f>
        <v>77.081902123730387</v>
      </c>
      <c r="AI44" s="31" t="str">
        <f>IF(A44&lt;&gt;"",CHOOSE(10-MIN(9,TRUNC((AH44+0.5)/10)),"A","B","C","D","F","F","F","F","F","F"),"")</f>
        <v>C</v>
      </c>
      <c r="AJ44" s="31" t="str">
        <f>IF(A44&lt;&gt;"",IF(OR(AH44+0.5&gt;=93,AH44+0.5&lt;60),"",IF(MOD(AH44+0.5,10)&gt;=7,"+",IF(MOD(AH44+0.5,10)&lt;3,"-",""))),"")</f>
        <v>+</v>
      </c>
      <c r="AK44" s="31" t="b">
        <f>IF(A44&lt;&gt;"",OR(AI44&lt;&gt;AC44,AJ44&lt;&gt;AD44),"")</f>
        <v>0</v>
      </c>
      <c r="AL44" s="81">
        <f>IF(AND(A44&lt;&gt;"",U44&gt;0),SUM(U44,$AL$8)/$AL$2*100,"")</f>
        <v>97</v>
      </c>
      <c r="AM44" s="24">
        <f>IF(AND(A44&lt;&gt;"",V44&gt;0),SUM(V44,$AM$8)/$AM$2*100,"")</f>
        <v>84</v>
      </c>
      <c r="AN44" s="24" t="str">
        <f>IF(AND(A44&lt;&gt;"",P44&lt;&gt;0),SUM(P44,$AN$8)/$AN$2*100,"")</f>
        <v/>
      </c>
      <c r="AO44" s="24" t="str">
        <f>IF(AND(A44&lt;&gt;"",Q44&lt;&gt;0),SUM(Q44,$AO$8)/$AO$2*100,"")</f>
        <v/>
      </c>
      <c r="AP44" s="24">
        <f>IF(AND(A44&lt;&gt;"",R44&lt;&gt;0),SUM(R44,$AP$8)/$AP$2*100,"")</f>
        <v>63.002659574468076</v>
      </c>
      <c r="AQ44" s="24" t="str">
        <f>IF(AND(A44&lt;&gt;"",W44&gt;0),SUM(W44,$AQ$8)/$AQ$2*100,"")</f>
        <v/>
      </c>
      <c r="AR44" s="24">
        <f>IF(AND(A44&lt;&gt;"",T44&gt;0),SUM(T44,$AR$8)/$AR$2*100,"")</f>
        <v>64.363804247460749</v>
      </c>
      <c r="AS44" s="24">
        <f>IF(AND(A44&lt;&gt;"",X44&lt;&gt;0),SUM(X44,$AS$8)/$AS$2*100,"")</f>
        <v>64.363804247460749</v>
      </c>
      <c r="AT44" s="86">
        <f>IF(A44&lt;&gt;"",SUM(W44:X44,$AT$8)/$AT$2*100,"")</f>
        <v>64.363804247460749</v>
      </c>
      <c r="AU44" s="24">
        <f>AA44</f>
        <v>77.081902123730387</v>
      </c>
      <c r="AV44" s="24"/>
      <c r="AW44" s="27">
        <f>IF(A44&lt;&gt;"",AE44-AA44,"")</f>
        <v>-12.718097876269638</v>
      </c>
      <c r="AY44" s="27">
        <f>AR44-AP44</f>
        <v>1.3611446729926726</v>
      </c>
      <c r="AZ44" s="27">
        <f>ABS(AY44)</f>
        <v>1.3611446729926726</v>
      </c>
    </row>
    <row r="45" spans="1:52" s="27" customFormat="1" ht="12.75" customHeight="1" x14ac:dyDescent="0.2">
      <c r="A45" s="50">
        <v>98620</v>
      </c>
      <c r="B45" s="2">
        <v>25</v>
      </c>
      <c r="C45" s="50">
        <v>23</v>
      </c>
      <c r="D45" s="10">
        <v>24</v>
      </c>
      <c r="E45" s="10">
        <v>20</v>
      </c>
      <c r="F45" s="10">
        <v>25</v>
      </c>
      <c r="G45" s="10">
        <v>25</v>
      </c>
      <c r="H45" s="10">
        <v>21</v>
      </c>
      <c r="I45" s="10">
        <v>25</v>
      </c>
      <c r="J45" s="2"/>
      <c r="K45" s="10">
        <v>57</v>
      </c>
      <c r="L45" s="10">
        <v>48</v>
      </c>
      <c r="M45" s="10">
        <v>36</v>
      </c>
      <c r="N45" s="51">
        <v>41</v>
      </c>
      <c r="O45" s="11">
        <v>40</v>
      </c>
      <c r="P45" s="10"/>
      <c r="Q45" s="40"/>
      <c r="R45" s="2">
        <v>139</v>
      </c>
      <c r="S45" s="10">
        <f>IF(T45="",R45,MAX((R45+$R$8)/$R$2,(T45+$T$8)/$T$2)*$R$2-$R$8)</f>
        <v>139</v>
      </c>
      <c r="T45" s="62">
        <v>204</v>
      </c>
      <c r="U45" s="10">
        <f>IF(A45&lt;&gt;"",SUM(B45:I45),"")</f>
        <v>188</v>
      </c>
      <c r="V45" s="10">
        <f>IF(A45&lt;&gt;"",SUM(J45:O45),"")</f>
        <v>222</v>
      </c>
      <c r="W45" s="10">
        <f>IF(A45&lt;&gt;"",SUM(P45:Q45),"")</f>
        <v>0</v>
      </c>
      <c r="X45" s="10">
        <f>IF(A45&lt;&gt;"",SUM(S45:T45),"")</f>
        <v>343</v>
      </c>
      <c r="Y45" s="12">
        <v>3</v>
      </c>
      <c r="Z45" s="12">
        <f>IF(A45&lt;&gt;"",SUM(U45:Y45),"")</f>
        <v>756</v>
      </c>
      <c r="AA45" s="27">
        <f>IF(A45&lt;&gt;"",(Z45+Normalize_To_Add)/(Point_Total_So_Far)*100,"")</f>
        <v>83.10967318913184</v>
      </c>
      <c r="AB45" s="10">
        <f>IF(A45&lt;&gt;"",RANK(AA45,All_Student_XC),"")</f>
        <v>174</v>
      </c>
      <c r="AC45" s="31" t="str">
        <f>IF(A45&lt;&gt;"",CHOOSE(10-MIN(9,TRUNC((AA45+0.5)/10)),"A","B","C","D","F","F","F","F","F","F"),"")</f>
        <v>B</v>
      </c>
      <c r="AD45" s="31" t="str">
        <f>IF(A45&lt;&gt;"",IF(OR(AA45+0.5&gt;=93,AA45+0.5&lt;60),"",IF(MOD(AA45+0.5,10)&gt;=7,"+",IF(MOD(AA45+0.5,10)&lt;3,"-",""))),"")</f>
        <v/>
      </c>
      <c r="AE45" s="31">
        <f>IF(A45&lt;&gt;"",SUM(W45:X45,$W$8:$X$8)/SUM($W$2:$X$2)*100,"")</f>
        <v>83.619346378263685</v>
      </c>
      <c r="AF45" s="43" t="str">
        <f>IF(A45&lt;&gt;"",CHOOSE(10-MIN(9,TRUNC((AE45+0.5)/10)),"A","B","C","D","F","F","F","F","F","F"),"")</f>
        <v>B</v>
      </c>
      <c r="AG45" s="43" t="str">
        <f>IF(A45&lt;&gt;"",IF(OR(AE45+0.5&gt;=93,AE45+0.5&lt;60),"",IF(MOD(AE45+0.5,10)&gt;=7,"+",IF(MOD(AE45+0.5,10)&lt;3,"-",""))),"")</f>
        <v/>
      </c>
      <c r="AH45" s="35">
        <f>IF(A45&lt;&gt;"",MIN(MAX(AA45,AE45),AA45+$AH$8,AE45+$AH$8),"")</f>
        <v>83.619346378263685</v>
      </c>
      <c r="AI45" s="31" t="str">
        <f>IF(A45&lt;&gt;"",CHOOSE(10-MIN(9,TRUNC((AH45+0.5)/10)),"A","B","C","D","F","F","F","F","F","F"),"")</f>
        <v>B</v>
      </c>
      <c r="AJ45" s="31" t="str">
        <f>IF(A45&lt;&gt;"",IF(OR(AH45+0.5&gt;=93,AH45+0.5&lt;60),"",IF(MOD(AH45+0.5,10)&gt;=7,"+",IF(MOD(AH45+0.5,10)&lt;3,"-",""))),"")</f>
        <v/>
      </c>
      <c r="AK45" s="31" t="b">
        <f>IF(A45&lt;&gt;"",OR(AI45&lt;&gt;AC45,AJ45&lt;&gt;AD45),"")</f>
        <v>0</v>
      </c>
      <c r="AL45" s="81">
        <f>IF(AND(A45&lt;&gt;"",U45&gt;0),SUM(U45,$AL$8)/$AL$2*100,"")</f>
        <v>94</v>
      </c>
      <c r="AM45" s="24">
        <f>IF(AND(A45&lt;&gt;"",V45&gt;0),SUM(V45,$AM$8)/$AM$2*100,"")</f>
        <v>74</v>
      </c>
      <c r="AN45" s="24" t="str">
        <f>IF(AND(A45&lt;&gt;"",P45&lt;&gt;0),SUM(P45,$AN$8)/$AN$2*100,"")</f>
        <v/>
      </c>
      <c r="AO45" s="24" t="str">
        <f>IF(AND(A45&lt;&gt;"",Q45&lt;&gt;0),SUM(Q45,$AO$8)/$AO$2*100,"")</f>
        <v/>
      </c>
      <c r="AP45" s="24">
        <f>IF(AND(A45&lt;&gt;"",R45&lt;&gt;0),SUM(R45,$AP$8)/$AP$2*100,"")</f>
        <v>84.002659574468083</v>
      </c>
      <c r="AQ45" s="24" t="str">
        <f>IF(AND(A45&lt;&gt;"",W45&gt;0),SUM(W45,$AQ$8)/$AQ$2*100,"")</f>
        <v/>
      </c>
      <c r="AR45" s="24">
        <f>IF(AND(A45&lt;&gt;"",T45&gt;0),SUM(T45,$AR$8)/$AR$2*100,"")</f>
        <v>83.363804247460749</v>
      </c>
      <c r="AS45" s="24">
        <f>IF(AND(A45&lt;&gt;"",X45&lt;&gt;0),SUM(X45,$AS$8)/$AS$2*100,"")</f>
        <v>83.619346378263685</v>
      </c>
      <c r="AT45" s="86">
        <f>IF(A45&lt;&gt;"",SUM(W45:X45,$AT$8)/$AT$2*100,"")</f>
        <v>83.619346378263685</v>
      </c>
      <c r="AU45" s="24">
        <f>AA45</f>
        <v>83.10967318913184</v>
      </c>
      <c r="AV45" s="24"/>
      <c r="AW45" s="27">
        <f>IF(A45&lt;&gt;"",AE45-AA45,"")</f>
        <v>0.50967318913184556</v>
      </c>
      <c r="AY45" s="27">
        <f>AR45-AP45</f>
        <v>-0.63885532700733449</v>
      </c>
      <c r="AZ45" s="27">
        <f>ABS(AY45)</f>
        <v>0.63885532700733449</v>
      </c>
    </row>
    <row r="46" spans="1:52" s="27" customFormat="1" ht="12.75" customHeight="1" x14ac:dyDescent="0.2">
      <c r="A46" s="50">
        <v>100032</v>
      </c>
      <c r="B46" s="2">
        <v>18</v>
      </c>
      <c r="C46" s="50">
        <v>17</v>
      </c>
      <c r="D46" s="10">
        <v>20</v>
      </c>
      <c r="E46" s="10">
        <v>23</v>
      </c>
      <c r="F46" s="10">
        <v>20</v>
      </c>
      <c r="G46" s="10">
        <v>25</v>
      </c>
      <c r="H46" s="10">
        <v>19</v>
      </c>
      <c r="I46" s="10">
        <v>25</v>
      </c>
      <c r="J46" s="2"/>
      <c r="K46" s="10">
        <v>28</v>
      </c>
      <c r="L46" s="10">
        <v>32</v>
      </c>
      <c r="M46" s="10">
        <v>37</v>
      </c>
      <c r="N46" s="51">
        <v>47</v>
      </c>
      <c r="O46" s="11">
        <v>45</v>
      </c>
      <c r="P46" s="10"/>
      <c r="Q46" s="40"/>
      <c r="R46" s="2">
        <v>74</v>
      </c>
      <c r="S46" s="10">
        <f>IF(T46="",R46,MAX((R46+$R$8)/$R$2,(T46+$T$8)/$T$2)*$R$2-$R$8)</f>
        <v>114.38895601265202</v>
      </c>
      <c r="T46" s="62">
        <v>169</v>
      </c>
      <c r="U46" s="10">
        <f>IF(A46&lt;&gt;"",SUM(B46:I46),"")</f>
        <v>167</v>
      </c>
      <c r="V46" s="10">
        <f>IF(A46&lt;&gt;"",SUM(J46:O46),"")</f>
        <v>189</v>
      </c>
      <c r="W46" s="10">
        <f>IF(A46&lt;&gt;"",SUM(P46:Q46),"")</f>
        <v>0</v>
      </c>
      <c r="X46" s="10">
        <f>IF(A46&lt;&gt;"",SUM(S46:T46),"")</f>
        <v>283.38895601265199</v>
      </c>
      <c r="Y46" s="12">
        <v>3</v>
      </c>
      <c r="Z46" s="12">
        <f>IF(A46&lt;&gt;"",SUM(U46:Y46),"")</f>
        <v>642.38895601265199</v>
      </c>
      <c r="AA46" s="27">
        <f>IF(A46&lt;&gt;"",(Z46+Normalize_To_Add)/(Point_Total_So_Far)*100,"")</f>
        <v>71.748568790397044</v>
      </c>
      <c r="AB46" s="10">
        <f>IF(A46&lt;&gt;"",RANK(AA46,All_Student_XC),"")</f>
        <v>297</v>
      </c>
      <c r="AC46" s="31" t="str">
        <f>IF(A46&lt;&gt;"",CHOOSE(10-MIN(9,TRUNC((AA46+0.5)/10)),"A","B","C","D","F","F","F","F","F","F"),"")</f>
        <v>C</v>
      </c>
      <c r="AD46" s="31" t="str">
        <f>IF(A46&lt;&gt;"",IF(OR(AA46+0.5&gt;=93,AA46+0.5&lt;60),"",IF(MOD(AA46+0.5,10)&gt;=7,"+",IF(MOD(AA46+0.5,10)&lt;3,"-",""))),"")</f>
        <v>-</v>
      </c>
      <c r="AE46" s="31">
        <f>IF(A46&lt;&gt;"",SUM(W46:X46,$W$8:$X$8)/SUM($W$2:$X$2)*100,"")</f>
        <v>71.697137580794077</v>
      </c>
      <c r="AF46" s="43" t="str">
        <f>IF(A46&lt;&gt;"",CHOOSE(10-MIN(9,TRUNC((AE46+0.5)/10)),"A","B","C","D","F","F","F","F","F","F"),"")</f>
        <v>C</v>
      </c>
      <c r="AG46" s="43" t="str">
        <f>IF(A46&lt;&gt;"",IF(OR(AE46+0.5&gt;=93,AE46+0.5&lt;60),"",IF(MOD(AE46+0.5,10)&gt;=7,"+",IF(MOD(AE46+0.5,10)&lt;3,"-",""))),"")</f>
        <v>-</v>
      </c>
      <c r="AH46" s="35">
        <f>IF(A46&lt;&gt;"",MIN(MAX(AA46,AE46),AA46+$AH$8,AE46+$AH$8),"")</f>
        <v>71.748568790397044</v>
      </c>
      <c r="AI46" s="31" t="str">
        <f>IF(A46&lt;&gt;"",CHOOSE(10-MIN(9,TRUNC((AH46+0.5)/10)),"A","B","C","D","F","F","F","F","F","F"),"")</f>
        <v>C</v>
      </c>
      <c r="AJ46" s="31" t="str">
        <f>IF(A46&lt;&gt;"",IF(OR(AH46+0.5&gt;=93,AH46+0.5&lt;60),"",IF(MOD(AH46+0.5,10)&gt;=7,"+",IF(MOD(AH46+0.5,10)&lt;3,"-",""))),"")</f>
        <v>-</v>
      </c>
      <c r="AK46" s="31" t="b">
        <f>IF(A46&lt;&gt;"",OR(AI46&lt;&gt;AC46,AJ46&lt;&gt;AD46),"")</f>
        <v>0</v>
      </c>
      <c r="AL46" s="81">
        <f>IF(AND(A46&lt;&gt;"",U46&gt;0),SUM(U46,$AL$8)/$AL$2*100,"")</f>
        <v>83.5</v>
      </c>
      <c r="AM46" s="24">
        <f>IF(AND(A46&lt;&gt;"",V46&gt;0),SUM(V46,$AM$8)/$AM$2*100,"")</f>
        <v>63</v>
      </c>
      <c r="AN46" s="24" t="str">
        <f>IF(AND(A46&lt;&gt;"",P46&lt;&gt;0),SUM(P46,$AN$8)/$AN$2*100,"")</f>
        <v/>
      </c>
      <c r="AO46" s="24" t="str">
        <f>IF(AND(A46&lt;&gt;"",Q46&lt;&gt;0),SUM(Q46,$AO$8)/$AO$2*100,"")</f>
        <v/>
      </c>
      <c r="AP46" s="24">
        <f>IF(AND(A46&lt;&gt;"",R46&lt;&gt;0),SUM(R46,$AP$8)/$AP$2*100,"")</f>
        <v>51.502659574468076</v>
      </c>
      <c r="AQ46" s="24" t="str">
        <f>IF(AND(A46&lt;&gt;"",W46&gt;0),SUM(W46,$AQ$8)/$AQ$2*100,"")</f>
        <v/>
      </c>
      <c r="AR46" s="24">
        <f>IF(AND(A46&lt;&gt;"",T46&gt;0),SUM(T46,$AR$8)/$AR$2*100,"")</f>
        <v>71.697137580794092</v>
      </c>
      <c r="AS46" s="24">
        <f>IF(AND(A46&lt;&gt;"",X46&lt;&gt;0),SUM(X46,$AS$8)/$AS$2*100,"")</f>
        <v>71.697137580794077</v>
      </c>
      <c r="AT46" s="86">
        <f>IF(A46&lt;&gt;"",SUM(W46:X46,$AT$8)/$AT$2*100,"")</f>
        <v>71.697137580794077</v>
      </c>
      <c r="AU46" s="24">
        <f>AA46</f>
        <v>71.748568790397044</v>
      </c>
      <c r="AV46" s="24"/>
      <c r="AW46" s="27">
        <f>IF(A46&lt;&gt;"",AE46-AA46,"")</f>
        <v>-5.1431209602966987E-2</v>
      </c>
      <c r="AY46" s="27">
        <f>AR46-AP46</f>
        <v>20.194478006326015</v>
      </c>
      <c r="AZ46" s="27">
        <f>ABS(AY46)</f>
        <v>20.194478006326015</v>
      </c>
    </row>
    <row r="47" spans="1:52" s="27" customFormat="1" ht="12.75" customHeight="1" x14ac:dyDescent="0.2">
      <c r="A47" s="10">
        <v>101554</v>
      </c>
      <c r="B47" s="2">
        <v>25</v>
      </c>
      <c r="C47" s="10">
        <v>25</v>
      </c>
      <c r="D47" s="10">
        <v>22</v>
      </c>
      <c r="E47" s="10">
        <v>25</v>
      </c>
      <c r="F47" s="10">
        <v>25</v>
      </c>
      <c r="G47" s="10">
        <v>25</v>
      </c>
      <c r="H47" s="10">
        <v>25</v>
      </c>
      <c r="I47" s="10">
        <v>25</v>
      </c>
      <c r="J47" s="2"/>
      <c r="K47" s="10">
        <v>63</v>
      </c>
      <c r="L47" s="10">
        <v>61</v>
      </c>
      <c r="M47" s="10">
        <v>61</v>
      </c>
      <c r="N47" s="10">
        <v>62</v>
      </c>
      <c r="O47" s="11">
        <v>62</v>
      </c>
      <c r="P47" s="40"/>
      <c r="Q47" s="40"/>
      <c r="R47" s="2">
        <v>177</v>
      </c>
      <c r="S47" s="10">
        <f>IF(T47="",R47,MAX((R47+$R$8)/$R$2,(T47+$T$8)/$T$2)*$R$2-$R$8)</f>
        <v>177</v>
      </c>
      <c r="T47" s="12">
        <v>246</v>
      </c>
      <c r="U47" s="7">
        <f>IF(A47&lt;&gt;"",SUM(B47:I47),"")</f>
        <v>197</v>
      </c>
      <c r="V47" s="10">
        <f>IF(A47&lt;&gt;"",SUM(J47:O47),"")</f>
        <v>309</v>
      </c>
      <c r="W47" s="10">
        <f>IF(A47&lt;&gt;"",SUM(P47:Q47),"")</f>
        <v>0</v>
      </c>
      <c r="X47" s="10">
        <f>IF(A47&lt;&gt;"",SUM(S47:T47),"")</f>
        <v>423</v>
      </c>
      <c r="Y47" s="12">
        <v>3</v>
      </c>
      <c r="Z47" s="12">
        <f>IF(A47&lt;&gt;"",SUM(U47:Y47),"")</f>
        <v>932</v>
      </c>
      <c r="AA47" s="27">
        <f>IF(A47&lt;&gt;"",(Z47+Normalize_To_Add)/(Point_Total_So_Far)*100,"")</f>
        <v>100.70967318913185</v>
      </c>
      <c r="AB47" s="10">
        <f>IF(A47&lt;&gt;"",RANK(AA47,All_Student_XC),"")</f>
        <v>5</v>
      </c>
      <c r="AC47" s="31" t="str">
        <f>IF(A47&lt;&gt;"",CHOOSE(10-MIN(9,TRUNC((AA47+0.5)/10)),"A","B","C","D","F","F","F","F","F","F"),"")</f>
        <v>A</v>
      </c>
      <c r="AD47" s="31" t="str">
        <f>IF(A47&lt;&gt;"",IF(OR(AA47+0.5&gt;=93,AA47+0.5&lt;60),"",IF(MOD(AA47+0.5,10)&gt;=7,"+",IF(MOD(AA47+0.5,10)&lt;3,"-",""))),"")</f>
        <v/>
      </c>
      <c r="AE47" s="31">
        <f>IF(A47&lt;&gt;"",SUM(W47:X47,$W$8:$X$8)/SUM($W$2:$X$2)*100,"")</f>
        <v>99.619346378263685</v>
      </c>
      <c r="AF47" s="31" t="str">
        <f>IF(A47&lt;&gt;"",CHOOSE(10-MIN(9,TRUNC((AE47+0.5)/10)),"A","B","C","D","F","F","F","F","F","F"),"")</f>
        <v>A</v>
      </c>
      <c r="AG47" s="31" t="str">
        <f>IF(A47&lt;&gt;"",IF(OR(AE47+0.5&gt;=93,AE47+0.5&lt;60),"",IF(MOD(AE47+0.5,10)&gt;=7,"+",IF(MOD(AE47+0.5,10)&lt;3,"-",""))),"")</f>
        <v/>
      </c>
      <c r="AH47" s="35">
        <f>IF(A47&lt;&gt;"",MIN(MAX(AA47,AE47),AA47+$AH$8,AE47+$AH$8),"")</f>
        <v>100.70967318913185</v>
      </c>
      <c r="AI47" s="31" t="str">
        <f>IF(A47&lt;&gt;"",CHOOSE(10-MIN(9,TRUNC((AH47+0.5)/10)),"A","B","C","D","F","F","F","F","F","F"),"")</f>
        <v>A</v>
      </c>
      <c r="AJ47" s="31" t="str">
        <f>IF(A47&lt;&gt;"",IF(OR(AH47+0.5&gt;=93,AH47+0.5&lt;60),"",IF(MOD(AH47+0.5,10)&gt;=7,"+",IF(MOD(AH47+0.5,10)&lt;3,"-",""))),"")</f>
        <v/>
      </c>
      <c r="AK47" s="31" t="b">
        <f>IF(A47&lt;&gt;"",OR(AI47&lt;&gt;AC47,AJ47&lt;&gt;AD47),"")</f>
        <v>0</v>
      </c>
      <c r="AL47" s="81">
        <f>IF(AND(A47&lt;&gt;"",U47&gt;0),SUM(U47,$AL$8)/$AL$2*100,"")</f>
        <v>98.5</v>
      </c>
      <c r="AM47" s="24">
        <f>IF(AND(A47&lt;&gt;"",V47&gt;0),SUM(V47,$AM$8)/$AM$2*100,"")</f>
        <v>103</v>
      </c>
      <c r="AN47" s="24" t="str">
        <f>IF(AND(A47&lt;&gt;"",P47&lt;&gt;0),SUM(P47,$AN$8)/$AN$2*100,"")</f>
        <v/>
      </c>
      <c r="AO47" s="24" t="str">
        <f>IF(AND(A47&lt;&gt;"",Q47&lt;&gt;0),SUM(Q47,$AO$8)/$AO$2*100,"")</f>
        <v/>
      </c>
      <c r="AP47" s="24">
        <f>IF(AND(A47&lt;&gt;"",R47&lt;&gt;0),SUM(R47,$AP$8)/$AP$2*100,"")</f>
        <v>103.00265957446808</v>
      </c>
      <c r="AQ47" s="24" t="str">
        <f>IF(AND(A47&lt;&gt;"",W47&gt;0),SUM(W47,$AQ$8)/$AQ$2*100,"")</f>
        <v/>
      </c>
      <c r="AR47" s="24">
        <f>IF(AND(A47&lt;&gt;"",T47&gt;0),SUM(T47,$AR$8)/$AR$2*100,"")</f>
        <v>97.363804247460749</v>
      </c>
      <c r="AS47" s="24">
        <f>IF(AND(A47&lt;&gt;"",X47&lt;&gt;0),SUM(X47,$AS$8)/$AS$2*100,"")</f>
        <v>99.619346378263685</v>
      </c>
      <c r="AT47" s="86">
        <f>IF(A47&lt;&gt;"",SUM(W47:X47,$AT$8)/$AT$2*100,"")</f>
        <v>99.619346378263685</v>
      </c>
      <c r="AU47" s="24">
        <f>AA47</f>
        <v>100.70967318913185</v>
      </c>
      <c r="AV47" s="24"/>
      <c r="AW47" s="27">
        <f>IF(A47&lt;&gt;"",AE47-AA47,"")</f>
        <v>-1.090326810868163</v>
      </c>
      <c r="AY47" s="27">
        <f>AR47-AP47</f>
        <v>-5.6388553270073345</v>
      </c>
      <c r="AZ47" s="27">
        <f>ABS(AY47)</f>
        <v>5.6388553270073345</v>
      </c>
    </row>
    <row r="48" spans="1:52" s="27" customFormat="1" ht="12.75" customHeight="1" x14ac:dyDescent="0.2">
      <c r="A48" s="50">
        <v>109990</v>
      </c>
      <c r="B48" s="2">
        <v>25</v>
      </c>
      <c r="C48" s="50">
        <v>25</v>
      </c>
      <c r="D48" s="10">
        <v>23</v>
      </c>
      <c r="E48" s="10">
        <v>24</v>
      </c>
      <c r="F48" s="10">
        <v>24</v>
      </c>
      <c r="G48" s="10">
        <v>25</v>
      </c>
      <c r="H48" s="10">
        <v>14</v>
      </c>
      <c r="I48" s="10">
        <v>25</v>
      </c>
      <c r="J48" s="2"/>
      <c r="K48" s="10">
        <v>62</v>
      </c>
      <c r="L48" s="10">
        <v>62</v>
      </c>
      <c r="M48" s="10">
        <v>62</v>
      </c>
      <c r="N48" s="51">
        <v>59</v>
      </c>
      <c r="O48" s="11">
        <v>62</v>
      </c>
      <c r="P48" s="10"/>
      <c r="Q48" s="40"/>
      <c r="R48" s="2">
        <v>155</v>
      </c>
      <c r="S48" s="10">
        <f>IF(T48="",R48,MAX((R48+$R$8)/$R$2,(T48+$T$8)/$T$2)*$R$2-$R$8)</f>
        <v>155</v>
      </c>
      <c r="T48" s="62">
        <v>191</v>
      </c>
      <c r="U48" s="10">
        <f>IF(A48&lt;&gt;"",SUM(B48:I48),"")</f>
        <v>185</v>
      </c>
      <c r="V48" s="10">
        <f>IF(A48&lt;&gt;"",SUM(J48:O48),"")</f>
        <v>307</v>
      </c>
      <c r="W48" s="10">
        <f>IF(A48&lt;&gt;"",SUM(P48:Q48),"")</f>
        <v>0</v>
      </c>
      <c r="X48" s="10">
        <f>IF(A48&lt;&gt;"",SUM(S48:T48),"")</f>
        <v>346</v>
      </c>
      <c r="Y48" s="12">
        <v>3</v>
      </c>
      <c r="Z48" s="12">
        <f>IF(A48&lt;&gt;"",SUM(U48:Y48),"")</f>
        <v>841</v>
      </c>
      <c r="AA48" s="27">
        <f>IF(A48&lt;&gt;"",(Z48+Normalize_To_Add)/(Point_Total_So_Far)*100,"")</f>
        <v>91.60967318913184</v>
      </c>
      <c r="AB48" s="10">
        <f>IF(A48&lt;&gt;"",RANK(AA48,All_Student_XC),"")</f>
        <v>60</v>
      </c>
      <c r="AC48" s="31" t="str">
        <f>IF(A48&lt;&gt;"",CHOOSE(10-MIN(9,TRUNC((AA48+0.5)/10)),"A","B","C","D","F","F","F","F","F","F"),"")</f>
        <v>A</v>
      </c>
      <c r="AD48" s="31" t="str">
        <f>IF(A48&lt;&gt;"",IF(OR(AA48+0.5&gt;=93,AA48+0.5&lt;60),"",IF(MOD(AA48+0.5,10)&gt;=7,"+",IF(MOD(AA48+0.5,10)&lt;3,"-",""))),"")</f>
        <v>-</v>
      </c>
      <c r="AE48" s="31">
        <f>IF(A48&lt;&gt;"",SUM(W48:X48,$W$8:$X$8)/SUM($W$2:$X$2)*100,"")</f>
        <v>84.21934637826368</v>
      </c>
      <c r="AF48" s="43" t="str">
        <f>IF(A48&lt;&gt;"",CHOOSE(10-MIN(9,TRUNC((AE48+0.5)/10)),"A","B","C","D","F","F","F","F","F","F"),"")</f>
        <v>B</v>
      </c>
      <c r="AG48" s="43" t="str">
        <f>IF(A48&lt;&gt;"",IF(OR(AE48+0.5&gt;=93,AE48+0.5&lt;60),"",IF(MOD(AE48+0.5,10)&gt;=7,"+",IF(MOD(AE48+0.5,10)&lt;3,"-",""))),"")</f>
        <v/>
      </c>
      <c r="AH48" s="35">
        <f>IF(A48&lt;&gt;"",MIN(MAX(AA48,AE48),AA48+$AH$8,AE48+$AH$8),"")</f>
        <v>91.60967318913184</v>
      </c>
      <c r="AI48" s="31" t="str">
        <f>IF(A48&lt;&gt;"",CHOOSE(10-MIN(9,TRUNC((AH48+0.5)/10)),"A","B","C","D","F","F","F","F","F","F"),"")</f>
        <v>A</v>
      </c>
      <c r="AJ48" s="31" t="str">
        <f>IF(A48&lt;&gt;"",IF(OR(AH48+0.5&gt;=93,AH48+0.5&lt;60),"",IF(MOD(AH48+0.5,10)&gt;=7,"+",IF(MOD(AH48+0.5,10)&lt;3,"-",""))),"")</f>
        <v>-</v>
      </c>
      <c r="AK48" s="31" t="b">
        <f>IF(A48&lt;&gt;"",OR(AI48&lt;&gt;AC48,AJ48&lt;&gt;AD48),"")</f>
        <v>0</v>
      </c>
      <c r="AL48" s="81">
        <f>IF(AND(A48&lt;&gt;"",U48&gt;0),SUM(U48,$AL$8)/$AL$2*100,"")</f>
        <v>92.5</v>
      </c>
      <c r="AM48" s="24">
        <f>IF(AND(A48&lt;&gt;"",V48&gt;0),SUM(V48,$AM$8)/$AM$2*100,"")</f>
        <v>102.33333333333334</v>
      </c>
      <c r="AN48" s="24" t="str">
        <f>IF(AND(A48&lt;&gt;"",P48&lt;&gt;0),SUM(P48,$AN$8)/$AN$2*100,"")</f>
        <v/>
      </c>
      <c r="AO48" s="24" t="str">
        <f>IF(AND(A48&lt;&gt;"",Q48&lt;&gt;0),SUM(Q48,$AO$8)/$AO$2*100,"")</f>
        <v/>
      </c>
      <c r="AP48" s="24">
        <f>IF(AND(A48&lt;&gt;"",R48&lt;&gt;0),SUM(R48,$AP$8)/$AP$2*100,"")</f>
        <v>92.002659574468083</v>
      </c>
      <c r="AQ48" s="24" t="str">
        <f>IF(AND(A48&lt;&gt;"",W48&gt;0),SUM(W48,$AQ$8)/$AQ$2*100,"")</f>
        <v/>
      </c>
      <c r="AR48" s="24">
        <f>IF(AND(A48&lt;&gt;"",T48&gt;0),SUM(T48,$AR$8)/$AR$2*100,"")</f>
        <v>79.03047091412742</v>
      </c>
      <c r="AS48" s="24">
        <f>IF(AND(A48&lt;&gt;"",X48&lt;&gt;0),SUM(X48,$AS$8)/$AS$2*100,"")</f>
        <v>84.21934637826368</v>
      </c>
      <c r="AT48" s="86">
        <f>IF(A48&lt;&gt;"",SUM(W48:X48,$AT$8)/$AT$2*100,"")</f>
        <v>84.21934637826368</v>
      </c>
      <c r="AU48" s="24">
        <f>AA48</f>
        <v>91.60967318913184</v>
      </c>
      <c r="AV48" s="24"/>
      <c r="AW48" s="27">
        <f>IF(A48&lt;&gt;"",AE48-AA48,"")</f>
        <v>-7.3903268108681601</v>
      </c>
      <c r="AY48" s="27">
        <f>AR48-AP48</f>
        <v>-12.972188660340663</v>
      </c>
      <c r="AZ48" s="27">
        <f>ABS(AY48)</f>
        <v>12.972188660340663</v>
      </c>
    </row>
    <row r="49" spans="1:54" s="27" customFormat="1" ht="12.75" customHeight="1" x14ac:dyDescent="0.2">
      <c r="A49" s="10">
        <v>113664</v>
      </c>
      <c r="B49" s="2">
        <v>13</v>
      </c>
      <c r="C49" s="10">
        <v>17</v>
      </c>
      <c r="D49" s="10">
        <v>21</v>
      </c>
      <c r="E49" s="10">
        <v>16</v>
      </c>
      <c r="F49" s="10">
        <v>10</v>
      </c>
      <c r="G49" s="10">
        <v>25</v>
      </c>
      <c r="H49" s="10">
        <v>24</v>
      </c>
      <c r="I49" s="10">
        <v>16</v>
      </c>
      <c r="J49" s="2"/>
      <c r="K49" s="10">
        <v>62</v>
      </c>
      <c r="L49" s="10">
        <v>62</v>
      </c>
      <c r="M49" s="10">
        <v>57</v>
      </c>
      <c r="N49" s="51">
        <v>61</v>
      </c>
      <c r="O49" s="11">
        <v>39</v>
      </c>
      <c r="P49" s="10"/>
      <c r="Q49" s="40"/>
      <c r="R49" s="2">
        <v>95</v>
      </c>
      <c r="S49" s="10">
        <f>IF(T49="",R49,MAX((R49+$R$8)/$R$2,(T49+$T$8)/$T$2)*$R$2-$R$8)</f>
        <v>95.000000000000014</v>
      </c>
      <c r="T49" s="12">
        <v>107</v>
      </c>
      <c r="U49" s="7">
        <f>IF(A49&lt;&gt;"",SUM(B49:I49),"")</f>
        <v>142</v>
      </c>
      <c r="V49" s="10">
        <f>IF(A49&lt;&gt;"",SUM(J49:O49),"")</f>
        <v>281</v>
      </c>
      <c r="W49" s="10">
        <f>IF(A49&lt;&gt;"",SUM(P49:Q49),"")</f>
        <v>0</v>
      </c>
      <c r="X49" s="10">
        <f>IF(A49&lt;&gt;"",SUM(S49:T49),"")</f>
        <v>202</v>
      </c>
      <c r="Y49" s="12">
        <v>3</v>
      </c>
      <c r="Z49" s="12">
        <f>IF(A49&lt;&gt;"",SUM(U49:Y49),"")</f>
        <v>628</v>
      </c>
      <c r="AA49" s="27">
        <f>IF(A49&lt;&gt;"",(Z49+Normalize_To_Add)/(Point_Total_So_Far)*100,"")</f>
        <v>70.309673189131843</v>
      </c>
      <c r="AB49" s="10">
        <f>IF(A49&lt;&gt;"",RANK(AA49,All_Student_XC),"")</f>
        <v>308</v>
      </c>
      <c r="AC49" s="31" t="str">
        <f>IF(A49&lt;&gt;"",CHOOSE(10-MIN(9,TRUNC((AA49+0.5)/10)),"A","B","C","D","F","F","F","F","F","F"),"")</f>
        <v>C</v>
      </c>
      <c r="AD49" s="31" t="str">
        <f>IF(A49&lt;&gt;"",IF(OR(AA49+0.5&gt;=93,AA49+0.5&lt;60),"",IF(MOD(AA49+0.5,10)&gt;=7,"+",IF(MOD(AA49+0.5,10)&lt;3,"-",""))),"")</f>
        <v>-</v>
      </c>
      <c r="AE49" s="31">
        <f>IF(A49&lt;&gt;"",SUM(W49:X49,$W$8:$X$8)/SUM($W$2:$X$2)*100,"")</f>
        <v>55.41934637826369</v>
      </c>
      <c r="AF49" s="31" t="str">
        <f>IF(A49&lt;&gt;"",CHOOSE(10-MIN(9,TRUNC((AE49+0.5)/10)),"A","B","C","D","F","F","F","F","F","F"),"")</f>
        <v>F</v>
      </c>
      <c r="AG49" s="31" t="str">
        <f>IF(A49&lt;&gt;"",IF(OR(AE49+0.5&gt;=93,AE49+0.5&lt;60),"",IF(MOD(AE49+0.5,10)&gt;=7,"+",IF(MOD(AE49+0.5,10)&lt;3,"-",""))),"")</f>
        <v/>
      </c>
      <c r="AH49" s="35">
        <f>IF(A49&lt;&gt;"",MIN(MAX(AA49,AE49),AA49+$AH$8,AE49+$AH$8),"")</f>
        <v>70.309673189131843</v>
      </c>
      <c r="AI49" s="31" t="str">
        <f>IF(A49&lt;&gt;"",CHOOSE(10-MIN(9,TRUNC((AH49+0.5)/10)),"A","B","C","D","F","F","F","F","F","F"),"")</f>
        <v>C</v>
      </c>
      <c r="AJ49" s="31" t="str">
        <f>IF(A49&lt;&gt;"",IF(OR(AH49+0.5&gt;=93,AH49+0.5&lt;60),"",IF(MOD(AH49+0.5,10)&gt;=7,"+",IF(MOD(AH49+0.5,10)&lt;3,"-",""))),"")</f>
        <v>-</v>
      </c>
      <c r="AK49" s="31" t="b">
        <f>IF(A49&lt;&gt;"",OR(AI49&lt;&gt;AC49,AJ49&lt;&gt;AD49),"")</f>
        <v>0</v>
      </c>
      <c r="AL49" s="81">
        <f>IF(AND(A49&lt;&gt;"",U49&gt;0),SUM(U49,$AL$8)/$AL$2*100,"")</f>
        <v>71</v>
      </c>
      <c r="AM49" s="24">
        <f>IF(AND(A49&lt;&gt;"",V49&gt;0),SUM(V49,$AM$8)/$AM$2*100,"")</f>
        <v>93.666666666666671</v>
      </c>
      <c r="AN49" s="24" t="str">
        <f>IF(AND(A49&lt;&gt;"",P49&lt;&gt;0),SUM(P49,$AN$8)/$AN$2*100,"")</f>
        <v/>
      </c>
      <c r="AO49" s="24" t="str">
        <f>IF(AND(A49&lt;&gt;"",Q49&lt;&gt;0),SUM(Q49,$AO$8)/$AO$2*100,"")</f>
        <v/>
      </c>
      <c r="AP49" s="24">
        <f>IF(AND(A49&lt;&gt;"",R49&lt;&gt;0),SUM(R49,$AP$8)/$AP$2*100,"")</f>
        <v>62.00265957446809</v>
      </c>
      <c r="AQ49" s="24" t="str">
        <f>IF(AND(A49&lt;&gt;"",W49&gt;0),SUM(W49,$AQ$8)/$AQ$2*100,"")</f>
        <v/>
      </c>
      <c r="AR49" s="24">
        <f>IF(AND(A49&lt;&gt;"",T49&gt;0),SUM(T49,$AR$8)/$AR$2*100,"")</f>
        <v>51.03047091412742</v>
      </c>
      <c r="AS49" s="24">
        <f>IF(AND(A49&lt;&gt;"",X49&lt;&gt;0),SUM(X49,$AS$8)/$AS$2*100,"")</f>
        <v>55.41934637826369</v>
      </c>
      <c r="AT49" s="86">
        <f>IF(A49&lt;&gt;"",SUM(W49:X49,$AT$8)/$AT$2*100,"")</f>
        <v>55.41934637826369</v>
      </c>
      <c r="AU49" s="24">
        <f>AA49</f>
        <v>70.309673189131843</v>
      </c>
      <c r="AV49" s="24"/>
      <c r="AW49" s="27">
        <f>IF(A49&lt;&gt;"",AE49-AA49,"")</f>
        <v>-14.890326810868153</v>
      </c>
      <c r="AY49" s="27">
        <f>AR49-AP49</f>
        <v>-10.97218866034067</v>
      </c>
      <c r="AZ49" s="27">
        <f>ABS(AY49)</f>
        <v>10.97218866034067</v>
      </c>
    </row>
    <row r="50" spans="1:54" s="27" customFormat="1" ht="12.75" customHeight="1" x14ac:dyDescent="0.2">
      <c r="A50" s="10">
        <v>120050</v>
      </c>
      <c r="B50" s="2">
        <v>5</v>
      </c>
      <c r="C50" s="10">
        <v>11</v>
      </c>
      <c r="D50" s="10">
        <v>10</v>
      </c>
      <c r="E50" s="10">
        <v>18</v>
      </c>
      <c r="F50" s="10">
        <v>10</v>
      </c>
      <c r="G50" s="10" t="s">
        <v>69</v>
      </c>
      <c r="H50" s="10" t="s">
        <v>69</v>
      </c>
      <c r="I50" s="10" t="s">
        <v>69</v>
      </c>
      <c r="J50" s="2"/>
      <c r="K50" s="10" t="s">
        <v>69</v>
      </c>
      <c r="L50" s="10" t="s">
        <v>69</v>
      </c>
      <c r="M50" s="10" t="s">
        <v>69</v>
      </c>
      <c r="N50" s="51" t="s">
        <v>69</v>
      </c>
      <c r="O50" s="11" t="s">
        <v>69</v>
      </c>
      <c r="P50" s="10"/>
      <c r="Q50" s="40"/>
      <c r="R50" s="2">
        <v>72</v>
      </c>
      <c r="S50" s="10">
        <f>IF(T50="",R50,MAX((R50+$R$8)/$R$2,(T50+$T$8)/$T$2)*$R$2-$R$8)</f>
        <v>72</v>
      </c>
      <c r="T50" s="12" t="s">
        <v>69</v>
      </c>
      <c r="U50" s="34">
        <f>IF(A50&lt;&gt;"",SUM(B50:I50),"")</f>
        <v>54</v>
      </c>
      <c r="V50" s="10">
        <f>IF(A50&lt;&gt;"",SUM(J50:O50),"")</f>
        <v>0</v>
      </c>
      <c r="W50" s="10">
        <f>IF(A50&lt;&gt;"",SUM(P50:Q50),"")</f>
        <v>0</v>
      </c>
      <c r="X50" s="10">
        <f>IF(A50&lt;&gt;"",SUM(S50:T50),"")</f>
        <v>72</v>
      </c>
      <c r="Y50" s="12" t="s">
        <v>69</v>
      </c>
      <c r="Z50" s="12">
        <f>IF(A50&lt;&gt;"",SUM(U50:Y50),"")</f>
        <v>126</v>
      </c>
      <c r="AA50" s="27">
        <f>IF(A50&lt;&gt;"",(Z50+Normalize_To_Add)/(Point_Total_So_Far)*100,"")</f>
        <v>20.109673189131843</v>
      </c>
      <c r="AB50" s="10">
        <f>IF(A50&lt;&gt;"",RANK(AA50,All_Student_XC),"")</f>
        <v>374</v>
      </c>
      <c r="AC50" s="31" t="str">
        <f>IF(A50&lt;&gt;"",CHOOSE(10-MIN(9,TRUNC((AA50+0.5)/10)),"A","B","C","D","F","F","F","F","F","F"),"")</f>
        <v>F</v>
      </c>
      <c r="AD50" s="31" t="str">
        <f>IF(A50&lt;&gt;"",IF(OR(AA50+0.5&gt;=93,AA50+0.5&lt;60),"",IF(MOD(AA50+0.5,10)&gt;=7,"+",IF(MOD(AA50+0.5,10)&lt;3,"-",""))),"")</f>
        <v/>
      </c>
      <c r="AE50" s="31">
        <f>IF(A50&lt;&gt;"",SUM(W50:X50,$W$8:$X$8)/SUM($W$2:$X$2)*100,"")</f>
        <v>29.419346378263683</v>
      </c>
      <c r="AF50" s="31" t="str">
        <f>IF(A50&lt;&gt;"",CHOOSE(10-MIN(9,TRUNC((AE50+0.5)/10)),"A","B","C","D","F","F","F","F","F","F"),"")</f>
        <v>F</v>
      </c>
      <c r="AG50" s="31" t="str">
        <f>IF(A50&lt;&gt;"",IF(OR(AE50+0.5&gt;=93,AE50+0.5&lt;60),"",IF(MOD(AE50+0.5,10)&gt;=7,"+",IF(MOD(AE50+0.5,10)&lt;3,"-",""))),"")</f>
        <v/>
      </c>
      <c r="AH50" s="35">
        <f>IF(A50&lt;&gt;"",MIN(MAX(AA50,AE50),AA50+$AH$8,AE50+$AH$8),"")</f>
        <v>29.419346378263683</v>
      </c>
      <c r="AI50" s="31" t="str">
        <f>IF(A50&lt;&gt;"",CHOOSE(10-MIN(9,TRUNC((AH50+0.5)/10)),"A","B","C","D","F","F","F","F","F","F"),"")</f>
        <v>F</v>
      </c>
      <c r="AJ50" s="31" t="str">
        <f>IF(A50&lt;&gt;"",IF(OR(AH50+0.5&gt;=93,AH50+0.5&lt;60),"",IF(MOD(AH50+0.5,10)&gt;=7,"+",IF(MOD(AH50+0.5,10)&lt;3,"-",""))),"")</f>
        <v/>
      </c>
      <c r="AK50" s="31" t="b">
        <f>IF(A50&lt;&gt;"",OR(AI50&lt;&gt;AC50,AJ50&lt;&gt;AD50),"")</f>
        <v>0</v>
      </c>
      <c r="AL50" s="81">
        <f>IF(AND(A50&lt;&gt;"",U50&gt;0),SUM(U50,$AL$8)/$AL$2*100,"")</f>
        <v>27</v>
      </c>
      <c r="AM50" s="24" t="str">
        <f>IF(AND(A50&lt;&gt;"",V50&gt;0),SUM(V50,$AM$8)/$AM$2*100,"")</f>
        <v/>
      </c>
      <c r="AN50" s="24" t="str">
        <f>IF(AND(A50&lt;&gt;"",P50&lt;&gt;0),SUM(P50,$AN$8)/$AN$2*100,"")</f>
        <v/>
      </c>
      <c r="AO50" s="24" t="str">
        <f>IF(AND(A50&lt;&gt;"",Q50&lt;&gt;0),SUM(Q50,$AO$8)/$AO$2*100,"")</f>
        <v/>
      </c>
      <c r="AP50" s="24">
        <f>IF(AND(A50&lt;&gt;"",R50&lt;&gt;0),SUM(R50,$AP$8)/$AP$2*100,"")</f>
        <v>50.502659574468076</v>
      </c>
      <c r="AQ50" s="24" t="str">
        <f>IF(AND(A50&lt;&gt;"",W50&gt;0),SUM(W50,$AQ$8)/$AQ$2*100,"")</f>
        <v/>
      </c>
      <c r="AR50" s="24">
        <f>IF(AND(A50&lt;&gt;"",T50&gt;0),SUM(T50,$AR$8)/$AR$2*100,"")</f>
        <v>15.363804247460756</v>
      </c>
      <c r="AS50" s="24">
        <f>IF(AND(A50&lt;&gt;"",X50&lt;&gt;0),SUM(X50,$AS$8)/$AS$2*100,"")</f>
        <v>29.419346378263683</v>
      </c>
      <c r="AT50" s="86">
        <f>IF(A50&lt;&gt;"",SUM(W50:X50,$AT$8)/$AT$2*100,"")</f>
        <v>29.419346378263683</v>
      </c>
      <c r="AU50" s="24">
        <f>AA50</f>
        <v>20.109673189131843</v>
      </c>
      <c r="AV50" s="24"/>
      <c r="AW50" s="27">
        <f>IF(A50&lt;&gt;"",AE50-AA50,"")</f>
        <v>9.3096731891318392</v>
      </c>
      <c r="AY50" s="27">
        <f>AR50-AP50</f>
        <v>-35.13885532700732</v>
      </c>
      <c r="AZ50" s="27">
        <f>ABS(AY50)</f>
        <v>35.13885532700732</v>
      </c>
    </row>
    <row r="51" spans="1:54" s="27" customFormat="1" ht="12.75" customHeight="1" x14ac:dyDescent="0.2">
      <c r="A51" s="10">
        <v>120352</v>
      </c>
      <c r="B51" s="2">
        <v>25</v>
      </c>
      <c r="C51" s="10">
        <v>25</v>
      </c>
      <c r="D51" s="10">
        <v>21</v>
      </c>
      <c r="E51" s="10">
        <v>23</v>
      </c>
      <c r="F51" s="10">
        <v>25</v>
      </c>
      <c r="G51" s="10">
        <v>25</v>
      </c>
      <c r="H51" s="10">
        <v>24</v>
      </c>
      <c r="I51" s="10">
        <v>25</v>
      </c>
      <c r="J51" s="2"/>
      <c r="K51" s="10">
        <v>62</v>
      </c>
      <c r="L51" s="10">
        <v>62</v>
      </c>
      <c r="M51" s="10">
        <v>59</v>
      </c>
      <c r="N51" s="51">
        <v>61</v>
      </c>
      <c r="O51" s="11">
        <v>62</v>
      </c>
      <c r="P51" s="10"/>
      <c r="Q51" s="40"/>
      <c r="R51" s="2">
        <v>59</v>
      </c>
      <c r="S51" s="10">
        <f>IF(T51="",R51,MAX((R51+$R$8)/$R$2,(T51+$T$8)/$T$2)*$R$2-$R$8)</f>
        <v>59</v>
      </c>
      <c r="T51" s="12">
        <v>82</v>
      </c>
      <c r="U51" s="34">
        <f>IF(A51&lt;&gt;"",SUM(B51:I51),"")</f>
        <v>193</v>
      </c>
      <c r="V51" s="10">
        <f>IF(A51&lt;&gt;"",SUM(J51:O51),"")</f>
        <v>306</v>
      </c>
      <c r="W51" s="10">
        <f>IF(A51&lt;&gt;"",SUM(P51:Q51),"")</f>
        <v>0</v>
      </c>
      <c r="X51" s="10">
        <f>IF(A51&lt;&gt;"",SUM(S51:T51),"")</f>
        <v>141</v>
      </c>
      <c r="Y51" s="12">
        <v>3</v>
      </c>
      <c r="Z51" s="12">
        <f>IF(A51&lt;&gt;"",SUM(U51:Y51),"")</f>
        <v>643</v>
      </c>
      <c r="AA51" s="27">
        <f>IF(A51&lt;&gt;"",(Z51+Normalize_To_Add)/(Point_Total_So_Far)*100,"")</f>
        <v>71.809673189131843</v>
      </c>
      <c r="AB51" s="10">
        <f>IF(A51&lt;&gt;"",RANK(AA51,All_Student_XC),"")</f>
        <v>296</v>
      </c>
      <c r="AC51" s="31" t="str">
        <f>IF(A51&lt;&gt;"",CHOOSE(10-MIN(9,TRUNC((AA51+0.5)/10)),"A","B","C","D","F","F","F","F","F","F"),"")</f>
        <v>C</v>
      </c>
      <c r="AD51" s="31" t="str">
        <f>IF(A51&lt;&gt;"",IF(OR(AA51+0.5&gt;=93,AA51+0.5&lt;60),"",IF(MOD(AA51+0.5,10)&gt;=7,"+",IF(MOD(AA51+0.5,10)&lt;3,"-",""))),"")</f>
        <v>-</v>
      </c>
      <c r="AE51" s="31">
        <f>IF(A51&lt;&gt;"",SUM(W51:X51,$W$8:$X$8)/SUM($W$2:$X$2)*100,"")</f>
        <v>43.219346378263687</v>
      </c>
      <c r="AF51" s="31" t="str">
        <f>IF(A51&lt;&gt;"",CHOOSE(10-MIN(9,TRUNC((AE51+0.5)/10)),"A","B","C","D","F","F","F","F","F","F"),"")</f>
        <v>F</v>
      </c>
      <c r="AG51" s="31" t="str">
        <f>IF(A51&lt;&gt;"",IF(OR(AE51+0.5&gt;=93,AE51+0.5&lt;60),"",IF(MOD(AE51+0.5,10)&gt;=7,"+",IF(MOD(AE51+0.5,10)&lt;3,"-",""))),"")</f>
        <v/>
      </c>
      <c r="AH51" s="35">
        <f>IF(A51&lt;&gt;"",MIN(MAX(AA51,AE51),AA51+$AH$8,AE51+$AH$8),"")</f>
        <v>71.809673189131843</v>
      </c>
      <c r="AI51" s="31" t="str">
        <f>IF(A51&lt;&gt;"",CHOOSE(10-MIN(9,TRUNC((AH51+0.5)/10)),"A","B","C","D","F","F","F","F","F","F"),"")</f>
        <v>C</v>
      </c>
      <c r="AJ51" s="31" t="str">
        <f>IF(A51&lt;&gt;"",IF(OR(AH51+0.5&gt;=93,AH51+0.5&lt;60),"",IF(MOD(AH51+0.5,10)&gt;=7,"+",IF(MOD(AH51+0.5,10)&lt;3,"-",""))),"")</f>
        <v>-</v>
      </c>
      <c r="AK51" s="31" t="b">
        <f>IF(A51&lt;&gt;"",OR(AI51&lt;&gt;AC51,AJ51&lt;&gt;AD51),"")</f>
        <v>0</v>
      </c>
      <c r="AL51" s="81">
        <f>IF(AND(A51&lt;&gt;"",U51&gt;0),SUM(U51,$AL$8)/$AL$2*100,"")</f>
        <v>96.5</v>
      </c>
      <c r="AM51" s="24">
        <f>IF(AND(A51&lt;&gt;"",V51&gt;0),SUM(V51,$AM$8)/$AM$2*100,"")</f>
        <v>102</v>
      </c>
      <c r="AN51" s="24" t="str">
        <f>IF(AND(A51&lt;&gt;"",P51&lt;&gt;0),SUM(P51,$AN$8)/$AN$2*100,"")</f>
        <v/>
      </c>
      <c r="AO51" s="24" t="str">
        <f>IF(AND(A51&lt;&gt;"",Q51&lt;&gt;0),SUM(Q51,$AO$8)/$AO$2*100,"")</f>
        <v/>
      </c>
      <c r="AP51" s="24">
        <f>IF(AND(A51&lt;&gt;"",R51&lt;&gt;0),SUM(R51,$AP$8)/$AP$2*100,"")</f>
        <v>44.002659574468083</v>
      </c>
      <c r="AQ51" s="24" t="str">
        <f>IF(AND(A51&lt;&gt;"",W51&gt;0),SUM(W51,$AQ$8)/$AQ$2*100,"")</f>
        <v/>
      </c>
      <c r="AR51" s="24">
        <f>IF(AND(A51&lt;&gt;"",T51&gt;0),SUM(T51,$AR$8)/$AR$2*100,"")</f>
        <v>42.697137580794084</v>
      </c>
      <c r="AS51" s="24">
        <f>IF(AND(A51&lt;&gt;"",X51&lt;&gt;0),SUM(X51,$AS$8)/$AS$2*100,"")</f>
        <v>43.219346378263687</v>
      </c>
      <c r="AT51" s="86">
        <f>IF(A51&lt;&gt;"",SUM(W51:X51,$AT$8)/$AT$2*100,"")</f>
        <v>43.219346378263687</v>
      </c>
      <c r="AU51" s="24">
        <f>AA51</f>
        <v>71.809673189131843</v>
      </c>
      <c r="AV51" s="24"/>
      <c r="AW51" s="27">
        <f>IF(A51&lt;&gt;"",AE51-AA51,"")</f>
        <v>-28.590326810868156</v>
      </c>
      <c r="AY51" s="27">
        <f>AR51-AP51</f>
        <v>-1.3055219936739988</v>
      </c>
      <c r="AZ51" s="27">
        <f>ABS(AY51)</f>
        <v>1.3055219936739988</v>
      </c>
    </row>
    <row r="52" spans="1:54" s="27" customFormat="1" ht="12.75" customHeight="1" x14ac:dyDescent="0.2">
      <c r="A52" s="10">
        <v>120746</v>
      </c>
      <c r="B52" s="2">
        <v>23</v>
      </c>
      <c r="C52" s="10">
        <v>25</v>
      </c>
      <c r="D52" s="10">
        <v>21</v>
      </c>
      <c r="E52" s="10">
        <v>22</v>
      </c>
      <c r="F52" s="10">
        <v>17</v>
      </c>
      <c r="G52" s="10">
        <v>25</v>
      </c>
      <c r="H52" s="10">
        <v>25</v>
      </c>
      <c r="I52" s="10">
        <v>23</v>
      </c>
      <c r="J52" s="2"/>
      <c r="K52" s="10">
        <v>57</v>
      </c>
      <c r="L52" s="10">
        <v>62</v>
      </c>
      <c r="M52" s="10">
        <v>57</v>
      </c>
      <c r="N52" s="51">
        <v>62</v>
      </c>
      <c r="O52" s="11">
        <v>62</v>
      </c>
      <c r="P52" s="10"/>
      <c r="Q52" s="40"/>
      <c r="R52" s="2">
        <v>153</v>
      </c>
      <c r="S52" s="10">
        <f>IF(T52="",R52,MAX((R52+$R$8)/$R$2,(T52+$T$8)/$T$2)*$R$2-$R$8)</f>
        <v>153</v>
      </c>
      <c r="T52" s="12">
        <v>224</v>
      </c>
      <c r="U52" s="34">
        <f>IF(A52&lt;&gt;"",SUM(B52:I52),"")</f>
        <v>181</v>
      </c>
      <c r="V52" s="10">
        <f>IF(A52&lt;&gt;"",SUM(J52:O52),"")</f>
        <v>300</v>
      </c>
      <c r="W52" s="10">
        <f>IF(A52&lt;&gt;"",SUM(P52:Q52),"")</f>
        <v>0</v>
      </c>
      <c r="X52" s="10">
        <f>IF(A52&lt;&gt;"",SUM(S52:T52),"")</f>
        <v>377</v>
      </c>
      <c r="Y52" s="12">
        <v>3</v>
      </c>
      <c r="Z52" s="12">
        <f>IF(A52&lt;&gt;"",SUM(U52:Y52),"")</f>
        <v>861</v>
      </c>
      <c r="AA52" s="27">
        <f>IF(A52&lt;&gt;"",(Z52+Normalize_To_Add)/(Point_Total_So_Far)*100,"")</f>
        <v>93.609673189131854</v>
      </c>
      <c r="AB52" s="10">
        <f>IF(A52&lt;&gt;"",RANK(AA52,All_Student_XC),"")</f>
        <v>47</v>
      </c>
      <c r="AC52" s="31" t="str">
        <f>IF(A52&lt;&gt;"",CHOOSE(10-MIN(9,TRUNC((AA52+0.5)/10)),"A","B","C","D","F","F","F","F","F","F"),"")</f>
        <v>A</v>
      </c>
      <c r="AD52" s="31" t="str">
        <f>IF(A52&lt;&gt;"",IF(OR(AA52+0.5&gt;=93,AA52+0.5&lt;60),"",IF(MOD(AA52+0.5,10)&gt;=7,"+",IF(MOD(AA52+0.5,10)&lt;3,"-",""))),"")</f>
        <v/>
      </c>
      <c r="AE52" s="31">
        <f>IF(A52&lt;&gt;"",SUM(W52:X52,$W$8:$X$8)/SUM($W$2:$X$2)*100,"")</f>
        <v>90.419346378263683</v>
      </c>
      <c r="AF52" s="31" t="str">
        <f>IF(A52&lt;&gt;"",CHOOSE(10-MIN(9,TRUNC((AE52+0.5)/10)),"A","B","C","D","F","F","F","F","F","F"),"")</f>
        <v>A</v>
      </c>
      <c r="AG52" s="31" t="str">
        <f>IF(A52&lt;&gt;"",IF(OR(AE52+0.5&gt;=93,AE52+0.5&lt;60),"",IF(MOD(AE52+0.5,10)&gt;=7,"+",IF(MOD(AE52+0.5,10)&lt;3,"-",""))),"")</f>
        <v>-</v>
      </c>
      <c r="AH52" s="35">
        <f>IF(A52&lt;&gt;"",MIN(MAX(AA52,AE52),AA52+$AH$8,AE52+$AH$8),"")</f>
        <v>93.609673189131854</v>
      </c>
      <c r="AI52" s="31" t="str">
        <f>IF(A52&lt;&gt;"",CHOOSE(10-MIN(9,TRUNC((AH52+0.5)/10)),"A","B","C","D","F","F","F","F","F","F"),"")</f>
        <v>A</v>
      </c>
      <c r="AJ52" s="31" t="str">
        <f>IF(A52&lt;&gt;"",IF(OR(AH52+0.5&gt;=93,AH52+0.5&lt;60),"",IF(MOD(AH52+0.5,10)&gt;=7,"+",IF(MOD(AH52+0.5,10)&lt;3,"-",""))),"")</f>
        <v/>
      </c>
      <c r="AK52" s="31" t="b">
        <f>IF(A52&lt;&gt;"",OR(AI52&lt;&gt;AC52,AJ52&lt;&gt;AD52),"")</f>
        <v>0</v>
      </c>
      <c r="AL52" s="81">
        <f>IF(AND(A52&lt;&gt;"",U52&gt;0),SUM(U52,$AL$8)/$AL$2*100,"")</f>
        <v>90.5</v>
      </c>
      <c r="AM52" s="24">
        <f>IF(AND(A52&lt;&gt;"",V52&gt;0),SUM(V52,$AM$8)/$AM$2*100,"")</f>
        <v>100</v>
      </c>
      <c r="AN52" s="24" t="str">
        <f>IF(AND(A52&lt;&gt;"",P52&lt;&gt;0),SUM(P52,$AN$8)/$AN$2*100,"")</f>
        <v/>
      </c>
      <c r="AO52" s="24" t="str">
        <f>IF(AND(A52&lt;&gt;"",Q52&lt;&gt;0),SUM(Q52,$AO$8)/$AO$2*100,"")</f>
        <v/>
      </c>
      <c r="AP52" s="24">
        <f>IF(AND(A52&lt;&gt;"",R52&lt;&gt;0),SUM(R52,$AP$8)/$AP$2*100,"")</f>
        <v>91.002659574468083</v>
      </c>
      <c r="AQ52" s="24" t="str">
        <f>IF(AND(A52&lt;&gt;"",W52&gt;0),SUM(W52,$AQ$8)/$AQ$2*100,"")</f>
        <v/>
      </c>
      <c r="AR52" s="24">
        <f>IF(AND(A52&lt;&gt;"",T52&gt;0),SUM(T52,$AR$8)/$AR$2*100,"")</f>
        <v>90.03047091412742</v>
      </c>
      <c r="AS52" s="24">
        <f>IF(AND(A52&lt;&gt;"",X52&lt;&gt;0),SUM(X52,$AS$8)/$AS$2*100,"")</f>
        <v>90.419346378263683</v>
      </c>
      <c r="AT52" s="86">
        <f>IF(A52&lt;&gt;"",SUM(W52:X52,$AT$8)/$AT$2*100,"")</f>
        <v>90.419346378263683</v>
      </c>
      <c r="AU52" s="24">
        <f>AA52</f>
        <v>93.609673189131854</v>
      </c>
      <c r="AV52" s="24"/>
      <c r="AW52" s="27">
        <f>IF(A52&lt;&gt;"",AE52-AA52,"")</f>
        <v>-3.1903268108681715</v>
      </c>
      <c r="AY52" s="27">
        <f>AR52-AP52</f>
        <v>-0.97218866034066309</v>
      </c>
      <c r="AZ52" s="27">
        <f>ABS(AY52)</f>
        <v>0.97218866034066309</v>
      </c>
    </row>
    <row r="53" spans="1:54" s="27" customFormat="1" ht="12.75" customHeight="1" x14ac:dyDescent="0.2">
      <c r="A53" s="50">
        <v>121352</v>
      </c>
      <c r="B53" s="2">
        <v>25</v>
      </c>
      <c r="C53" s="50">
        <v>25</v>
      </c>
      <c r="D53" s="10">
        <v>23</v>
      </c>
      <c r="E53" s="10">
        <v>25</v>
      </c>
      <c r="F53" s="10">
        <v>18</v>
      </c>
      <c r="G53" s="10">
        <v>19</v>
      </c>
      <c r="H53" s="10">
        <v>25</v>
      </c>
      <c r="I53" s="10">
        <v>25</v>
      </c>
      <c r="J53" s="2"/>
      <c r="K53" s="10">
        <v>57</v>
      </c>
      <c r="L53" s="10">
        <v>39</v>
      </c>
      <c r="M53" s="10">
        <v>54</v>
      </c>
      <c r="N53" s="51">
        <v>56</v>
      </c>
      <c r="O53" s="11">
        <v>45</v>
      </c>
      <c r="P53" s="10"/>
      <c r="Q53" s="40"/>
      <c r="R53" s="2">
        <v>116</v>
      </c>
      <c r="S53" s="10">
        <f>IF(T53="",R53,MAX((R53+$R$8)/$R$2,(T53+$T$8)/$T$2)*$R$2-$R$8)</f>
        <v>117.05562267931867</v>
      </c>
      <c r="T53" s="62">
        <v>173</v>
      </c>
      <c r="U53" s="10">
        <f>IF(A53&lt;&gt;"",SUM(B53:I53),"")</f>
        <v>185</v>
      </c>
      <c r="V53" s="10">
        <f>IF(A53&lt;&gt;"",SUM(J53:O53),"")</f>
        <v>251</v>
      </c>
      <c r="W53" s="10">
        <f>IF(A53&lt;&gt;"",SUM(P53:Q53),"")</f>
        <v>0</v>
      </c>
      <c r="X53" s="10">
        <f>IF(A53&lt;&gt;"",SUM(S53:T53),"")</f>
        <v>290.05562267931867</v>
      </c>
      <c r="Y53" s="12">
        <v>3</v>
      </c>
      <c r="Z53" s="12">
        <f>IF(A53&lt;&gt;"",SUM(U53:Y53),"")</f>
        <v>729.05562267931873</v>
      </c>
      <c r="AA53" s="27">
        <f>IF(A53&lt;&gt;"",(Z53+Normalize_To_Add)/(Point_Total_So_Far)*100,"")</f>
        <v>80.415235457063716</v>
      </c>
      <c r="AB53" s="10">
        <f>IF(A53&lt;&gt;"",RANK(AA53,All_Student_XC),"")</f>
        <v>203</v>
      </c>
      <c r="AC53" s="31" t="str">
        <f>IF(A53&lt;&gt;"",CHOOSE(10-MIN(9,TRUNC((AA53+0.5)/10)),"A","B","C","D","F","F","F","F","F","F"),"")</f>
        <v>B</v>
      </c>
      <c r="AD53" s="31" t="str">
        <f>IF(A53&lt;&gt;"",IF(OR(AA53+0.5&gt;=93,AA53+0.5&lt;60),"",IF(MOD(AA53+0.5,10)&gt;=7,"+",IF(MOD(AA53+0.5,10)&lt;3,"-",""))),"")</f>
        <v>-</v>
      </c>
      <c r="AE53" s="31">
        <f>IF(A53&lt;&gt;"",SUM(W53:X53,$W$8:$X$8)/SUM($W$2:$X$2)*100,"")</f>
        <v>73.03047091412742</v>
      </c>
      <c r="AF53" s="43" t="str">
        <f>IF(A53&lt;&gt;"",CHOOSE(10-MIN(9,TRUNC((AE53+0.5)/10)),"A","B","C","D","F","F","F","F","F","F"),"")</f>
        <v>C</v>
      </c>
      <c r="AG53" s="43" t="str">
        <f>IF(A53&lt;&gt;"",IF(OR(AE53+0.5&gt;=93,AE53+0.5&lt;60),"",IF(MOD(AE53+0.5,10)&gt;=7,"+",IF(MOD(AE53+0.5,10)&lt;3,"-",""))),"")</f>
        <v/>
      </c>
      <c r="AH53" s="35">
        <f>IF(A53&lt;&gt;"",MIN(MAX(AA53,AE53),AA53+$AH$8,AE53+$AH$8),"")</f>
        <v>80.415235457063716</v>
      </c>
      <c r="AI53" s="31" t="str">
        <f>IF(A53&lt;&gt;"",CHOOSE(10-MIN(9,TRUNC((AH53+0.5)/10)),"A","B","C","D","F","F","F","F","F","F"),"")</f>
        <v>B</v>
      </c>
      <c r="AJ53" s="31" t="str">
        <f>IF(A53&lt;&gt;"",IF(OR(AH53+0.5&gt;=93,AH53+0.5&lt;60),"",IF(MOD(AH53+0.5,10)&gt;=7,"+",IF(MOD(AH53+0.5,10)&lt;3,"-",""))),"")</f>
        <v>-</v>
      </c>
      <c r="AK53" s="31" t="b">
        <f>IF(A53&lt;&gt;"",OR(AI53&lt;&gt;AC53,AJ53&lt;&gt;AD53),"")</f>
        <v>0</v>
      </c>
      <c r="AL53" s="81">
        <f>IF(AND(A53&lt;&gt;"",U53&gt;0),SUM(U53,$AL$8)/$AL$2*100,"")</f>
        <v>92.5</v>
      </c>
      <c r="AM53" s="24">
        <f>IF(AND(A53&lt;&gt;"",V53&gt;0),SUM(V53,$AM$8)/$AM$2*100,"")</f>
        <v>83.666666666666671</v>
      </c>
      <c r="AN53" s="24" t="str">
        <f>IF(AND(A53&lt;&gt;"",P53&lt;&gt;0),SUM(P53,$AN$8)/$AN$2*100,"")</f>
        <v/>
      </c>
      <c r="AO53" s="24" t="str">
        <f>IF(AND(A53&lt;&gt;"",Q53&lt;&gt;0),SUM(Q53,$AO$8)/$AO$2*100,"")</f>
        <v/>
      </c>
      <c r="AP53" s="24">
        <f>IF(AND(A53&lt;&gt;"",R53&lt;&gt;0),SUM(R53,$AP$8)/$AP$2*100,"")</f>
        <v>72.502659574468083</v>
      </c>
      <c r="AQ53" s="24" t="str">
        <f>IF(AND(A53&lt;&gt;"",W53&gt;0),SUM(W53,$AQ$8)/$AQ$2*100,"")</f>
        <v/>
      </c>
      <c r="AR53" s="24">
        <f>IF(AND(A53&lt;&gt;"",T53&gt;0),SUM(T53,$AR$8)/$AR$2*100,"")</f>
        <v>73.03047091412742</v>
      </c>
      <c r="AS53" s="24">
        <f>IF(AND(A53&lt;&gt;"",X53&lt;&gt;0),SUM(X53,$AS$8)/$AS$2*100,"")</f>
        <v>73.03047091412742</v>
      </c>
      <c r="AT53" s="86">
        <f>IF(A53&lt;&gt;"",SUM(W53:X53,$AT$8)/$AT$2*100,"")</f>
        <v>73.03047091412742</v>
      </c>
      <c r="AU53" s="24">
        <f>AA53</f>
        <v>80.415235457063716</v>
      </c>
      <c r="AV53" s="24"/>
      <c r="AW53" s="27">
        <f>IF(A53&lt;&gt;"",AE53-AA53,"")</f>
        <v>-7.3847645429362956</v>
      </c>
      <c r="AY53" s="27">
        <f>AR53-AP53</f>
        <v>0.52781133965933691</v>
      </c>
      <c r="AZ53" s="27">
        <f>ABS(AY53)</f>
        <v>0.52781133965933691</v>
      </c>
    </row>
    <row r="54" spans="1:54" s="27" customFormat="1" ht="12.75" customHeight="1" x14ac:dyDescent="0.2">
      <c r="A54" s="50">
        <v>124900</v>
      </c>
      <c r="B54" s="2">
        <v>10</v>
      </c>
      <c r="C54" s="50">
        <v>22</v>
      </c>
      <c r="D54" s="10">
        <v>24</v>
      </c>
      <c r="E54" s="10">
        <v>24</v>
      </c>
      <c r="F54" s="10">
        <v>17</v>
      </c>
      <c r="G54" s="10">
        <v>25</v>
      </c>
      <c r="H54" s="10">
        <v>14</v>
      </c>
      <c r="I54" s="10">
        <v>21</v>
      </c>
      <c r="J54" s="2"/>
      <c r="K54" s="10">
        <v>38</v>
      </c>
      <c r="L54" s="10">
        <v>12</v>
      </c>
      <c r="M54" s="10">
        <v>52</v>
      </c>
      <c r="N54" s="51">
        <v>51</v>
      </c>
      <c r="O54" s="11">
        <v>60</v>
      </c>
      <c r="P54" s="10"/>
      <c r="Q54" s="40"/>
      <c r="R54" s="2">
        <v>126</v>
      </c>
      <c r="S54" s="10">
        <f>IF(T54="",R54,MAX((R54+$R$8)/$R$2,(T54+$T$8)/$T$2)*$R$2-$R$8)</f>
        <v>126</v>
      </c>
      <c r="T54" s="62">
        <v>136</v>
      </c>
      <c r="U54" s="10">
        <f>IF(A54&lt;&gt;"",SUM(B54:I54),"")</f>
        <v>157</v>
      </c>
      <c r="V54" s="10">
        <f>IF(A54&lt;&gt;"",SUM(J54:O54),"")</f>
        <v>213</v>
      </c>
      <c r="W54" s="10">
        <f>IF(A54&lt;&gt;"",SUM(P54:Q54),"")</f>
        <v>0</v>
      </c>
      <c r="X54" s="10">
        <f>IF(A54&lt;&gt;"",SUM(S54:T54),"")</f>
        <v>262</v>
      </c>
      <c r="Y54" s="12">
        <v>3</v>
      </c>
      <c r="Z54" s="12">
        <f>IF(A54&lt;&gt;"",SUM(U54:Y54),"")</f>
        <v>635</v>
      </c>
      <c r="AA54" s="27">
        <f>IF(A54&lt;&gt;"",(Z54+Normalize_To_Add)/(Point_Total_So_Far)*100,"")</f>
        <v>71.009673189131846</v>
      </c>
      <c r="AB54" s="10">
        <f>IF(A54&lt;&gt;"",RANK(AA54,All_Student_XC),"")</f>
        <v>302</v>
      </c>
      <c r="AC54" s="31" t="str">
        <f>IF(A54&lt;&gt;"",CHOOSE(10-MIN(9,TRUNC((AA54+0.5)/10)),"A","B","C","D","F","F","F","F","F","F"),"")</f>
        <v>C</v>
      </c>
      <c r="AD54" s="31" t="str">
        <f>IF(A54&lt;&gt;"",IF(OR(AA54+0.5&gt;=93,AA54+0.5&lt;60),"",IF(MOD(AA54+0.5,10)&gt;=7,"+",IF(MOD(AA54+0.5,10)&lt;3,"-",""))),"")</f>
        <v>-</v>
      </c>
      <c r="AE54" s="31">
        <f>IF(A54&lt;&gt;"",SUM(W54:X54,$W$8:$X$8)/SUM($W$2:$X$2)*100,"")</f>
        <v>67.419346378263683</v>
      </c>
      <c r="AF54" s="43" t="str">
        <f>IF(A54&lt;&gt;"",CHOOSE(10-MIN(9,TRUNC((AE54+0.5)/10)),"A","B","C","D","F","F","F","F","F","F"),"")</f>
        <v>D</v>
      </c>
      <c r="AG54" s="43" t="str">
        <f>IF(A54&lt;&gt;"",IF(OR(AE54+0.5&gt;=93,AE54+0.5&lt;60),"",IF(MOD(AE54+0.5,10)&gt;=7,"+",IF(MOD(AE54+0.5,10)&lt;3,"-",""))),"")</f>
        <v>+</v>
      </c>
      <c r="AH54" s="35">
        <f>IF(A54&lt;&gt;"",MIN(MAX(AA54,AE54),AA54+$AH$8,AE54+$AH$8),"")</f>
        <v>71.009673189131846</v>
      </c>
      <c r="AI54" s="31" t="str">
        <f>IF(A54&lt;&gt;"",CHOOSE(10-MIN(9,TRUNC((AH54+0.5)/10)),"A","B","C","D","F","F","F","F","F","F"),"")</f>
        <v>C</v>
      </c>
      <c r="AJ54" s="31" t="str">
        <f>IF(A54&lt;&gt;"",IF(OR(AH54+0.5&gt;=93,AH54+0.5&lt;60),"",IF(MOD(AH54+0.5,10)&gt;=7,"+",IF(MOD(AH54+0.5,10)&lt;3,"-",""))),"")</f>
        <v>-</v>
      </c>
      <c r="AK54" s="31" t="b">
        <f>IF(A54&lt;&gt;"",OR(AI54&lt;&gt;AC54,AJ54&lt;&gt;AD54),"")</f>
        <v>0</v>
      </c>
      <c r="AL54" s="81">
        <f>IF(AND(A54&lt;&gt;"",U54&gt;0),SUM(U54,$AL$8)/$AL$2*100,"")</f>
        <v>78.5</v>
      </c>
      <c r="AM54" s="24">
        <f>IF(AND(A54&lt;&gt;"",V54&gt;0),SUM(V54,$AM$8)/$AM$2*100,"")</f>
        <v>71</v>
      </c>
      <c r="AN54" s="24" t="str">
        <f>IF(AND(A54&lt;&gt;"",P54&lt;&gt;0),SUM(P54,$AN$8)/$AN$2*100,"")</f>
        <v/>
      </c>
      <c r="AO54" s="24" t="str">
        <f>IF(AND(A54&lt;&gt;"",Q54&lt;&gt;0),SUM(Q54,$AO$8)/$AO$2*100,"")</f>
        <v/>
      </c>
      <c r="AP54" s="24">
        <f>IF(AND(A54&lt;&gt;"",R54&lt;&gt;0),SUM(R54,$AP$8)/$AP$2*100,"")</f>
        <v>77.502659574468083</v>
      </c>
      <c r="AQ54" s="24" t="str">
        <f>IF(AND(A54&lt;&gt;"",W54&gt;0),SUM(W54,$AQ$8)/$AQ$2*100,"")</f>
        <v/>
      </c>
      <c r="AR54" s="24">
        <f>IF(AND(A54&lt;&gt;"",T54&gt;0),SUM(T54,$AR$8)/$AR$2*100,"")</f>
        <v>60.697137580794092</v>
      </c>
      <c r="AS54" s="24">
        <f>IF(AND(A54&lt;&gt;"",X54&lt;&gt;0),SUM(X54,$AS$8)/$AS$2*100,"")</f>
        <v>67.419346378263683</v>
      </c>
      <c r="AT54" s="86">
        <f>IF(A54&lt;&gt;"",SUM(W54:X54,$AT$8)/$AT$2*100,"")</f>
        <v>67.419346378263683</v>
      </c>
      <c r="AU54" s="24">
        <f>AA54</f>
        <v>71.009673189131846</v>
      </c>
      <c r="AV54" s="24"/>
      <c r="AW54" s="27">
        <f>IF(A54&lt;&gt;"",AE54-AA54,"")</f>
        <v>-3.590326810868163</v>
      </c>
      <c r="AY54" s="27">
        <f>AR54-AP54</f>
        <v>-16.805521993673992</v>
      </c>
      <c r="AZ54" s="27">
        <f>ABS(AY54)</f>
        <v>16.805521993673992</v>
      </c>
    </row>
    <row r="55" spans="1:54" s="27" customFormat="1" ht="12.75" customHeight="1" x14ac:dyDescent="0.2">
      <c r="A55" s="10">
        <v>129040</v>
      </c>
      <c r="B55" s="2">
        <v>25</v>
      </c>
      <c r="C55" s="10">
        <v>23</v>
      </c>
      <c r="D55" s="10">
        <v>19</v>
      </c>
      <c r="E55" s="10">
        <v>14</v>
      </c>
      <c r="F55" s="10">
        <v>15</v>
      </c>
      <c r="G55" s="10">
        <v>19</v>
      </c>
      <c r="H55" s="10">
        <v>14</v>
      </c>
      <c r="I55" s="10">
        <v>23</v>
      </c>
      <c r="J55" s="2"/>
      <c r="K55" s="10">
        <v>61</v>
      </c>
      <c r="L55" s="10">
        <v>62</v>
      </c>
      <c r="M55" s="10">
        <v>57</v>
      </c>
      <c r="N55" s="51">
        <v>58</v>
      </c>
      <c r="O55" s="11">
        <v>62</v>
      </c>
      <c r="P55" s="10"/>
      <c r="Q55" s="40"/>
      <c r="R55" s="2">
        <v>100</v>
      </c>
      <c r="S55" s="10">
        <f>IF(T55="",R55,MAX((R55+$R$8)/$R$2,(T55+$T$8)/$T$2)*$R$2-$R$8)</f>
        <v>100</v>
      </c>
      <c r="T55" s="12">
        <v>114</v>
      </c>
      <c r="U55" s="34">
        <f>IF(A55&lt;&gt;"",SUM(B55:I55),"")</f>
        <v>152</v>
      </c>
      <c r="V55" s="10">
        <f>IF(A55&lt;&gt;"",SUM(J55:O55),"")</f>
        <v>300</v>
      </c>
      <c r="W55" s="10">
        <f>IF(A55&lt;&gt;"",SUM(P55:Q55),"")</f>
        <v>0</v>
      </c>
      <c r="X55" s="10">
        <f>IF(A55&lt;&gt;"",SUM(S55:T55),"")</f>
        <v>214</v>
      </c>
      <c r="Y55" s="12">
        <v>3</v>
      </c>
      <c r="Z55" s="12">
        <f>IF(A55&lt;&gt;"",SUM(U55:Y55),"")</f>
        <v>669</v>
      </c>
      <c r="AA55" s="27">
        <f>IF(A55&lt;&gt;"",(Z55+Normalize_To_Add)/(Point_Total_So_Far)*100,"")</f>
        <v>74.409673189131837</v>
      </c>
      <c r="AB55" s="10">
        <f>IF(A55&lt;&gt;"",RANK(AA55,All_Student_XC),"")</f>
        <v>279</v>
      </c>
      <c r="AC55" s="31" t="str">
        <f>IF(A55&lt;&gt;"",CHOOSE(10-MIN(9,TRUNC((AA55+0.5)/10)),"A","B","C","D","F","F","F","F","F","F"),"")</f>
        <v>C</v>
      </c>
      <c r="AD55" s="31" t="str">
        <f>IF(A55&lt;&gt;"",IF(OR(AA55+0.5&gt;=93,AA55+0.5&lt;60),"",IF(MOD(AA55+0.5,10)&gt;=7,"+",IF(MOD(AA55+0.5,10)&lt;3,"-",""))),"")</f>
        <v/>
      </c>
      <c r="AE55" s="31">
        <f>IF(A55&lt;&gt;"",SUM(W55:X55,$W$8:$X$8)/SUM($W$2:$X$2)*100,"")</f>
        <v>57.819346378263681</v>
      </c>
      <c r="AF55" s="31" t="str">
        <f>IF(A55&lt;&gt;"",CHOOSE(10-MIN(9,TRUNC((AE55+0.5)/10)),"A","B","C","D","F","F","F","F","F","F"),"")</f>
        <v>F</v>
      </c>
      <c r="AG55" s="31" t="str">
        <f>IF(A55&lt;&gt;"",IF(OR(AE55+0.5&gt;=93,AE55+0.5&lt;60),"",IF(MOD(AE55+0.5,10)&gt;=7,"+",IF(MOD(AE55+0.5,10)&lt;3,"-",""))),"")</f>
        <v/>
      </c>
      <c r="AH55" s="35">
        <f>IF(A55&lt;&gt;"",MIN(MAX(AA55,AE55),AA55+$AH$8,AE55+$AH$8),"")</f>
        <v>74.409673189131837</v>
      </c>
      <c r="AI55" s="31" t="str">
        <f>IF(A55&lt;&gt;"",CHOOSE(10-MIN(9,TRUNC((AH55+0.5)/10)),"A","B","C","D","F","F","F","F","F","F"),"")</f>
        <v>C</v>
      </c>
      <c r="AJ55" s="31" t="str">
        <f>IF(A55&lt;&gt;"",IF(OR(AH55+0.5&gt;=93,AH55+0.5&lt;60),"",IF(MOD(AH55+0.5,10)&gt;=7,"+",IF(MOD(AH55+0.5,10)&lt;3,"-",""))),"")</f>
        <v/>
      </c>
      <c r="AK55" s="31" t="b">
        <f>IF(A55&lt;&gt;"",OR(AI55&lt;&gt;AC55,AJ55&lt;&gt;AD55),"")</f>
        <v>0</v>
      </c>
      <c r="AL55" s="81">
        <f>IF(AND(A55&lt;&gt;"",U55&gt;0),SUM(U55,$AL$8)/$AL$2*100,"")</f>
        <v>76</v>
      </c>
      <c r="AM55" s="24">
        <f>IF(AND(A55&lt;&gt;"",V55&gt;0),SUM(V55,$AM$8)/$AM$2*100,"")</f>
        <v>100</v>
      </c>
      <c r="AN55" s="24" t="str">
        <f>IF(AND(A55&lt;&gt;"",P55&lt;&gt;0),SUM(P55,$AN$8)/$AN$2*100,"")</f>
        <v/>
      </c>
      <c r="AO55" s="24" t="str">
        <f>IF(AND(A55&lt;&gt;"",Q55&lt;&gt;0),SUM(Q55,$AO$8)/$AO$2*100,"")</f>
        <v/>
      </c>
      <c r="AP55" s="24">
        <f>IF(AND(A55&lt;&gt;"",R55&lt;&gt;0),SUM(R55,$AP$8)/$AP$2*100,"")</f>
        <v>64.502659574468083</v>
      </c>
      <c r="AQ55" s="24" t="str">
        <f>IF(AND(A55&lt;&gt;"",W55&gt;0),SUM(W55,$AQ$8)/$AQ$2*100,"")</f>
        <v/>
      </c>
      <c r="AR55" s="24">
        <f>IF(AND(A55&lt;&gt;"",T55&gt;0),SUM(T55,$AR$8)/$AR$2*100,"")</f>
        <v>53.363804247460756</v>
      </c>
      <c r="AS55" s="24">
        <f>IF(AND(A55&lt;&gt;"",X55&lt;&gt;0),SUM(X55,$AS$8)/$AS$2*100,"")</f>
        <v>57.819346378263681</v>
      </c>
      <c r="AT55" s="86">
        <f>IF(A55&lt;&gt;"",SUM(W55:X55,$AT$8)/$AT$2*100,"")</f>
        <v>57.819346378263681</v>
      </c>
      <c r="AU55" s="24">
        <f>AA55</f>
        <v>74.409673189131837</v>
      </c>
      <c r="AV55" s="24"/>
      <c r="AW55" s="27">
        <f>IF(A55&lt;&gt;"",AE55-AA55,"")</f>
        <v>-16.590326810868156</v>
      </c>
      <c r="AY55" s="27">
        <f>AR55-AP55</f>
        <v>-11.138855327007327</v>
      </c>
      <c r="AZ55" s="27">
        <f>ABS(AY55)</f>
        <v>11.138855327007327</v>
      </c>
    </row>
    <row r="56" spans="1:54" s="27" customFormat="1" ht="12.75" customHeight="1" x14ac:dyDescent="0.2">
      <c r="A56" s="10">
        <v>129386</v>
      </c>
      <c r="B56" s="2">
        <v>19</v>
      </c>
      <c r="C56" s="10">
        <v>18</v>
      </c>
      <c r="D56" s="10">
        <v>16</v>
      </c>
      <c r="E56" s="10">
        <v>24</v>
      </c>
      <c r="F56" s="10">
        <v>24</v>
      </c>
      <c r="G56" s="10">
        <v>16</v>
      </c>
      <c r="H56" s="10">
        <v>6</v>
      </c>
      <c r="I56" s="10">
        <v>22</v>
      </c>
      <c r="J56" s="2"/>
      <c r="K56" s="10">
        <v>19</v>
      </c>
      <c r="L56" s="10">
        <v>5</v>
      </c>
      <c r="M56" s="10">
        <v>60</v>
      </c>
      <c r="N56" s="51">
        <v>58</v>
      </c>
      <c r="O56" s="11">
        <v>23</v>
      </c>
      <c r="P56" s="10"/>
      <c r="Q56" s="40"/>
      <c r="R56" s="2">
        <v>130</v>
      </c>
      <c r="S56" s="10">
        <f>IF(T56="",R56,MAX((R56+$R$8)/$R$2,(T56+$T$8)/$T$2)*$R$2-$R$8)</f>
        <v>130</v>
      </c>
      <c r="T56" s="12">
        <v>172</v>
      </c>
      <c r="U56" s="34">
        <f>IF(A56&lt;&gt;"",SUM(B56:I56),"")</f>
        <v>145</v>
      </c>
      <c r="V56" s="10">
        <f>IF(A56&lt;&gt;"",SUM(J56:O56),"")</f>
        <v>165</v>
      </c>
      <c r="W56" s="10">
        <f>IF(A56&lt;&gt;"",SUM(P56:Q56),"")</f>
        <v>0</v>
      </c>
      <c r="X56" s="10">
        <f>IF(A56&lt;&gt;"",SUM(S56:T56),"")</f>
        <v>302</v>
      </c>
      <c r="Y56" s="12">
        <v>3</v>
      </c>
      <c r="Z56" s="12">
        <f>IF(A56&lt;&gt;"",SUM(U56:Y56),"")</f>
        <v>615</v>
      </c>
      <c r="AA56" s="27">
        <f>IF(A56&lt;&gt;"",(Z56+Normalize_To_Add)/(Point_Total_So_Far)*100,"")</f>
        <v>69.009673189131846</v>
      </c>
      <c r="AB56" s="10">
        <f>IF(A56&lt;&gt;"",RANK(AA56,All_Student_XC),"")</f>
        <v>320</v>
      </c>
      <c r="AC56" s="31" t="str">
        <f>IF(A56&lt;&gt;"",CHOOSE(10-MIN(9,TRUNC((AA56+0.5)/10)),"A","B","C","D","F","F","F","F","F","F"),"")</f>
        <v>D</v>
      </c>
      <c r="AD56" s="31" t="str">
        <f>IF(A56&lt;&gt;"",IF(OR(AA56+0.5&gt;=93,AA56+0.5&lt;60),"",IF(MOD(AA56+0.5,10)&gt;=7,"+",IF(MOD(AA56+0.5,10)&lt;3,"-",""))),"")</f>
        <v>+</v>
      </c>
      <c r="AE56" s="31">
        <f>IF(A56&lt;&gt;"",SUM(W56:X56,$W$8:$X$8)/SUM($W$2:$X$2)*100,"")</f>
        <v>75.419346378263683</v>
      </c>
      <c r="AF56" s="31" t="str">
        <f>IF(A56&lt;&gt;"",CHOOSE(10-MIN(9,TRUNC((AE56+0.5)/10)),"A","B","C","D","F","F","F","F","F","F"),"")</f>
        <v>C</v>
      </c>
      <c r="AG56" s="31" t="str">
        <f>IF(A56&lt;&gt;"",IF(OR(AE56+0.5&gt;=93,AE56+0.5&lt;60),"",IF(MOD(AE56+0.5,10)&gt;=7,"+",IF(MOD(AE56+0.5,10)&lt;3,"-",""))),"")</f>
        <v/>
      </c>
      <c r="AH56" s="35">
        <f>IF(A56&lt;&gt;"",MIN(MAX(AA56,AE56),AA56+$AH$8,AE56+$AH$8),"")</f>
        <v>75.419346378263683</v>
      </c>
      <c r="AI56" s="31" t="str">
        <f>IF(A56&lt;&gt;"",CHOOSE(10-MIN(9,TRUNC((AH56+0.5)/10)),"A","B","C","D","F","F","F","F","F","F"),"")</f>
        <v>C</v>
      </c>
      <c r="AJ56" s="31" t="str">
        <f>IF(A56&lt;&gt;"",IF(OR(AH56+0.5&gt;=93,AH56+0.5&lt;60),"",IF(MOD(AH56+0.5,10)&gt;=7,"+",IF(MOD(AH56+0.5,10)&lt;3,"-",""))),"")</f>
        <v/>
      </c>
      <c r="AK56" s="31" t="b">
        <f>IF(A56&lt;&gt;"",OR(AI56&lt;&gt;AC56,AJ56&lt;&gt;AD56),"")</f>
        <v>1</v>
      </c>
      <c r="AL56" s="81">
        <f>IF(AND(A56&lt;&gt;"",U56&gt;0),SUM(U56,$AL$8)/$AL$2*100,"")</f>
        <v>72.5</v>
      </c>
      <c r="AM56" s="24">
        <f>IF(AND(A56&lt;&gt;"",V56&gt;0),SUM(V56,$AM$8)/$AM$2*100,"")</f>
        <v>55.000000000000007</v>
      </c>
      <c r="AN56" s="24" t="str">
        <f>IF(AND(A56&lt;&gt;"",P56&lt;&gt;0),SUM(P56,$AN$8)/$AN$2*100,"")</f>
        <v/>
      </c>
      <c r="AO56" s="24" t="str">
        <f>IF(AND(A56&lt;&gt;"",Q56&lt;&gt;0),SUM(Q56,$AO$8)/$AO$2*100,"")</f>
        <v/>
      </c>
      <c r="AP56" s="24">
        <f>IF(AND(A56&lt;&gt;"",R56&lt;&gt;0),SUM(R56,$AP$8)/$AP$2*100,"")</f>
        <v>79.502659574468083</v>
      </c>
      <c r="AQ56" s="24" t="str">
        <f>IF(AND(A56&lt;&gt;"",W56&gt;0),SUM(W56,$AQ$8)/$AQ$2*100,"")</f>
        <v/>
      </c>
      <c r="AR56" s="24">
        <f>IF(AND(A56&lt;&gt;"",T56&gt;0),SUM(T56,$AR$8)/$AR$2*100,"")</f>
        <v>72.697137580794092</v>
      </c>
      <c r="AS56" s="24">
        <f>IF(AND(A56&lt;&gt;"",X56&lt;&gt;0),SUM(X56,$AS$8)/$AS$2*100,"")</f>
        <v>75.419346378263683</v>
      </c>
      <c r="AT56" s="86">
        <f>IF(A56&lt;&gt;"",SUM(W56:X56,$AT$8)/$AT$2*100,"")</f>
        <v>75.419346378263683</v>
      </c>
      <c r="AU56" s="24">
        <f>AA56</f>
        <v>69.009673189131846</v>
      </c>
      <c r="AV56" s="24"/>
      <c r="AW56" s="27">
        <f>IF(A56&lt;&gt;"",AE56-AA56,"")</f>
        <v>6.409673189131837</v>
      </c>
      <c r="AY56" s="27">
        <f>AR56-AP56</f>
        <v>-6.8055219936739917</v>
      </c>
      <c r="AZ56" s="27">
        <f>ABS(AY56)</f>
        <v>6.8055219936739917</v>
      </c>
      <c r="BB56" s="27">
        <f>AVERAGE(B56:I56)</f>
        <v>18.125</v>
      </c>
    </row>
    <row r="57" spans="1:54" s="27" customFormat="1" ht="12.75" customHeight="1" x14ac:dyDescent="0.2">
      <c r="A57" s="50">
        <v>130304</v>
      </c>
      <c r="B57" s="2">
        <v>19</v>
      </c>
      <c r="C57" s="50">
        <v>21</v>
      </c>
      <c r="D57" s="10">
        <v>23</v>
      </c>
      <c r="E57" s="10">
        <v>25</v>
      </c>
      <c r="F57" s="10">
        <v>24</v>
      </c>
      <c r="G57" s="10">
        <v>25</v>
      </c>
      <c r="H57" s="10">
        <v>24</v>
      </c>
      <c r="I57" s="10">
        <v>22</v>
      </c>
      <c r="J57" s="2"/>
      <c r="K57" s="10">
        <v>58</v>
      </c>
      <c r="L57" s="10">
        <v>42</v>
      </c>
      <c r="M57" s="10">
        <v>55</v>
      </c>
      <c r="N57" s="51">
        <v>54</v>
      </c>
      <c r="O57" s="11">
        <v>60</v>
      </c>
      <c r="P57" s="10"/>
      <c r="Q57" s="40"/>
      <c r="R57" s="2">
        <v>148</v>
      </c>
      <c r="S57" s="10">
        <f>IF(T57="",R57,MAX((R57+$R$8)/$R$2,(T57+$T$8)/$T$2)*$R$2-$R$8)</f>
        <v>148</v>
      </c>
      <c r="T57" s="62">
        <v>130</v>
      </c>
      <c r="U57" s="10">
        <f>IF(A57&lt;&gt;"",SUM(B57:I57),"")</f>
        <v>183</v>
      </c>
      <c r="V57" s="10">
        <f>IF(A57&lt;&gt;"",SUM(J57:O57),"")</f>
        <v>269</v>
      </c>
      <c r="W57" s="10">
        <f>IF(A57&lt;&gt;"",SUM(P57:Q57),"")</f>
        <v>0</v>
      </c>
      <c r="X57" s="10">
        <f>IF(A57&lt;&gt;"",SUM(S57:T57),"")</f>
        <v>278</v>
      </c>
      <c r="Y57" s="12" t="s">
        <v>69</v>
      </c>
      <c r="Z57" s="12">
        <f>IF(A57&lt;&gt;"",SUM(U57:Y57),"")</f>
        <v>730</v>
      </c>
      <c r="AA57" s="27">
        <f>IF(A57&lt;&gt;"",(Z57+Normalize_To_Add)/(Point_Total_So_Far)*100,"")</f>
        <v>80.509673189131846</v>
      </c>
      <c r="AB57" s="10">
        <f>IF(A57&lt;&gt;"",RANK(AA57,All_Student_XC),"")</f>
        <v>201</v>
      </c>
      <c r="AC57" s="31" t="str">
        <f>IF(A57&lt;&gt;"",CHOOSE(10-MIN(9,TRUNC((AA57+0.5)/10)),"A","B","C","D","F","F","F","F","F","F"),"")</f>
        <v>B</v>
      </c>
      <c r="AD57" s="31" t="str">
        <f>IF(A57&lt;&gt;"",IF(OR(AA57+0.5&gt;=93,AA57+0.5&lt;60),"",IF(MOD(AA57+0.5,10)&gt;=7,"+",IF(MOD(AA57+0.5,10)&lt;3,"-",""))),"")</f>
        <v>-</v>
      </c>
      <c r="AE57" s="31">
        <f>IF(A57&lt;&gt;"",SUM(W57:X57,$W$8:$X$8)/SUM($W$2:$X$2)*100,"")</f>
        <v>70.619346378263685</v>
      </c>
      <c r="AF57" s="43" t="str">
        <f>IF(A57&lt;&gt;"",CHOOSE(10-MIN(9,TRUNC((AE57+0.5)/10)),"A","B","C","D","F","F","F","F","F","F"),"")</f>
        <v>C</v>
      </c>
      <c r="AG57" s="43" t="str">
        <f>IF(A57&lt;&gt;"",IF(OR(AE57+0.5&gt;=93,AE57+0.5&lt;60),"",IF(MOD(AE57+0.5,10)&gt;=7,"+",IF(MOD(AE57+0.5,10)&lt;3,"-",""))),"")</f>
        <v>-</v>
      </c>
      <c r="AH57" s="35">
        <f>IF(A57&lt;&gt;"",MIN(MAX(AA57,AE57),AA57+$AH$8,AE57+$AH$8),"")</f>
        <v>80.509673189131846</v>
      </c>
      <c r="AI57" s="31" t="str">
        <f>IF(A57&lt;&gt;"",CHOOSE(10-MIN(9,TRUNC((AH57+0.5)/10)),"A","B","C","D","F","F","F","F","F","F"),"")</f>
        <v>B</v>
      </c>
      <c r="AJ57" s="31" t="str">
        <f>IF(A57&lt;&gt;"",IF(OR(AH57+0.5&gt;=93,AH57+0.5&lt;60),"",IF(MOD(AH57+0.5,10)&gt;=7,"+",IF(MOD(AH57+0.5,10)&lt;3,"-",""))),"")</f>
        <v>-</v>
      </c>
      <c r="AK57" s="31" t="b">
        <f>IF(A57&lt;&gt;"",OR(AI57&lt;&gt;AC57,AJ57&lt;&gt;AD57),"")</f>
        <v>0</v>
      </c>
      <c r="AL57" s="81">
        <f>IF(AND(A57&lt;&gt;"",U57&gt;0),SUM(U57,$AL$8)/$AL$2*100,"")</f>
        <v>91.5</v>
      </c>
      <c r="AM57" s="24">
        <f>IF(AND(A57&lt;&gt;"",V57&gt;0),SUM(V57,$AM$8)/$AM$2*100,"")</f>
        <v>89.666666666666657</v>
      </c>
      <c r="AN57" s="24" t="str">
        <f>IF(AND(A57&lt;&gt;"",P57&lt;&gt;0),SUM(P57,$AN$8)/$AN$2*100,"")</f>
        <v/>
      </c>
      <c r="AO57" s="24" t="str">
        <f>IF(AND(A57&lt;&gt;"",Q57&lt;&gt;0),SUM(Q57,$AO$8)/$AO$2*100,"")</f>
        <v/>
      </c>
      <c r="AP57" s="24">
        <f>IF(AND(A57&lt;&gt;"",R57&lt;&gt;0),SUM(R57,$AP$8)/$AP$2*100,"")</f>
        <v>88.502659574468083</v>
      </c>
      <c r="AQ57" s="24" t="str">
        <f>IF(AND(A57&lt;&gt;"",W57&gt;0),SUM(W57,$AQ$8)/$AQ$2*100,"")</f>
        <v/>
      </c>
      <c r="AR57" s="24">
        <f>IF(AND(A57&lt;&gt;"",T57&gt;0),SUM(T57,$AR$8)/$AR$2*100,"")</f>
        <v>58.697137580794092</v>
      </c>
      <c r="AS57" s="24">
        <f>IF(AND(A57&lt;&gt;"",X57&lt;&gt;0),SUM(X57,$AS$8)/$AS$2*100,"")</f>
        <v>70.619346378263685</v>
      </c>
      <c r="AT57" s="86">
        <f>IF(A57&lt;&gt;"",SUM(W57:X57,$AT$8)/$AT$2*100,"")</f>
        <v>70.619346378263685</v>
      </c>
      <c r="AU57" s="24">
        <f>AA57</f>
        <v>80.509673189131846</v>
      </c>
      <c r="AV57" s="24"/>
      <c r="AW57" s="27">
        <f>IF(A57&lt;&gt;"",AE57-AA57,"")</f>
        <v>-9.8903268108681601</v>
      </c>
      <c r="AY57" s="27">
        <f>AR57-AP57</f>
        <v>-29.805521993673992</v>
      </c>
      <c r="AZ57" s="27">
        <f>ABS(AY57)</f>
        <v>29.805521993673992</v>
      </c>
    </row>
    <row r="58" spans="1:54" s="27" customFormat="1" ht="12.75" customHeight="1" x14ac:dyDescent="0.2">
      <c r="A58" s="10">
        <v>141876</v>
      </c>
      <c r="B58" s="2">
        <v>25</v>
      </c>
      <c r="C58" s="10">
        <v>25</v>
      </c>
      <c r="D58" s="10">
        <v>25</v>
      </c>
      <c r="E58" s="10">
        <v>24</v>
      </c>
      <c r="F58" s="10">
        <v>25</v>
      </c>
      <c r="G58" s="10">
        <v>25</v>
      </c>
      <c r="H58" s="10">
        <v>14</v>
      </c>
      <c r="I58" s="10">
        <v>24</v>
      </c>
      <c r="J58" s="2"/>
      <c r="K58" s="10">
        <v>60</v>
      </c>
      <c r="L58" s="10">
        <v>61</v>
      </c>
      <c r="M58" s="10">
        <v>60</v>
      </c>
      <c r="N58" s="51">
        <v>61</v>
      </c>
      <c r="O58" s="11">
        <v>60</v>
      </c>
      <c r="P58" s="10"/>
      <c r="Q58" s="40"/>
      <c r="R58" s="2">
        <v>155</v>
      </c>
      <c r="S58" s="10">
        <f>IF(T58="",R58,MAX((R58+$R$8)/$R$2,(T58+$T$8)/$T$2)*$R$2-$R$8)</f>
        <v>155</v>
      </c>
      <c r="T58" s="12">
        <v>224</v>
      </c>
      <c r="U58" s="34">
        <f>IF(A58&lt;&gt;"",SUM(B58:I58),"")</f>
        <v>187</v>
      </c>
      <c r="V58" s="10">
        <f>IF(A58&lt;&gt;"",SUM(J58:O58),"")</f>
        <v>302</v>
      </c>
      <c r="W58" s="10">
        <f>IF(A58&lt;&gt;"",SUM(P58:Q58),"")</f>
        <v>0</v>
      </c>
      <c r="X58" s="10">
        <f>IF(A58&lt;&gt;"",SUM(S58:T58),"")</f>
        <v>379</v>
      </c>
      <c r="Y58" s="12" t="s">
        <v>69</v>
      </c>
      <c r="Z58" s="12">
        <f>IF(A58&lt;&gt;"",SUM(U58:Y58),"")</f>
        <v>868</v>
      </c>
      <c r="AA58" s="27">
        <f>IF(A58&lt;&gt;"",(Z58+Normalize_To_Add)/(Point_Total_So_Far)*100,"")</f>
        <v>94.309673189131843</v>
      </c>
      <c r="AB58" s="10">
        <f>IF(A58&lt;&gt;"",RANK(AA58,All_Student_XC),"")</f>
        <v>39</v>
      </c>
      <c r="AC58" s="31" t="str">
        <f>IF(A58&lt;&gt;"",CHOOSE(10-MIN(9,TRUNC((AA58+0.5)/10)),"A","B","C","D","F","F","F","F","F","F"),"")</f>
        <v>A</v>
      </c>
      <c r="AD58" s="31" t="str">
        <f>IF(A58&lt;&gt;"",IF(OR(AA58+0.5&gt;=93,AA58+0.5&lt;60),"",IF(MOD(AA58+0.5,10)&gt;=7,"+",IF(MOD(AA58+0.5,10)&lt;3,"-",""))),"")</f>
        <v/>
      </c>
      <c r="AE58" s="31">
        <f>IF(A58&lt;&gt;"",SUM(W58:X58,$W$8:$X$8)/SUM($W$2:$X$2)*100,"")</f>
        <v>90.819346378263688</v>
      </c>
      <c r="AF58" s="31" t="str">
        <f>IF(A58&lt;&gt;"",CHOOSE(10-MIN(9,TRUNC((AE58+0.5)/10)),"A","B","C","D","F","F","F","F","F","F"),"")</f>
        <v>A</v>
      </c>
      <c r="AG58" s="31" t="str">
        <f>IF(A58&lt;&gt;"",IF(OR(AE58+0.5&gt;=93,AE58+0.5&lt;60),"",IF(MOD(AE58+0.5,10)&gt;=7,"+",IF(MOD(AE58+0.5,10)&lt;3,"-",""))),"")</f>
        <v>-</v>
      </c>
      <c r="AH58" s="35">
        <f>IF(A58&lt;&gt;"",MIN(MAX(AA58,AE58),AA58+$AH$8,AE58+$AH$8),"")</f>
        <v>94.309673189131843</v>
      </c>
      <c r="AI58" s="31" t="str">
        <f>IF(A58&lt;&gt;"",CHOOSE(10-MIN(9,TRUNC((AH58+0.5)/10)),"A","B","C","D","F","F","F","F","F","F"),"")</f>
        <v>A</v>
      </c>
      <c r="AJ58" s="31" t="str">
        <f>IF(A58&lt;&gt;"",IF(OR(AH58+0.5&gt;=93,AH58+0.5&lt;60),"",IF(MOD(AH58+0.5,10)&gt;=7,"+",IF(MOD(AH58+0.5,10)&lt;3,"-",""))),"")</f>
        <v/>
      </c>
      <c r="AK58" s="31" t="b">
        <f>IF(A58&lt;&gt;"",OR(AI58&lt;&gt;AC58,AJ58&lt;&gt;AD58),"")</f>
        <v>0</v>
      </c>
      <c r="AL58" s="81">
        <f>IF(AND(A58&lt;&gt;"",U58&gt;0),SUM(U58,$AL$8)/$AL$2*100,"")</f>
        <v>93.5</v>
      </c>
      <c r="AM58" s="24">
        <f>IF(AND(A58&lt;&gt;"",V58&gt;0),SUM(V58,$AM$8)/$AM$2*100,"")</f>
        <v>100.66666666666666</v>
      </c>
      <c r="AN58" s="24" t="str">
        <f>IF(AND(A58&lt;&gt;"",P58&lt;&gt;0),SUM(P58,$AN$8)/$AN$2*100,"")</f>
        <v/>
      </c>
      <c r="AO58" s="24" t="str">
        <f>IF(AND(A58&lt;&gt;"",Q58&lt;&gt;0),SUM(Q58,$AO$8)/$AO$2*100,"")</f>
        <v/>
      </c>
      <c r="AP58" s="24">
        <f>IF(AND(A58&lt;&gt;"",R58&lt;&gt;0),SUM(R58,$AP$8)/$AP$2*100,"")</f>
        <v>92.002659574468083</v>
      </c>
      <c r="AQ58" s="24" t="str">
        <f>IF(AND(A58&lt;&gt;"",W58&gt;0),SUM(W58,$AQ$8)/$AQ$2*100,"")</f>
        <v/>
      </c>
      <c r="AR58" s="24">
        <f>IF(AND(A58&lt;&gt;"",T58&gt;0),SUM(T58,$AR$8)/$AR$2*100,"")</f>
        <v>90.03047091412742</v>
      </c>
      <c r="AS58" s="24">
        <f>IF(AND(A58&lt;&gt;"",X58&lt;&gt;0),SUM(X58,$AS$8)/$AS$2*100,"")</f>
        <v>90.819346378263688</v>
      </c>
      <c r="AT58" s="86">
        <f>IF(A58&lt;&gt;"",SUM(W58:X58,$AT$8)/$AT$2*100,"")</f>
        <v>90.819346378263688</v>
      </c>
      <c r="AU58" s="24">
        <f>AA58</f>
        <v>94.309673189131843</v>
      </c>
      <c r="AV58" s="24"/>
      <c r="AW58" s="27">
        <f>IF(A58&lt;&gt;"",AE58-AA58,"")</f>
        <v>-3.4903268108681544</v>
      </c>
      <c r="AY58" s="27">
        <f>AR58-AP58</f>
        <v>-1.9721886603406631</v>
      </c>
      <c r="AZ58" s="27">
        <f>ABS(AY58)</f>
        <v>1.9721886603406631</v>
      </c>
    </row>
    <row r="59" spans="1:54" s="27" customFormat="1" ht="12.75" customHeight="1" x14ac:dyDescent="0.2">
      <c r="A59" s="50">
        <v>145620</v>
      </c>
      <c r="B59" s="2">
        <v>25</v>
      </c>
      <c r="C59" s="50">
        <v>21</v>
      </c>
      <c r="D59" s="10">
        <v>22</v>
      </c>
      <c r="E59" s="10">
        <v>19</v>
      </c>
      <c r="F59" s="10">
        <v>25</v>
      </c>
      <c r="G59" s="10">
        <v>25</v>
      </c>
      <c r="H59" s="10">
        <v>24</v>
      </c>
      <c r="I59" s="10">
        <v>25</v>
      </c>
      <c r="J59" s="2"/>
      <c r="K59" s="10">
        <v>58</v>
      </c>
      <c r="L59" s="10">
        <v>41</v>
      </c>
      <c r="M59" s="10">
        <v>60</v>
      </c>
      <c r="N59" s="51">
        <v>57</v>
      </c>
      <c r="O59" s="11">
        <v>45</v>
      </c>
      <c r="P59" s="10"/>
      <c r="Q59" s="40"/>
      <c r="R59" s="2">
        <v>114</v>
      </c>
      <c r="S59" s="10">
        <f>IF(T59="",R59,MAX((R59+$R$8)/$R$2,(T59+$T$8)/$T$2)*$R$2-$R$8)</f>
        <v>114</v>
      </c>
      <c r="T59" s="62">
        <v>114</v>
      </c>
      <c r="U59" s="10">
        <f>IF(A59&lt;&gt;"",SUM(B59:I59),"")</f>
        <v>186</v>
      </c>
      <c r="V59" s="10">
        <f>IF(A59&lt;&gt;"",SUM(J59:O59),"")</f>
        <v>261</v>
      </c>
      <c r="W59" s="10">
        <f>IF(A59&lt;&gt;"",SUM(P59:Q59),"")</f>
        <v>0</v>
      </c>
      <c r="X59" s="10">
        <f>IF(A59&lt;&gt;"",SUM(S59:T59),"")</f>
        <v>228</v>
      </c>
      <c r="Y59" s="12">
        <v>3</v>
      </c>
      <c r="Z59" s="12">
        <f>IF(A59&lt;&gt;"",SUM(U59:Y59),"")</f>
        <v>678</v>
      </c>
      <c r="AA59" s="27">
        <f>IF(A59&lt;&gt;"",(Z59+Normalize_To_Add)/(Point_Total_So_Far)*100,"")</f>
        <v>75.309673189131843</v>
      </c>
      <c r="AB59" s="10">
        <f>IF(A59&lt;&gt;"",RANK(AA59,All_Student_XC),"")</f>
        <v>272</v>
      </c>
      <c r="AC59" s="31" t="str">
        <f>IF(A59&lt;&gt;"",CHOOSE(10-MIN(9,TRUNC((AA59+0.5)/10)),"A","B","C","D","F","F","F","F","F","F"),"")</f>
        <v>C</v>
      </c>
      <c r="AD59" s="31" t="str">
        <f>IF(A59&lt;&gt;"",IF(OR(AA59+0.5&gt;=93,AA59+0.5&lt;60),"",IF(MOD(AA59+0.5,10)&gt;=7,"+",IF(MOD(AA59+0.5,10)&lt;3,"-",""))),"")</f>
        <v/>
      </c>
      <c r="AE59" s="31">
        <f>IF(A59&lt;&gt;"",SUM(W59:X59,$W$8:$X$8)/SUM($W$2:$X$2)*100,"")</f>
        <v>60.619346378263685</v>
      </c>
      <c r="AF59" s="43" t="str">
        <f>IF(A59&lt;&gt;"",CHOOSE(10-MIN(9,TRUNC((AE59+0.5)/10)),"A","B","C","D","F","F","F","F","F","F"),"")</f>
        <v>D</v>
      </c>
      <c r="AG59" s="43" t="str">
        <f>IF(A59&lt;&gt;"",IF(OR(AE59+0.5&gt;=93,AE59+0.5&lt;60),"",IF(MOD(AE59+0.5,10)&gt;=7,"+",IF(MOD(AE59+0.5,10)&lt;3,"-",""))),"")</f>
        <v>-</v>
      </c>
      <c r="AH59" s="35">
        <f>IF(A59&lt;&gt;"",MIN(MAX(AA59,AE59),AA59+$AH$8,AE59+$AH$8),"")</f>
        <v>75.309673189131843</v>
      </c>
      <c r="AI59" s="31" t="str">
        <f>IF(A59&lt;&gt;"",CHOOSE(10-MIN(9,TRUNC((AH59+0.5)/10)),"A","B","C","D","F","F","F","F","F","F"),"")</f>
        <v>C</v>
      </c>
      <c r="AJ59" s="31" t="str">
        <f>IF(A59&lt;&gt;"",IF(OR(AH59+0.5&gt;=93,AH59+0.5&lt;60),"",IF(MOD(AH59+0.5,10)&gt;=7,"+",IF(MOD(AH59+0.5,10)&lt;3,"-",""))),"")</f>
        <v/>
      </c>
      <c r="AK59" s="31" t="b">
        <f>IF(A59&lt;&gt;"",OR(AI59&lt;&gt;AC59,AJ59&lt;&gt;AD59),"")</f>
        <v>0</v>
      </c>
      <c r="AL59" s="81">
        <f>IF(AND(A59&lt;&gt;"",U59&gt;0),SUM(U59,$AL$8)/$AL$2*100,"")</f>
        <v>93</v>
      </c>
      <c r="AM59" s="24">
        <f>IF(AND(A59&lt;&gt;"",V59&gt;0),SUM(V59,$AM$8)/$AM$2*100,"")</f>
        <v>87</v>
      </c>
      <c r="AN59" s="24" t="str">
        <f>IF(AND(A59&lt;&gt;"",P59&lt;&gt;0),SUM(P59,$AN$8)/$AN$2*100,"")</f>
        <v/>
      </c>
      <c r="AO59" s="24" t="str">
        <f>IF(AND(A59&lt;&gt;"",Q59&lt;&gt;0),SUM(Q59,$AO$8)/$AO$2*100,"")</f>
        <v/>
      </c>
      <c r="AP59" s="24">
        <f>IF(AND(A59&lt;&gt;"",R59&lt;&gt;0),SUM(R59,$AP$8)/$AP$2*100,"")</f>
        <v>71.502659574468083</v>
      </c>
      <c r="AQ59" s="24" t="str">
        <f>IF(AND(A59&lt;&gt;"",W59&gt;0),SUM(W59,$AQ$8)/$AQ$2*100,"")</f>
        <v/>
      </c>
      <c r="AR59" s="24">
        <f>IF(AND(A59&lt;&gt;"",T59&gt;0),SUM(T59,$AR$8)/$AR$2*100,"")</f>
        <v>53.363804247460756</v>
      </c>
      <c r="AS59" s="24">
        <f>IF(AND(A59&lt;&gt;"",X59&lt;&gt;0),SUM(X59,$AS$8)/$AS$2*100,"")</f>
        <v>60.619346378263685</v>
      </c>
      <c r="AT59" s="86">
        <f>IF(A59&lt;&gt;"",SUM(W59:X59,$AT$8)/$AT$2*100,"")</f>
        <v>60.619346378263685</v>
      </c>
      <c r="AU59" s="24">
        <f>AA59</f>
        <v>75.309673189131843</v>
      </c>
      <c r="AV59" s="24"/>
      <c r="AW59" s="27">
        <f>IF(A59&lt;&gt;"",AE59-AA59,"")</f>
        <v>-14.690326810868157</v>
      </c>
      <c r="AY59" s="27">
        <f>AR59-AP59</f>
        <v>-18.138855327007327</v>
      </c>
      <c r="AZ59" s="27">
        <f>ABS(AY59)</f>
        <v>18.138855327007327</v>
      </c>
    </row>
    <row r="60" spans="1:54" s="27" customFormat="1" ht="12.75" customHeight="1" x14ac:dyDescent="0.2">
      <c r="A60" s="10">
        <v>146734</v>
      </c>
      <c r="B60" s="2">
        <v>9</v>
      </c>
      <c r="C60" s="10">
        <v>25</v>
      </c>
      <c r="D60" s="10">
        <v>21</v>
      </c>
      <c r="E60" s="10">
        <v>25</v>
      </c>
      <c r="F60" s="10">
        <v>20</v>
      </c>
      <c r="G60" s="10">
        <v>25</v>
      </c>
      <c r="H60" s="10">
        <v>24</v>
      </c>
      <c r="I60" s="10">
        <v>25</v>
      </c>
      <c r="J60" s="2"/>
      <c r="K60" s="10">
        <v>9</v>
      </c>
      <c r="L60" s="10">
        <v>60</v>
      </c>
      <c r="M60" s="10">
        <v>57</v>
      </c>
      <c r="N60" s="10">
        <v>56</v>
      </c>
      <c r="O60" s="11">
        <v>60</v>
      </c>
      <c r="P60" s="40"/>
      <c r="Q60" s="40"/>
      <c r="R60" s="2">
        <v>114</v>
      </c>
      <c r="S60" s="10">
        <f>IF(T60="",R60,MAX((R60+$R$8)/$R$2,(T60+$T$8)/$T$2)*$R$2-$R$8)</f>
        <v>114</v>
      </c>
      <c r="T60" s="12">
        <v>140</v>
      </c>
      <c r="U60" s="7">
        <f>IF(A60&lt;&gt;"",SUM(B60:I60),"")</f>
        <v>174</v>
      </c>
      <c r="V60" s="10">
        <f>IF(A60&lt;&gt;"",SUM(J60:O60),"")</f>
        <v>242</v>
      </c>
      <c r="W60" s="10">
        <f>IF(A60&lt;&gt;"",SUM(P60:Q60),"")</f>
        <v>0</v>
      </c>
      <c r="X60" s="10">
        <f>IF(A60&lt;&gt;"",SUM(S60:T60),"")</f>
        <v>254</v>
      </c>
      <c r="Y60" s="12">
        <v>3</v>
      </c>
      <c r="Z60" s="12">
        <f>IF(A60&lt;&gt;"",SUM(U60:Y60),"")</f>
        <v>673</v>
      </c>
      <c r="AA60" s="27">
        <f>IF(A60&lt;&gt;"",(Z60+Normalize_To_Add)/(Point_Total_So_Far)*100,"")</f>
        <v>74.809673189131843</v>
      </c>
      <c r="AB60" s="10">
        <f>IF(A60&lt;&gt;"",RANK(AA60,All_Student_XC),"")</f>
        <v>277</v>
      </c>
      <c r="AC60" s="31" t="str">
        <f>IF(A60&lt;&gt;"",CHOOSE(10-MIN(9,TRUNC((AA60+0.5)/10)),"A","B","C","D","F","F","F","F","F","F"),"")</f>
        <v>C</v>
      </c>
      <c r="AD60" s="31" t="str">
        <f>IF(A60&lt;&gt;"",IF(OR(AA60+0.5&gt;=93,AA60+0.5&lt;60),"",IF(MOD(AA60+0.5,10)&gt;=7,"+",IF(MOD(AA60+0.5,10)&lt;3,"-",""))),"")</f>
        <v/>
      </c>
      <c r="AE60" s="31">
        <f>IF(A60&lt;&gt;"",SUM(W60:X60,$W$8:$X$8)/SUM($W$2:$X$2)*100,"")</f>
        <v>65.819346378263688</v>
      </c>
      <c r="AF60" s="31" t="str">
        <f>IF(A60&lt;&gt;"",CHOOSE(10-MIN(9,TRUNC((AE60+0.5)/10)),"A","B","C","D","F","F","F","F","F","F"),"")</f>
        <v>D</v>
      </c>
      <c r="AG60" s="31" t="str">
        <f>IF(A60&lt;&gt;"",IF(OR(AE60+0.5&gt;=93,AE60+0.5&lt;60),"",IF(MOD(AE60+0.5,10)&gt;=7,"+",IF(MOD(AE60+0.5,10)&lt;3,"-",""))),"")</f>
        <v/>
      </c>
      <c r="AH60" s="35">
        <f>IF(A60&lt;&gt;"",MIN(MAX(AA60,AE60),AA60+$AH$8,AE60+$AH$8),"")</f>
        <v>74.809673189131843</v>
      </c>
      <c r="AI60" s="31" t="str">
        <f>IF(A60&lt;&gt;"",CHOOSE(10-MIN(9,TRUNC((AH60+0.5)/10)),"A","B","C","D","F","F","F","F","F","F"),"")</f>
        <v>C</v>
      </c>
      <c r="AJ60" s="31" t="str">
        <f>IF(A60&lt;&gt;"",IF(OR(AH60+0.5&gt;=93,AH60+0.5&lt;60),"",IF(MOD(AH60+0.5,10)&gt;=7,"+",IF(MOD(AH60+0.5,10)&lt;3,"-",""))),"")</f>
        <v/>
      </c>
      <c r="AK60" s="31" t="b">
        <f>IF(A60&lt;&gt;"",OR(AI60&lt;&gt;AC60,AJ60&lt;&gt;AD60),"")</f>
        <v>0</v>
      </c>
      <c r="AL60" s="81">
        <f>IF(AND(A60&lt;&gt;"",U60&gt;0),SUM(U60,$AL$8)/$AL$2*100,"")</f>
        <v>87</v>
      </c>
      <c r="AM60" s="24">
        <f>IF(AND(A60&lt;&gt;"",V60&gt;0),SUM(V60,$AM$8)/$AM$2*100,"")</f>
        <v>80.666666666666657</v>
      </c>
      <c r="AN60" s="24" t="str">
        <f>IF(AND(A60&lt;&gt;"",P60&lt;&gt;0),SUM(P60,$AN$8)/$AN$2*100,"")</f>
        <v/>
      </c>
      <c r="AO60" s="24" t="str">
        <f>IF(AND(A60&lt;&gt;"",Q60&lt;&gt;0),SUM(Q60,$AO$8)/$AO$2*100,"")</f>
        <v/>
      </c>
      <c r="AP60" s="24">
        <f>IF(AND(A60&lt;&gt;"",R60&lt;&gt;0),SUM(R60,$AP$8)/$AP$2*100,"")</f>
        <v>71.502659574468083</v>
      </c>
      <c r="AQ60" s="24" t="str">
        <f>IF(AND(A60&lt;&gt;"",W60&gt;0),SUM(W60,$AQ$8)/$AQ$2*100,"")</f>
        <v/>
      </c>
      <c r="AR60" s="24">
        <f>IF(AND(A60&lt;&gt;"",T60&gt;0),SUM(T60,$AR$8)/$AR$2*100,"")</f>
        <v>62.03047091412742</v>
      </c>
      <c r="AS60" s="24">
        <f>IF(AND(A60&lt;&gt;"",X60&lt;&gt;0),SUM(X60,$AS$8)/$AS$2*100,"")</f>
        <v>65.819346378263688</v>
      </c>
      <c r="AT60" s="86">
        <f>IF(A60&lt;&gt;"",SUM(W60:X60,$AT$8)/$AT$2*100,"")</f>
        <v>65.819346378263688</v>
      </c>
      <c r="AU60" s="24">
        <f>AA60</f>
        <v>74.809673189131843</v>
      </c>
      <c r="AV60" s="24"/>
      <c r="AW60" s="27">
        <f>IF(A60&lt;&gt;"",AE60-AA60,"")</f>
        <v>-8.9903268108681544</v>
      </c>
      <c r="AY60" s="27">
        <f>AR60-AP60</f>
        <v>-9.4721886603406631</v>
      </c>
      <c r="AZ60" s="27">
        <f>ABS(AY60)</f>
        <v>9.4721886603406631</v>
      </c>
    </row>
    <row r="61" spans="1:54" s="27" customFormat="1" ht="12.75" customHeight="1" x14ac:dyDescent="0.2">
      <c r="A61" s="50">
        <v>147056</v>
      </c>
      <c r="B61" s="2">
        <v>24</v>
      </c>
      <c r="C61" s="50">
        <v>25</v>
      </c>
      <c r="D61" s="10">
        <v>24</v>
      </c>
      <c r="E61" s="10">
        <v>25</v>
      </c>
      <c r="F61" s="10">
        <v>25</v>
      </c>
      <c r="G61" s="10">
        <v>25</v>
      </c>
      <c r="H61" s="10">
        <v>24</v>
      </c>
      <c r="I61" s="10">
        <v>25</v>
      </c>
      <c r="J61" s="2"/>
      <c r="K61" s="10">
        <v>61</v>
      </c>
      <c r="L61" s="10">
        <v>23</v>
      </c>
      <c r="M61" s="10">
        <v>54</v>
      </c>
      <c r="N61" s="51">
        <v>32</v>
      </c>
      <c r="O61" s="11">
        <v>60</v>
      </c>
      <c r="P61" s="10"/>
      <c r="Q61" s="40"/>
      <c r="R61" s="2">
        <v>88</v>
      </c>
      <c r="S61" s="10">
        <f>IF(T61="",R61,MAX((R61+$R$8)/$R$2,(T61+$T$8)/$T$2)*$R$2-$R$8)</f>
        <v>88</v>
      </c>
      <c r="T61" s="62">
        <v>119</v>
      </c>
      <c r="U61" s="10">
        <f>IF(A61&lt;&gt;"",SUM(B61:I61),"")</f>
        <v>197</v>
      </c>
      <c r="V61" s="10">
        <f>IF(A61&lt;&gt;"",SUM(J61:O61),"")</f>
        <v>230</v>
      </c>
      <c r="W61" s="10">
        <f>IF(A61&lt;&gt;"",SUM(P61:Q61),"")</f>
        <v>0</v>
      </c>
      <c r="X61" s="10">
        <f>IF(A61&lt;&gt;"",SUM(S61:T61),"")</f>
        <v>207</v>
      </c>
      <c r="Y61" s="12">
        <v>3</v>
      </c>
      <c r="Z61" s="12">
        <f>IF(A61&lt;&gt;"",SUM(U61:Y61),"")</f>
        <v>637</v>
      </c>
      <c r="AA61" s="27">
        <f>IF(A61&lt;&gt;"",(Z61+Normalize_To_Add)/(Point_Total_So_Far)*100,"")</f>
        <v>71.209673189131834</v>
      </c>
      <c r="AB61" s="10">
        <f>IF(A61&lt;&gt;"",RANK(AA61,All_Student_XC),"")</f>
        <v>301</v>
      </c>
      <c r="AC61" s="31" t="str">
        <f>IF(A61&lt;&gt;"",CHOOSE(10-MIN(9,TRUNC((AA61+0.5)/10)),"A","B","C","D","F","F","F","F","F","F"),"")</f>
        <v>C</v>
      </c>
      <c r="AD61" s="31" t="str">
        <f>IF(A61&lt;&gt;"",IF(OR(AA61+0.5&gt;=93,AA61+0.5&lt;60),"",IF(MOD(AA61+0.5,10)&gt;=7,"+",IF(MOD(AA61+0.5,10)&lt;3,"-",""))),"")</f>
        <v>-</v>
      </c>
      <c r="AE61" s="31">
        <f>IF(A61&lt;&gt;"",SUM(W61:X61,$W$8:$X$8)/SUM($W$2:$X$2)*100,"")</f>
        <v>56.41934637826369</v>
      </c>
      <c r="AF61" s="43" t="str">
        <f>IF(A61&lt;&gt;"",CHOOSE(10-MIN(9,TRUNC((AE61+0.5)/10)),"A","B","C","D","F","F","F","F","F","F"),"")</f>
        <v>F</v>
      </c>
      <c r="AG61" s="43" t="str">
        <f>IF(A61&lt;&gt;"",IF(OR(AE61+0.5&gt;=93,AE61+0.5&lt;60),"",IF(MOD(AE61+0.5,10)&gt;=7,"+",IF(MOD(AE61+0.5,10)&lt;3,"-",""))),"")</f>
        <v/>
      </c>
      <c r="AH61" s="35">
        <f>IF(A61&lt;&gt;"",MIN(MAX(AA61,AE61),AA61+$AH$8,AE61+$AH$8),"")</f>
        <v>71.209673189131834</v>
      </c>
      <c r="AI61" s="31" t="str">
        <f>IF(A61&lt;&gt;"",CHOOSE(10-MIN(9,TRUNC((AH61+0.5)/10)),"A","B","C","D","F","F","F","F","F","F"),"")</f>
        <v>C</v>
      </c>
      <c r="AJ61" s="31" t="str">
        <f>IF(A61&lt;&gt;"",IF(OR(AH61+0.5&gt;=93,AH61+0.5&lt;60),"",IF(MOD(AH61+0.5,10)&gt;=7,"+",IF(MOD(AH61+0.5,10)&lt;3,"-",""))),"")</f>
        <v>-</v>
      </c>
      <c r="AK61" s="31" t="b">
        <f>IF(A61&lt;&gt;"",OR(AI61&lt;&gt;AC61,AJ61&lt;&gt;AD61),"")</f>
        <v>0</v>
      </c>
      <c r="AL61" s="81">
        <f>IF(AND(A61&lt;&gt;"",U61&gt;0),SUM(U61,$AL$8)/$AL$2*100,"")</f>
        <v>98.5</v>
      </c>
      <c r="AM61" s="24">
        <f>IF(AND(A61&lt;&gt;"",V61&gt;0),SUM(V61,$AM$8)/$AM$2*100,"")</f>
        <v>76.666666666666671</v>
      </c>
      <c r="AN61" s="24" t="str">
        <f>IF(AND(A61&lt;&gt;"",P61&lt;&gt;0),SUM(P61,$AN$8)/$AN$2*100,"")</f>
        <v/>
      </c>
      <c r="AO61" s="24" t="str">
        <f>IF(AND(A61&lt;&gt;"",Q61&lt;&gt;0),SUM(Q61,$AO$8)/$AO$2*100,"")</f>
        <v/>
      </c>
      <c r="AP61" s="24">
        <f>IF(AND(A61&lt;&gt;"",R61&lt;&gt;0),SUM(R61,$AP$8)/$AP$2*100,"")</f>
        <v>58.502659574468083</v>
      </c>
      <c r="AQ61" s="24" t="str">
        <f>IF(AND(A61&lt;&gt;"",W61&gt;0),SUM(W61,$AQ$8)/$AQ$2*100,"")</f>
        <v/>
      </c>
      <c r="AR61" s="24">
        <f>IF(AND(A61&lt;&gt;"",T61&gt;0),SUM(T61,$AR$8)/$AR$2*100,"")</f>
        <v>55.030470914127413</v>
      </c>
      <c r="AS61" s="24">
        <f>IF(AND(A61&lt;&gt;"",X61&lt;&gt;0),SUM(X61,$AS$8)/$AS$2*100,"")</f>
        <v>56.41934637826369</v>
      </c>
      <c r="AT61" s="86">
        <f>IF(A61&lt;&gt;"",SUM(W61:X61,$AT$8)/$AT$2*100,"")</f>
        <v>56.41934637826369</v>
      </c>
      <c r="AU61" s="24">
        <f>AA61</f>
        <v>71.209673189131834</v>
      </c>
      <c r="AV61" s="24"/>
      <c r="AW61" s="27">
        <f>IF(A61&lt;&gt;"",AE61-AA61,"")</f>
        <v>-14.790326810868144</v>
      </c>
      <c r="AY61" s="27">
        <f>AR61-AP61</f>
        <v>-3.4721886603406702</v>
      </c>
      <c r="AZ61" s="27">
        <f>ABS(AY61)</f>
        <v>3.4721886603406702</v>
      </c>
    </row>
    <row r="62" spans="1:54" s="27" customFormat="1" ht="12.75" customHeight="1" x14ac:dyDescent="0.2">
      <c r="A62" s="10">
        <v>151804</v>
      </c>
      <c r="B62" s="2">
        <v>24</v>
      </c>
      <c r="C62" s="10">
        <v>25</v>
      </c>
      <c r="D62" s="10">
        <v>24</v>
      </c>
      <c r="E62" s="10">
        <v>12</v>
      </c>
      <c r="F62" s="10">
        <v>23</v>
      </c>
      <c r="G62" s="10">
        <v>25</v>
      </c>
      <c r="H62" s="10">
        <v>14</v>
      </c>
      <c r="I62" s="10">
        <v>25</v>
      </c>
      <c r="J62" s="2"/>
      <c r="K62" s="10">
        <v>50</v>
      </c>
      <c r="L62" s="10">
        <v>50</v>
      </c>
      <c r="M62" s="10">
        <v>19</v>
      </c>
      <c r="N62" s="51">
        <v>51</v>
      </c>
      <c r="O62" s="11">
        <v>60</v>
      </c>
      <c r="P62" s="10"/>
      <c r="Q62" s="40"/>
      <c r="R62" s="2">
        <v>101</v>
      </c>
      <c r="S62" s="10">
        <f>IF(T62="",R62,MAX((R62+$R$8)/$R$2,(T62+$T$8)/$T$2)*$R$2-$R$8)</f>
        <v>109.72228934598536</v>
      </c>
      <c r="T62" s="12">
        <v>162</v>
      </c>
      <c r="U62" s="34">
        <f>IF(A62&lt;&gt;"",SUM(B62:I62),"")</f>
        <v>172</v>
      </c>
      <c r="V62" s="10">
        <f>IF(A62&lt;&gt;"",SUM(J62:O62),"")</f>
        <v>230</v>
      </c>
      <c r="W62" s="10">
        <f>IF(A62&lt;&gt;"",SUM(P62:Q62),"")</f>
        <v>0</v>
      </c>
      <c r="X62" s="10">
        <f>IF(A62&lt;&gt;"",SUM(S62:T62),"")</f>
        <v>271.72228934598536</v>
      </c>
      <c r="Y62" s="12">
        <v>3</v>
      </c>
      <c r="Z62" s="12">
        <f>IF(A62&lt;&gt;"",SUM(U62:Y62),"")</f>
        <v>676.72228934598536</v>
      </c>
      <c r="AA62" s="27">
        <f>IF(A62&lt;&gt;"",(Z62+Normalize_To_Add)/(Point_Total_So_Far)*100,"")</f>
        <v>75.181902123730382</v>
      </c>
      <c r="AB62" s="10">
        <f>IF(A62&lt;&gt;"",RANK(AA62,All_Student_XC),"")</f>
        <v>274</v>
      </c>
      <c r="AC62" s="31" t="str">
        <f>IF(A62&lt;&gt;"",CHOOSE(10-MIN(9,TRUNC((AA62+0.5)/10)),"A","B","C","D","F","F","F","F","F","F"),"")</f>
        <v>C</v>
      </c>
      <c r="AD62" s="31" t="str">
        <f>IF(A62&lt;&gt;"",IF(OR(AA62+0.5&gt;=93,AA62+0.5&lt;60),"",IF(MOD(AA62+0.5,10)&gt;=7,"+",IF(MOD(AA62+0.5,10)&lt;3,"-",""))),"")</f>
        <v/>
      </c>
      <c r="AE62" s="31">
        <f>IF(A62&lt;&gt;"",SUM(W62:X62,$W$8:$X$8)/SUM($W$2:$X$2)*100,"")</f>
        <v>69.363804247460763</v>
      </c>
      <c r="AF62" s="31" t="str">
        <f>IF(A62&lt;&gt;"",CHOOSE(10-MIN(9,TRUNC((AE62+0.5)/10)),"A","B","C","D","F","F","F","F","F","F"),"")</f>
        <v>D</v>
      </c>
      <c r="AG62" s="31" t="str">
        <f>IF(A62&lt;&gt;"",IF(OR(AE62+0.5&gt;=93,AE62+0.5&lt;60),"",IF(MOD(AE62+0.5,10)&gt;=7,"+",IF(MOD(AE62+0.5,10)&lt;3,"-",""))),"")</f>
        <v>+</v>
      </c>
      <c r="AH62" s="35">
        <f>IF(A62&lt;&gt;"",MIN(MAX(AA62,AE62),AA62+$AH$8,AE62+$AH$8),"")</f>
        <v>75.181902123730382</v>
      </c>
      <c r="AI62" s="31" t="str">
        <f>IF(A62&lt;&gt;"",CHOOSE(10-MIN(9,TRUNC((AH62+0.5)/10)),"A","B","C","D","F","F","F","F","F","F"),"")</f>
        <v>C</v>
      </c>
      <c r="AJ62" s="31" t="str">
        <f>IF(A62&lt;&gt;"",IF(OR(AH62+0.5&gt;=93,AH62+0.5&lt;60),"",IF(MOD(AH62+0.5,10)&gt;=7,"+",IF(MOD(AH62+0.5,10)&lt;3,"-",""))),"")</f>
        <v/>
      </c>
      <c r="AK62" s="31" t="b">
        <f>IF(A62&lt;&gt;"",OR(AI62&lt;&gt;AC62,AJ62&lt;&gt;AD62),"")</f>
        <v>0</v>
      </c>
      <c r="AL62" s="81">
        <f>IF(AND(A62&lt;&gt;"",U62&gt;0),SUM(U62,$AL$8)/$AL$2*100,"")</f>
        <v>86</v>
      </c>
      <c r="AM62" s="24">
        <f>IF(AND(A62&lt;&gt;"",V62&gt;0),SUM(V62,$AM$8)/$AM$2*100,"")</f>
        <v>76.666666666666671</v>
      </c>
      <c r="AN62" s="24" t="str">
        <f>IF(AND(A62&lt;&gt;"",P62&lt;&gt;0),SUM(P62,$AN$8)/$AN$2*100,"")</f>
        <v/>
      </c>
      <c r="AO62" s="24" t="str">
        <f>IF(AND(A62&lt;&gt;"",Q62&lt;&gt;0),SUM(Q62,$AO$8)/$AO$2*100,"")</f>
        <v/>
      </c>
      <c r="AP62" s="24">
        <f>IF(AND(A62&lt;&gt;"",R62&lt;&gt;0),SUM(R62,$AP$8)/$AP$2*100,"")</f>
        <v>65.002659574468083</v>
      </c>
      <c r="AQ62" s="24" t="str">
        <f>IF(AND(A62&lt;&gt;"",W62&gt;0),SUM(W62,$AQ$8)/$AQ$2*100,"")</f>
        <v/>
      </c>
      <c r="AR62" s="24">
        <f>IF(AND(A62&lt;&gt;"",T62&gt;0),SUM(T62,$AR$8)/$AR$2*100,"")</f>
        <v>69.363804247460763</v>
      </c>
      <c r="AS62" s="24">
        <f>IF(AND(A62&lt;&gt;"",X62&lt;&gt;0),SUM(X62,$AS$8)/$AS$2*100,"")</f>
        <v>69.363804247460763</v>
      </c>
      <c r="AT62" s="86">
        <f>IF(A62&lt;&gt;"",SUM(W62:X62,$AT$8)/$AT$2*100,"")</f>
        <v>69.363804247460763</v>
      </c>
      <c r="AU62" s="24">
        <f>AA62</f>
        <v>75.181902123730382</v>
      </c>
      <c r="AV62" s="24"/>
      <c r="AW62" s="27">
        <f>IF(A62&lt;&gt;"",AE62-AA62,"")</f>
        <v>-5.8180978762696185</v>
      </c>
      <c r="AY62" s="27">
        <f>AR62-AP62</f>
        <v>4.3611446729926797</v>
      </c>
      <c r="AZ62" s="27">
        <f>ABS(AY62)</f>
        <v>4.3611446729926797</v>
      </c>
    </row>
    <row r="63" spans="1:54" s="27" customFormat="1" ht="12.75" customHeight="1" x14ac:dyDescent="0.2">
      <c r="A63" s="50">
        <v>152210</v>
      </c>
      <c r="B63" s="2">
        <v>23</v>
      </c>
      <c r="C63" s="50">
        <v>12</v>
      </c>
      <c r="D63" s="10">
        <v>16</v>
      </c>
      <c r="E63" s="10">
        <v>15</v>
      </c>
      <c r="F63" s="10">
        <v>7</v>
      </c>
      <c r="G63" s="10" t="s">
        <v>69</v>
      </c>
      <c r="H63" s="10" t="s">
        <v>69</v>
      </c>
      <c r="I63" s="10" t="s">
        <v>69</v>
      </c>
      <c r="J63" s="2"/>
      <c r="K63" s="10">
        <v>16</v>
      </c>
      <c r="L63" s="10">
        <v>35</v>
      </c>
      <c r="M63" s="10">
        <v>17</v>
      </c>
      <c r="N63" s="51" t="s">
        <v>69</v>
      </c>
      <c r="O63" s="11" t="s">
        <v>69</v>
      </c>
      <c r="P63" s="10"/>
      <c r="Q63" s="40"/>
      <c r="R63" s="2">
        <v>106</v>
      </c>
      <c r="S63" s="10">
        <f>IF(T63="",R63,MAX((R63+$R$8)/$R$2,(T63+$T$8)/$T$2)*$R$2-$R$8)</f>
        <v>106</v>
      </c>
      <c r="T63" s="62">
        <v>117</v>
      </c>
      <c r="U63" s="10">
        <f>IF(A63&lt;&gt;"",SUM(B63:I63),"")</f>
        <v>73</v>
      </c>
      <c r="V63" s="10">
        <f>IF(A63&lt;&gt;"",SUM(J63:O63),"")</f>
        <v>68</v>
      </c>
      <c r="W63" s="10">
        <f>IF(A63&lt;&gt;"",SUM(P63:Q63),"")</f>
        <v>0</v>
      </c>
      <c r="X63" s="10">
        <f>IF(A63&lt;&gt;"",SUM(S63:T63),"")</f>
        <v>223</v>
      </c>
      <c r="Y63" s="12" t="s">
        <v>69</v>
      </c>
      <c r="Z63" s="12">
        <f>IF(A63&lt;&gt;"",SUM(U63:Y63),"")</f>
        <v>364</v>
      </c>
      <c r="AA63" s="27">
        <f>IF(A63&lt;&gt;"",(Z63+Normalize_To_Add)/(Point_Total_So_Far)*100,"")</f>
        <v>43.909673189131844</v>
      </c>
      <c r="AB63" s="10">
        <f>IF(A63&lt;&gt;"",RANK(AA63,All_Student_XC),"")</f>
        <v>362</v>
      </c>
      <c r="AC63" s="31" t="str">
        <f>IF(A63&lt;&gt;"",CHOOSE(10-MIN(9,TRUNC((AA63+0.5)/10)),"A","B","C","D","F","F","F","F","F","F"),"")</f>
        <v>F</v>
      </c>
      <c r="AD63" s="31" t="str">
        <f>IF(A63&lt;&gt;"",IF(OR(AA63+0.5&gt;=93,AA63+0.5&lt;60),"",IF(MOD(AA63+0.5,10)&gt;=7,"+",IF(MOD(AA63+0.5,10)&lt;3,"-",""))),"")</f>
        <v/>
      </c>
      <c r="AE63" s="31">
        <f>IF(A63&lt;&gt;"",SUM(W63:X63,$W$8:$X$8)/SUM($W$2:$X$2)*100,"")</f>
        <v>59.619346378263685</v>
      </c>
      <c r="AF63" s="43" t="str">
        <f>IF(A63&lt;&gt;"",CHOOSE(10-MIN(9,TRUNC((AE63+0.5)/10)),"A","B","C","D","F","F","F","F","F","F"),"")</f>
        <v>D</v>
      </c>
      <c r="AG63" s="43" t="str">
        <f>IF(A63&lt;&gt;"",IF(OR(AE63+0.5&gt;=93,AE63+0.5&lt;60),"",IF(MOD(AE63+0.5,10)&gt;=7,"+",IF(MOD(AE63+0.5,10)&lt;3,"-",""))),"")</f>
        <v>-</v>
      </c>
      <c r="AH63" s="35">
        <f>IF(A63&lt;&gt;"",MIN(MAX(AA63,AE63),AA63+$AH$8,AE63+$AH$8),"")</f>
        <v>59.619346378263685</v>
      </c>
      <c r="AI63" s="31" t="str">
        <f>IF(A63&lt;&gt;"",CHOOSE(10-MIN(9,TRUNC((AH63+0.5)/10)),"A","B","C","D","F","F","F","F","F","F"),"")</f>
        <v>D</v>
      </c>
      <c r="AJ63" s="31" t="str">
        <f>IF(A63&lt;&gt;"",IF(OR(AH63+0.5&gt;=93,AH63+0.5&lt;60),"",IF(MOD(AH63+0.5,10)&gt;=7,"+",IF(MOD(AH63+0.5,10)&lt;3,"-",""))),"")</f>
        <v>-</v>
      </c>
      <c r="AK63" s="31" t="b">
        <f>IF(A63&lt;&gt;"",OR(AI63&lt;&gt;AC63,AJ63&lt;&gt;AD63),"")</f>
        <v>1</v>
      </c>
      <c r="AL63" s="81">
        <f>IF(AND(A63&lt;&gt;"",U63&gt;0),SUM(U63,$AL$8)/$AL$2*100,"")</f>
        <v>36.5</v>
      </c>
      <c r="AM63" s="24">
        <f>IF(AND(A63&lt;&gt;"",V63&gt;0),SUM(V63,$AM$8)/$AM$2*100,"")</f>
        <v>22.666666666666664</v>
      </c>
      <c r="AN63" s="24" t="str">
        <f>IF(AND(A63&lt;&gt;"",P63&lt;&gt;0),SUM(P63,$AN$8)/$AN$2*100,"")</f>
        <v/>
      </c>
      <c r="AO63" s="24" t="str">
        <f>IF(AND(A63&lt;&gt;"",Q63&lt;&gt;0),SUM(Q63,$AO$8)/$AO$2*100,"")</f>
        <v/>
      </c>
      <c r="AP63" s="24">
        <f>IF(AND(A63&lt;&gt;"",R63&lt;&gt;0),SUM(R63,$AP$8)/$AP$2*100,"")</f>
        <v>67.502659574468083</v>
      </c>
      <c r="AQ63" s="24" t="str">
        <f>IF(AND(A63&lt;&gt;"",W63&gt;0),SUM(W63,$AQ$8)/$AQ$2*100,"")</f>
        <v/>
      </c>
      <c r="AR63" s="24">
        <f>IF(AND(A63&lt;&gt;"",T63&gt;0),SUM(T63,$AR$8)/$AR$2*100,"")</f>
        <v>54.363804247460756</v>
      </c>
      <c r="AS63" s="24">
        <f>IF(AND(A63&lt;&gt;"",X63&lt;&gt;0),SUM(X63,$AS$8)/$AS$2*100,"")</f>
        <v>59.619346378263685</v>
      </c>
      <c r="AT63" s="86">
        <f>IF(A63&lt;&gt;"",SUM(W63:X63,$AT$8)/$AT$2*100,"")</f>
        <v>59.619346378263685</v>
      </c>
      <c r="AU63" s="24">
        <f>AA63</f>
        <v>43.909673189131844</v>
      </c>
      <c r="AV63" s="24"/>
      <c r="AW63" s="27">
        <f>IF(A63&lt;&gt;"",AE63-AA63,"")</f>
        <v>15.709673189131841</v>
      </c>
      <c r="AY63" s="27">
        <f>AR63-AP63</f>
        <v>-13.138855327007327</v>
      </c>
      <c r="AZ63" s="27">
        <f>ABS(AY63)</f>
        <v>13.138855327007327</v>
      </c>
    </row>
    <row r="64" spans="1:54" s="27" customFormat="1" ht="12.75" customHeight="1" x14ac:dyDescent="0.2">
      <c r="A64" s="50">
        <v>152474</v>
      </c>
      <c r="B64" s="2">
        <v>25</v>
      </c>
      <c r="C64" s="50">
        <v>25</v>
      </c>
      <c r="D64" s="10">
        <v>24</v>
      </c>
      <c r="E64" s="10">
        <v>24</v>
      </c>
      <c r="F64" s="10">
        <v>25</v>
      </c>
      <c r="G64" s="10">
        <v>25</v>
      </c>
      <c r="H64" s="10">
        <v>17</v>
      </c>
      <c r="I64" s="10">
        <v>25</v>
      </c>
      <c r="J64" s="2"/>
      <c r="K64" s="10">
        <v>61</v>
      </c>
      <c r="L64" s="10">
        <v>23</v>
      </c>
      <c r="M64" s="10">
        <v>54</v>
      </c>
      <c r="N64" s="51">
        <v>32</v>
      </c>
      <c r="O64" s="11">
        <v>60</v>
      </c>
      <c r="P64" s="10"/>
      <c r="Q64" s="40"/>
      <c r="R64" s="2">
        <v>125</v>
      </c>
      <c r="S64" s="10">
        <f>IF(T64="",R64,MAX((R64+$R$8)/$R$2,(T64+$T$8)/$T$2)*$R$2-$R$8)</f>
        <v>142.38895601265202</v>
      </c>
      <c r="T64" s="62">
        <v>211</v>
      </c>
      <c r="U64" s="10">
        <f>IF(A64&lt;&gt;"",SUM(B64:I64),"")</f>
        <v>190</v>
      </c>
      <c r="V64" s="10">
        <f>IF(A64&lt;&gt;"",SUM(J64:O64),"")</f>
        <v>230</v>
      </c>
      <c r="W64" s="10">
        <f>IF(A64&lt;&gt;"",SUM(P64:Q64),"")</f>
        <v>0</v>
      </c>
      <c r="X64" s="10">
        <f>IF(A64&lt;&gt;"",SUM(S64:T64),"")</f>
        <v>353.38895601265199</v>
      </c>
      <c r="Y64" s="12">
        <v>3</v>
      </c>
      <c r="Z64" s="12">
        <f>IF(A64&lt;&gt;"",SUM(U64:Y64),"")</f>
        <v>776.38895601265199</v>
      </c>
      <c r="AA64" s="27">
        <f>IF(A64&lt;&gt;"",(Z64+Normalize_To_Add)/(Point_Total_So_Far)*100,"")</f>
        <v>85.148568790397036</v>
      </c>
      <c r="AB64" s="10">
        <f>IF(A64&lt;&gt;"",RANK(AA64,All_Student_XC),"")</f>
        <v>157</v>
      </c>
      <c r="AC64" s="31" t="str">
        <f>IF(A64&lt;&gt;"",CHOOSE(10-MIN(9,TRUNC((AA64+0.5)/10)),"A","B","C","D","F","F","F","F","F","F"),"")</f>
        <v>B</v>
      </c>
      <c r="AD64" s="31" t="str">
        <f>IF(A64&lt;&gt;"",IF(OR(AA64+0.5&gt;=93,AA64+0.5&lt;60),"",IF(MOD(AA64+0.5,10)&gt;=7,"+",IF(MOD(AA64+0.5,10)&lt;3,"-",""))),"")</f>
        <v/>
      </c>
      <c r="AE64" s="31">
        <f>IF(A64&lt;&gt;"",SUM(W64:X64,$W$8:$X$8)/SUM($W$2:$X$2)*100,"")</f>
        <v>85.697137580794077</v>
      </c>
      <c r="AF64" s="43" t="str">
        <f>IF(A64&lt;&gt;"",CHOOSE(10-MIN(9,TRUNC((AE64+0.5)/10)),"A","B","C","D","F","F","F","F","F","F"),"")</f>
        <v>B</v>
      </c>
      <c r="AG64" s="43" t="str">
        <f>IF(A64&lt;&gt;"",IF(OR(AE64+0.5&gt;=93,AE64+0.5&lt;60),"",IF(MOD(AE64+0.5,10)&gt;=7,"+",IF(MOD(AE64+0.5,10)&lt;3,"-",""))),"")</f>
        <v/>
      </c>
      <c r="AH64" s="35">
        <f>IF(A64&lt;&gt;"",MIN(MAX(AA64,AE64),AA64+$AH$8,AE64+$AH$8),"")</f>
        <v>85.697137580794077</v>
      </c>
      <c r="AI64" s="31" t="str">
        <f>IF(A64&lt;&gt;"",CHOOSE(10-MIN(9,TRUNC((AH64+0.5)/10)),"A","B","C","D","F","F","F","F","F","F"),"")</f>
        <v>B</v>
      </c>
      <c r="AJ64" s="31" t="str">
        <f>IF(A64&lt;&gt;"",IF(OR(AH64+0.5&gt;=93,AH64+0.5&lt;60),"",IF(MOD(AH64+0.5,10)&gt;=7,"+",IF(MOD(AH64+0.5,10)&lt;3,"-",""))),"")</f>
        <v/>
      </c>
      <c r="AK64" s="31" t="b">
        <f>IF(A64&lt;&gt;"",OR(AI64&lt;&gt;AC64,AJ64&lt;&gt;AD64),"")</f>
        <v>0</v>
      </c>
      <c r="AL64" s="81">
        <f>IF(AND(A64&lt;&gt;"",U64&gt;0),SUM(U64,$AL$8)/$AL$2*100,"")</f>
        <v>95</v>
      </c>
      <c r="AM64" s="24">
        <f>IF(AND(A64&lt;&gt;"",V64&gt;0),SUM(V64,$AM$8)/$AM$2*100,"")</f>
        <v>76.666666666666671</v>
      </c>
      <c r="AN64" s="24" t="str">
        <f>IF(AND(A64&lt;&gt;"",P64&lt;&gt;0),SUM(P64,$AN$8)/$AN$2*100,"")</f>
        <v/>
      </c>
      <c r="AO64" s="24" t="str">
        <f>IF(AND(A64&lt;&gt;"",Q64&lt;&gt;0),SUM(Q64,$AO$8)/$AO$2*100,"")</f>
        <v/>
      </c>
      <c r="AP64" s="24">
        <f>IF(AND(A64&lt;&gt;"",R64&lt;&gt;0),SUM(R64,$AP$8)/$AP$2*100,"")</f>
        <v>77.002659574468083</v>
      </c>
      <c r="AQ64" s="24" t="str">
        <f>IF(AND(A64&lt;&gt;"",W64&gt;0),SUM(W64,$AQ$8)/$AQ$2*100,"")</f>
        <v/>
      </c>
      <c r="AR64" s="24">
        <f>IF(AND(A64&lt;&gt;"",T64&gt;0),SUM(T64,$AR$8)/$AR$2*100,"")</f>
        <v>85.697137580794092</v>
      </c>
      <c r="AS64" s="24">
        <f>IF(AND(A64&lt;&gt;"",X64&lt;&gt;0),SUM(X64,$AS$8)/$AS$2*100,"")</f>
        <v>85.697137580794077</v>
      </c>
      <c r="AT64" s="86">
        <f>IF(A64&lt;&gt;"",SUM(W64:X64,$AT$8)/$AT$2*100,"")</f>
        <v>85.697137580794077</v>
      </c>
      <c r="AU64" s="24">
        <f>AA64</f>
        <v>85.148568790397036</v>
      </c>
      <c r="AV64" s="24"/>
      <c r="AW64" s="27">
        <f>IF(A64&lt;&gt;"",AE64-AA64,"")</f>
        <v>0.54856879039704154</v>
      </c>
      <c r="AY64" s="27">
        <f>AR64-AP64</f>
        <v>8.6944780063260083</v>
      </c>
      <c r="AZ64" s="27">
        <f>ABS(AY64)</f>
        <v>8.6944780063260083</v>
      </c>
    </row>
    <row r="65" spans="1:52" s="27" customFormat="1" ht="12.75" customHeight="1" x14ac:dyDescent="0.2">
      <c r="A65" s="50">
        <v>152940</v>
      </c>
      <c r="B65" s="2">
        <v>25</v>
      </c>
      <c r="C65" s="10">
        <v>25</v>
      </c>
      <c r="D65" s="10">
        <v>22</v>
      </c>
      <c r="E65" s="10">
        <v>22</v>
      </c>
      <c r="F65" s="10">
        <v>21</v>
      </c>
      <c r="G65" s="10">
        <v>25</v>
      </c>
      <c r="H65" s="10">
        <v>23</v>
      </c>
      <c r="I65" s="10">
        <v>25</v>
      </c>
      <c r="J65" s="2"/>
      <c r="K65" s="10">
        <v>57</v>
      </c>
      <c r="L65" s="10">
        <v>44</v>
      </c>
      <c r="M65" s="10">
        <v>53</v>
      </c>
      <c r="N65" s="51">
        <v>44</v>
      </c>
      <c r="O65" s="11">
        <v>45</v>
      </c>
      <c r="P65" s="10"/>
      <c r="Q65" s="40"/>
      <c r="R65" s="2">
        <v>92</v>
      </c>
      <c r="S65" s="10">
        <f>IF(T65="",R65,MAX((R65+$R$8)/$R$2,(T65+$T$8)/$T$2)*$R$2-$R$8)</f>
        <v>92.388956012652017</v>
      </c>
      <c r="T65" s="12">
        <v>136</v>
      </c>
      <c r="U65" s="7">
        <f>IF(A65&lt;&gt;"",SUM(B65:I65),"")</f>
        <v>188</v>
      </c>
      <c r="V65" s="10">
        <f>IF(A65&lt;&gt;"",SUM(J65:O65),"")</f>
        <v>243</v>
      </c>
      <c r="W65" s="10">
        <f>IF(A65&lt;&gt;"",SUM(P65:Q65),"")</f>
        <v>0</v>
      </c>
      <c r="X65" s="10">
        <f>IF(A65&lt;&gt;"",SUM(S65:T65),"")</f>
        <v>228.38895601265202</v>
      </c>
      <c r="Y65" s="12">
        <v>3</v>
      </c>
      <c r="Z65" s="12">
        <f>IF(A65&lt;&gt;"",SUM(U65:Y65),"")</f>
        <v>662.38895601265199</v>
      </c>
      <c r="AA65" s="27">
        <f>IF(A65&lt;&gt;"",(Z65+Normalize_To_Add)/(Point_Total_So_Far)*100,"")</f>
        <v>73.748568790397044</v>
      </c>
      <c r="AB65" s="10">
        <f>IF(A65&lt;&gt;"",RANK(AA65,All_Student_XC),"")</f>
        <v>282</v>
      </c>
      <c r="AC65" s="31" t="str">
        <f>IF(A65&lt;&gt;"",CHOOSE(10-MIN(9,TRUNC((AA65+0.5)/10)),"A","B","C","D","F","F","F","F","F","F"),"")</f>
        <v>C</v>
      </c>
      <c r="AD65" s="31" t="str">
        <f>IF(A65&lt;&gt;"",IF(OR(AA65+0.5&gt;=93,AA65+0.5&lt;60),"",IF(MOD(AA65+0.5,10)&gt;=7,"+",IF(MOD(AA65+0.5,10)&lt;3,"-",""))),"")</f>
        <v/>
      </c>
      <c r="AE65" s="31">
        <f>IF(A65&lt;&gt;"",SUM(W65:X65,$W$8:$X$8)/SUM($W$2:$X$2)*100,"")</f>
        <v>60.697137580794077</v>
      </c>
      <c r="AF65" s="31" t="str">
        <f>IF(A65&lt;&gt;"",CHOOSE(10-MIN(9,TRUNC((AE65+0.5)/10)),"A","B","C","D","F","F","F","F","F","F"),"")</f>
        <v>D</v>
      </c>
      <c r="AG65" s="31" t="str">
        <f>IF(A65&lt;&gt;"",IF(OR(AE65+0.5&gt;=93,AE65+0.5&lt;60),"",IF(MOD(AE65+0.5,10)&gt;=7,"+",IF(MOD(AE65+0.5,10)&lt;3,"-",""))),"")</f>
        <v>-</v>
      </c>
      <c r="AH65" s="35">
        <f>IF(A65&lt;&gt;"",MIN(MAX(AA65,AE65),AA65+$AH$8,AE65+$AH$8),"")</f>
        <v>73.748568790397044</v>
      </c>
      <c r="AI65" s="31" t="str">
        <f>IF(A65&lt;&gt;"",CHOOSE(10-MIN(9,TRUNC((AH65+0.5)/10)),"A","B","C","D","F","F","F","F","F","F"),"")</f>
        <v>C</v>
      </c>
      <c r="AJ65" s="31" t="str">
        <f>IF(A65&lt;&gt;"",IF(OR(AH65+0.5&gt;=93,AH65+0.5&lt;60),"",IF(MOD(AH65+0.5,10)&gt;=7,"+",IF(MOD(AH65+0.5,10)&lt;3,"-",""))),"")</f>
        <v/>
      </c>
      <c r="AK65" s="31" t="b">
        <f>IF(A65&lt;&gt;"",OR(AI65&lt;&gt;AC65,AJ65&lt;&gt;AD65),"")</f>
        <v>0</v>
      </c>
      <c r="AL65" s="81">
        <f>IF(AND(A65&lt;&gt;"",U65&gt;0),SUM(U65,$AL$8)/$AL$2*100,"")</f>
        <v>94</v>
      </c>
      <c r="AM65" s="24">
        <f>IF(AND(A65&lt;&gt;"",V65&gt;0),SUM(V65,$AM$8)/$AM$2*100,"")</f>
        <v>81</v>
      </c>
      <c r="AN65" s="24" t="str">
        <f>IF(AND(A65&lt;&gt;"",P65&lt;&gt;0),SUM(P65,$AN$8)/$AN$2*100,"")</f>
        <v/>
      </c>
      <c r="AO65" s="24" t="str">
        <f>IF(AND(A65&lt;&gt;"",Q65&lt;&gt;0),SUM(Q65,$AO$8)/$AO$2*100,"")</f>
        <v/>
      </c>
      <c r="AP65" s="24">
        <f>IF(AND(A65&lt;&gt;"",R65&lt;&gt;0),SUM(R65,$AP$8)/$AP$2*100,"")</f>
        <v>60.50265957446809</v>
      </c>
      <c r="AQ65" s="24" t="str">
        <f>IF(AND(A65&lt;&gt;"",W65&gt;0),SUM(W65,$AQ$8)/$AQ$2*100,"")</f>
        <v/>
      </c>
      <c r="AR65" s="24">
        <f>IF(AND(A65&lt;&gt;"",T65&gt;0),SUM(T65,$AR$8)/$AR$2*100,"")</f>
        <v>60.697137580794092</v>
      </c>
      <c r="AS65" s="24">
        <f>IF(AND(A65&lt;&gt;"",X65&lt;&gt;0),SUM(X65,$AS$8)/$AS$2*100,"")</f>
        <v>60.697137580794077</v>
      </c>
      <c r="AT65" s="86">
        <f>IF(A65&lt;&gt;"",SUM(W65:X65,$AT$8)/$AT$2*100,"")</f>
        <v>60.697137580794077</v>
      </c>
      <c r="AU65" s="24">
        <f>AA65</f>
        <v>73.748568790397044</v>
      </c>
      <c r="AV65" s="24"/>
      <c r="AW65" s="27">
        <f>IF(A65&lt;&gt;"",AE65-AA65,"")</f>
        <v>-13.051431209602967</v>
      </c>
      <c r="AY65" s="27">
        <f>AR65-AP65</f>
        <v>0.19447800632600121</v>
      </c>
      <c r="AZ65" s="27">
        <f>ABS(AY65)</f>
        <v>0.19447800632600121</v>
      </c>
    </row>
    <row r="66" spans="1:52" s="27" customFormat="1" ht="12.75" customHeight="1" x14ac:dyDescent="0.2">
      <c r="A66" s="10">
        <v>160018</v>
      </c>
      <c r="B66" s="2">
        <v>25</v>
      </c>
      <c r="C66" s="10">
        <v>25</v>
      </c>
      <c r="D66" s="10">
        <v>23</v>
      </c>
      <c r="E66" s="10">
        <v>25</v>
      </c>
      <c r="F66" s="10">
        <v>23</v>
      </c>
      <c r="G66" s="10">
        <v>25</v>
      </c>
      <c r="H66" s="10">
        <v>14</v>
      </c>
      <c r="I66" s="10">
        <v>25</v>
      </c>
      <c r="J66" s="2"/>
      <c r="K66" s="10">
        <v>63</v>
      </c>
      <c r="L66" s="10">
        <v>57</v>
      </c>
      <c r="M66" s="10">
        <v>56</v>
      </c>
      <c r="N66" s="51">
        <v>53</v>
      </c>
      <c r="O66" s="11">
        <v>61</v>
      </c>
      <c r="P66" s="10"/>
      <c r="Q66" s="40"/>
      <c r="R66" s="2">
        <v>111</v>
      </c>
      <c r="S66" s="10">
        <f>IF(T66="",R66,MAX((R66+$R$8)/$R$2,(T66+$T$8)/$T$2)*$R$2-$R$8)</f>
        <v>133.72228934598536</v>
      </c>
      <c r="T66" s="12">
        <v>198</v>
      </c>
      <c r="U66" s="34">
        <f>IF(A66&lt;&gt;"",SUM(B66:I66),"")</f>
        <v>185</v>
      </c>
      <c r="V66" s="10">
        <f>IF(A66&lt;&gt;"",SUM(J66:O66),"")</f>
        <v>290</v>
      </c>
      <c r="W66" s="10">
        <f>IF(A66&lt;&gt;"",SUM(P66:Q66),"")</f>
        <v>0</v>
      </c>
      <c r="X66" s="10">
        <f>IF(A66&lt;&gt;"",SUM(S66:T66),"")</f>
        <v>331.72228934598536</v>
      </c>
      <c r="Y66" s="12">
        <v>3</v>
      </c>
      <c r="Z66" s="12">
        <f>IF(A66&lt;&gt;"",SUM(U66:Y66),"")</f>
        <v>809.72228934598536</v>
      </c>
      <c r="AA66" s="27">
        <f>IF(A66&lt;&gt;"",(Z66+Normalize_To_Add)/(Point_Total_So_Far)*100,"")</f>
        <v>88.481902123730379</v>
      </c>
      <c r="AB66" s="10">
        <f>IF(A66&lt;&gt;"",RANK(AA66,All_Student_XC),"")</f>
        <v>105</v>
      </c>
      <c r="AC66" s="31" t="str">
        <f>IF(A66&lt;&gt;"",CHOOSE(10-MIN(9,TRUNC((AA66+0.5)/10)),"A","B","C","D","F","F","F","F","F","F"),"")</f>
        <v>B</v>
      </c>
      <c r="AD66" s="31" t="str">
        <f>IF(A66&lt;&gt;"",IF(OR(AA66+0.5&gt;=93,AA66+0.5&lt;60),"",IF(MOD(AA66+0.5,10)&gt;=7,"+",IF(MOD(AA66+0.5,10)&lt;3,"-",""))),"")</f>
        <v>+</v>
      </c>
      <c r="AE66" s="31">
        <f>IF(A66&lt;&gt;"",SUM(W66:X66,$W$8:$X$8)/SUM($W$2:$X$2)*100,"")</f>
        <v>81.363804247460763</v>
      </c>
      <c r="AF66" s="31" t="str">
        <f>IF(A66&lt;&gt;"",CHOOSE(10-MIN(9,TRUNC((AE66+0.5)/10)),"A","B","C","D","F","F","F","F","F","F"),"")</f>
        <v>B</v>
      </c>
      <c r="AG66" s="31" t="str">
        <f>IF(A66&lt;&gt;"",IF(OR(AE66+0.5&gt;=93,AE66+0.5&lt;60),"",IF(MOD(AE66+0.5,10)&gt;=7,"+",IF(MOD(AE66+0.5,10)&lt;3,"-",""))),"")</f>
        <v>-</v>
      </c>
      <c r="AH66" s="35">
        <f>IF(A66&lt;&gt;"",MIN(MAX(AA66,AE66),AA66+$AH$8,AE66+$AH$8),"")</f>
        <v>88.481902123730379</v>
      </c>
      <c r="AI66" s="31" t="str">
        <f>IF(A66&lt;&gt;"",CHOOSE(10-MIN(9,TRUNC((AH66+0.5)/10)),"A","B","C","D","F","F","F","F","F","F"),"")</f>
        <v>B</v>
      </c>
      <c r="AJ66" s="31" t="str">
        <f>IF(A66&lt;&gt;"",IF(OR(AH66+0.5&gt;=93,AH66+0.5&lt;60),"",IF(MOD(AH66+0.5,10)&gt;=7,"+",IF(MOD(AH66+0.5,10)&lt;3,"-",""))),"")</f>
        <v>+</v>
      </c>
      <c r="AK66" s="31" t="b">
        <f>IF(A66&lt;&gt;"",OR(AI66&lt;&gt;AC66,AJ66&lt;&gt;AD66),"")</f>
        <v>0</v>
      </c>
      <c r="AL66" s="81">
        <f>IF(AND(A66&lt;&gt;"",U66&gt;0),SUM(U66,$AL$8)/$AL$2*100,"")</f>
        <v>92.5</v>
      </c>
      <c r="AM66" s="24">
        <f>IF(AND(A66&lt;&gt;"",V66&gt;0),SUM(V66,$AM$8)/$AM$2*100,"")</f>
        <v>96.666666666666671</v>
      </c>
      <c r="AN66" s="24" t="str">
        <f>IF(AND(A66&lt;&gt;"",P66&lt;&gt;0),SUM(P66,$AN$8)/$AN$2*100,"")</f>
        <v/>
      </c>
      <c r="AO66" s="24" t="str">
        <f>IF(AND(A66&lt;&gt;"",Q66&lt;&gt;0),SUM(Q66,$AO$8)/$AO$2*100,"")</f>
        <v/>
      </c>
      <c r="AP66" s="24">
        <f>IF(AND(A66&lt;&gt;"",R66&lt;&gt;0),SUM(R66,$AP$8)/$AP$2*100,"")</f>
        <v>70.002659574468083</v>
      </c>
      <c r="AQ66" s="24" t="str">
        <f>IF(AND(A66&lt;&gt;"",W66&gt;0),SUM(W66,$AQ$8)/$AQ$2*100,"")</f>
        <v/>
      </c>
      <c r="AR66" s="24">
        <f>IF(AND(A66&lt;&gt;"",T66&gt;0),SUM(T66,$AR$8)/$AR$2*100,"")</f>
        <v>81.363804247460763</v>
      </c>
      <c r="AS66" s="24">
        <f>IF(AND(A66&lt;&gt;"",X66&lt;&gt;0),SUM(X66,$AS$8)/$AS$2*100,"")</f>
        <v>81.363804247460763</v>
      </c>
      <c r="AT66" s="86">
        <f>IF(A66&lt;&gt;"",SUM(W66:X66,$AT$8)/$AT$2*100,"")</f>
        <v>81.363804247460763</v>
      </c>
      <c r="AU66" s="24">
        <f>AA66</f>
        <v>88.481902123730379</v>
      </c>
      <c r="AV66" s="24"/>
      <c r="AW66" s="27">
        <f>IF(A66&lt;&gt;"",AE66-AA66,"")</f>
        <v>-7.1180978762696157</v>
      </c>
      <c r="AY66" s="27">
        <f>AR66-AP66</f>
        <v>11.36114467299268</v>
      </c>
      <c r="AZ66" s="27">
        <f>ABS(AY66)</f>
        <v>11.36114467299268</v>
      </c>
    </row>
    <row r="67" spans="1:52" s="27" customFormat="1" ht="12.75" customHeight="1" x14ac:dyDescent="0.2">
      <c r="A67" s="10">
        <v>160744</v>
      </c>
      <c r="B67" s="2">
        <v>23</v>
      </c>
      <c r="C67" s="10">
        <v>17</v>
      </c>
      <c r="D67" s="10">
        <v>24</v>
      </c>
      <c r="E67" s="10">
        <v>20</v>
      </c>
      <c r="F67" s="10">
        <v>25</v>
      </c>
      <c r="G67" s="10">
        <v>25</v>
      </c>
      <c r="H67" s="10">
        <v>7</v>
      </c>
      <c r="I67" s="10">
        <v>25</v>
      </c>
      <c r="J67" s="2"/>
      <c r="K67" s="10">
        <v>39</v>
      </c>
      <c r="L67" s="10">
        <v>49</v>
      </c>
      <c r="M67" s="10">
        <v>33</v>
      </c>
      <c r="N67" s="51">
        <v>60</v>
      </c>
      <c r="O67" s="11">
        <v>60</v>
      </c>
      <c r="P67" s="10"/>
      <c r="Q67" s="40"/>
      <c r="R67" s="2">
        <v>109</v>
      </c>
      <c r="S67" s="10">
        <f>IF(T67="",R67,MAX((R67+$R$8)/$R$2,(T67+$T$8)/$T$2)*$R$2-$R$8)</f>
        <v>121.72228934598533</v>
      </c>
      <c r="T67" s="12">
        <v>180</v>
      </c>
      <c r="U67" s="34">
        <f>IF(A67&lt;&gt;"",SUM(B67:I67),"")</f>
        <v>166</v>
      </c>
      <c r="V67" s="10">
        <f>IF(A67&lt;&gt;"",SUM(J67:O67),"")</f>
        <v>241</v>
      </c>
      <c r="W67" s="10">
        <f>IF(A67&lt;&gt;"",SUM(P67:Q67),"")</f>
        <v>0</v>
      </c>
      <c r="X67" s="10">
        <f>IF(A67&lt;&gt;"",SUM(S67:T67),"")</f>
        <v>301.72228934598536</v>
      </c>
      <c r="Y67" s="12">
        <v>3</v>
      </c>
      <c r="Z67" s="12">
        <f>IF(A67&lt;&gt;"",SUM(U67:Y67),"")</f>
        <v>711.72228934598536</v>
      </c>
      <c r="AA67" s="27">
        <f>IF(A67&lt;&gt;"",(Z67+Normalize_To_Add)/(Point_Total_So_Far)*100,"")</f>
        <v>78.681902123730367</v>
      </c>
      <c r="AB67" s="10">
        <f>IF(A67&lt;&gt;"",RANK(AA67,All_Student_XC),"")</f>
        <v>230</v>
      </c>
      <c r="AC67" s="31" t="str">
        <f>IF(A67&lt;&gt;"",CHOOSE(10-MIN(9,TRUNC((AA67+0.5)/10)),"A","B","C","D","F","F","F","F","F","F"),"")</f>
        <v>C</v>
      </c>
      <c r="AD67" s="31" t="str">
        <f>IF(A67&lt;&gt;"",IF(OR(AA67+0.5&gt;=93,AA67+0.5&lt;60),"",IF(MOD(AA67+0.5,10)&gt;=7,"+",IF(MOD(AA67+0.5,10)&lt;3,"-",""))),"")</f>
        <v>+</v>
      </c>
      <c r="AE67" s="31">
        <f>IF(A67&lt;&gt;"",SUM(W67:X67,$W$8:$X$8)/SUM($W$2:$X$2)*100,"")</f>
        <v>75.363804247460749</v>
      </c>
      <c r="AF67" s="31" t="str">
        <f>IF(A67&lt;&gt;"",CHOOSE(10-MIN(9,TRUNC((AE67+0.5)/10)),"A","B","C","D","F","F","F","F","F","F"),"")</f>
        <v>C</v>
      </c>
      <c r="AG67" s="31" t="str">
        <f>IF(A67&lt;&gt;"",IF(OR(AE67+0.5&gt;=93,AE67+0.5&lt;60),"",IF(MOD(AE67+0.5,10)&gt;=7,"+",IF(MOD(AE67+0.5,10)&lt;3,"-",""))),"")</f>
        <v/>
      </c>
      <c r="AH67" s="35">
        <f>IF(A67&lt;&gt;"",MIN(MAX(AA67,AE67),AA67+$AH$8,AE67+$AH$8),"")</f>
        <v>78.681902123730367</v>
      </c>
      <c r="AI67" s="31" t="str">
        <f>IF(A67&lt;&gt;"",CHOOSE(10-MIN(9,TRUNC((AH67+0.5)/10)),"A","B","C","D","F","F","F","F","F","F"),"")</f>
        <v>C</v>
      </c>
      <c r="AJ67" s="31" t="str">
        <f>IF(A67&lt;&gt;"",IF(OR(AH67+0.5&gt;=93,AH67+0.5&lt;60),"",IF(MOD(AH67+0.5,10)&gt;=7,"+",IF(MOD(AH67+0.5,10)&lt;3,"-",""))),"")</f>
        <v>+</v>
      </c>
      <c r="AK67" s="31" t="b">
        <f>IF(A67&lt;&gt;"",OR(AI67&lt;&gt;AC67,AJ67&lt;&gt;AD67),"")</f>
        <v>0</v>
      </c>
      <c r="AL67" s="81">
        <f>IF(AND(A67&lt;&gt;"",U67&gt;0),SUM(U67,$AL$8)/$AL$2*100,"")</f>
        <v>83</v>
      </c>
      <c r="AM67" s="24">
        <f>IF(AND(A67&lt;&gt;"",V67&gt;0),SUM(V67,$AM$8)/$AM$2*100,"")</f>
        <v>80.333333333333329</v>
      </c>
      <c r="AN67" s="24" t="str">
        <f>IF(AND(A67&lt;&gt;"",P67&lt;&gt;0),SUM(P67,$AN$8)/$AN$2*100,"")</f>
        <v/>
      </c>
      <c r="AO67" s="24" t="str">
        <f>IF(AND(A67&lt;&gt;"",Q67&lt;&gt;0),SUM(Q67,$AO$8)/$AO$2*100,"")</f>
        <v/>
      </c>
      <c r="AP67" s="24">
        <f>IF(AND(A67&lt;&gt;"",R67&lt;&gt;0),SUM(R67,$AP$8)/$AP$2*100,"")</f>
        <v>69.002659574468083</v>
      </c>
      <c r="AQ67" s="24" t="str">
        <f>IF(AND(A67&lt;&gt;"",W67&gt;0),SUM(W67,$AQ$8)/$AQ$2*100,"")</f>
        <v/>
      </c>
      <c r="AR67" s="24">
        <f>IF(AND(A67&lt;&gt;"",T67&gt;0),SUM(T67,$AR$8)/$AR$2*100,"")</f>
        <v>75.363804247460749</v>
      </c>
      <c r="AS67" s="24">
        <f>IF(AND(A67&lt;&gt;"",X67&lt;&gt;0),SUM(X67,$AS$8)/$AS$2*100,"")</f>
        <v>75.363804247460749</v>
      </c>
      <c r="AT67" s="86">
        <f>IF(A67&lt;&gt;"",SUM(W67:X67,$AT$8)/$AT$2*100,"")</f>
        <v>75.363804247460749</v>
      </c>
      <c r="AU67" s="24">
        <f>AA67</f>
        <v>78.681902123730367</v>
      </c>
      <c r="AV67" s="24"/>
      <c r="AW67" s="27">
        <f>IF(A67&lt;&gt;"",AE67-AA67,"")</f>
        <v>-3.3180978762696185</v>
      </c>
      <c r="AY67" s="27">
        <f>AR67-AP67</f>
        <v>6.3611446729926655</v>
      </c>
      <c r="AZ67" s="27">
        <f>ABS(AY67)</f>
        <v>6.3611446729926655</v>
      </c>
    </row>
    <row r="68" spans="1:52" s="27" customFormat="1" ht="12.75" customHeight="1" x14ac:dyDescent="0.2">
      <c r="A68" s="10">
        <v>163874</v>
      </c>
      <c r="B68" s="2">
        <v>25</v>
      </c>
      <c r="C68" s="10">
        <v>23</v>
      </c>
      <c r="D68" s="10">
        <v>24</v>
      </c>
      <c r="E68" s="10">
        <v>23</v>
      </c>
      <c r="F68" s="10">
        <v>24</v>
      </c>
      <c r="G68" s="10">
        <v>25</v>
      </c>
      <c r="H68" s="10">
        <v>25</v>
      </c>
      <c r="I68" s="10">
        <v>25</v>
      </c>
      <c r="J68" s="2"/>
      <c r="K68" s="10">
        <v>62</v>
      </c>
      <c r="L68" s="10">
        <v>57</v>
      </c>
      <c r="M68" s="10">
        <v>55</v>
      </c>
      <c r="N68" s="51">
        <v>55</v>
      </c>
      <c r="O68" s="11">
        <v>62</v>
      </c>
      <c r="P68" s="10"/>
      <c r="Q68" s="40"/>
      <c r="R68" s="2">
        <v>118</v>
      </c>
      <c r="S68" s="10">
        <f>IF(T68="",R68,MAX((R68+$R$8)/$R$2,(T68+$T$8)/$T$2)*$R$2-$R$8)</f>
        <v>118</v>
      </c>
      <c r="T68" s="12">
        <v>105</v>
      </c>
      <c r="U68" s="34">
        <f>IF(A68&lt;&gt;"",SUM(B68:I68),"")</f>
        <v>194</v>
      </c>
      <c r="V68" s="10">
        <f>IF(A68&lt;&gt;"",SUM(J68:O68),"")</f>
        <v>291</v>
      </c>
      <c r="W68" s="10">
        <f>IF(A68&lt;&gt;"",SUM(P68:Q68),"")</f>
        <v>0</v>
      </c>
      <c r="X68" s="10">
        <f>IF(A68&lt;&gt;"",SUM(S68:T68),"")</f>
        <v>223</v>
      </c>
      <c r="Y68" s="12">
        <v>3</v>
      </c>
      <c r="Z68" s="12">
        <f>IF(A68&lt;&gt;"",SUM(U68:Y68),"")</f>
        <v>711</v>
      </c>
      <c r="AA68" s="27">
        <f>IF(A68&lt;&gt;"",(Z68+Normalize_To_Add)/(Point_Total_So_Far)*100,"")</f>
        <v>78.60967318913184</v>
      </c>
      <c r="AB68" s="10">
        <f>IF(A68&lt;&gt;"",RANK(AA68,All_Student_XC),"")</f>
        <v>231</v>
      </c>
      <c r="AC68" s="31" t="str">
        <f>IF(A68&lt;&gt;"",CHOOSE(10-MIN(9,TRUNC((AA68+0.5)/10)),"A","B","C","D","F","F","F","F","F","F"),"")</f>
        <v>C</v>
      </c>
      <c r="AD68" s="31" t="str">
        <f>IF(A68&lt;&gt;"",IF(OR(AA68+0.5&gt;=93,AA68+0.5&lt;60),"",IF(MOD(AA68+0.5,10)&gt;=7,"+",IF(MOD(AA68+0.5,10)&lt;3,"-",""))),"")</f>
        <v>+</v>
      </c>
      <c r="AE68" s="31">
        <f>IF(A68&lt;&gt;"",SUM(W68:X68,$W$8:$X$8)/SUM($W$2:$X$2)*100,"")</f>
        <v>59.619346378263685</v>
      </c>
      <c r="AF68" s="31" t="str">
        <f>IF(A68&lt;&gt;"",CHOOSE(10-MIN(9,TRUNC((AE68+0.5)/10)),"A","B","C","D","F","F","F","F","F","F"),"")</f>
        <v>D</v>
      </c>
      <c r="AG68" s="31" t="str">
        <f>IF(A68&lt;&gt;"",IF(OR(AE68+0.5&gt;=93,AE68+0.5&lt;60),"",IF(MOD(AE68+0.5,10)&gt;=7,"+",IF(MOD(AE68+0.5,10)&lt;3,"-",""))),"")</f>
        <v>-</v>
      </c>
      <c r="AH68" s="35">
        <f>IF(A68&lt;&gt;"",MIN(MAX(AA68,AE68),AA68+$AH$8,AE68+$AH$8),"")</f>
        <v>78.60967318913184</v>
      </c>
      <c r="AI68" s="31" t="str">
        <f>IF(A68&lt;&gt;"",CHOOSE(10-MIN(9,TRUNC((AH68+0.5)/10)),"A","B","C","D","F","F","F","F","F","F"),"")</f>
        <v>C</v>
      </c>
      <c r="AJ68" s="31" t="str">
        <f>IF(A68&lt;&gt;"",IF(OR(AH68+0.5&gt;=93,AH68+0.5&lt;60),"",IF(MOD(AH68+0.5,10)&gt;=7,"+",IF(MOD(AH68+0.5,10)&lt;3,"-",""))),"")</f>
        <v>+</v>
      </c>
      <c r="AK68" s="31" t="b">
        <f>IF(A68&lt;&gt;"",OR(AI68&lt;&gt;AC68,AJ68&lt;&gt;AD68),"")</f>
        <v>0</v>
      </c>
      <c r="AL68" s="81">
        <f>IF(AND(A68&lt;&gt;"",U68&gt;0),SUM(U68,$AL$8)/$AL$2*100,"")</f>
        <v>97</v>
      </c>
      <c r="AM68" s="24">
        <f>IF(AND(A68&lt;&gt;"",V68&gt;0),SUM(V68,$AM$8)/$AM$2*100,"")</f>
        <v>97</v>
      </c>
      <c r="AN68" s="24" t="str">
        <f>IF(AND(A68&lt;&gt;"",P68&lt;&gt;0),SUM(P68,$AN$8)/$AN$2*100,"")</f>
        <v/>
      </c>
      <c r="AO68" s="24" t="str">
        <f>IF(AND(A68&lt;&gt;"",Q68&lt;&gt;0),SUM(Q68,$AO$8)/$AO$2*100,"")</f>
        <v/>
      </c>
      <c r="AP68" s="24">
        <f>IF(AND(A68&lt;&gt;"",R68&lt;&gt;0),SUM(R68,$AP$8)/$AP$2*100,"")</f>
        <v>73.502659574468083</v>
      </c>
      <c r="AQ68" s="24" t="str">
        <f>IF(AND(A68&lt;&gt;"",W68&gt;0),SUM(W68,$AQ$8)/$AQ$2*100,"")</f>
        <v/>
      </c>
      <c r="AR68" s="24">
        <f>IF(AND(A68&lt;&gt;"",T68&gt;0),SUM(T68,$AR$8)/$AR$2*100,"")</f>
        <v>50.363804247460756</v>
      </c>
      <c r="AS68" s="24">
        <f>IF(AND(A68&lt;&gt;"",X68&lt;&gt;0),SUM(X68,$AS$8)/$AS$2*100,"")</f>
        <v>59.619346378263685</v>
      </c>
      <c r="AT68" s="86">
        <f>IF(A68&lt;&gt;"",SUM(W68:X68,$AT$8)/$AT$2*100,"")</f>
        <v>59.619346378263685</v>
      </c>
      <c r="AU68" s="24">
        <f>AA68</f>
        <v>78.60967318913184</v>
      </c>
      <c r="AV68" s="24"/>
      <c r="AW68" s="27">
        <f>IF(A68&lt;&gt;"",AE68-AA68,"")</f>
        <v>-18.990326810868154</v>
      </c>
      <c r="AY68" s="27">
        <f>AR68-AP68</f>
        <v>-23.138855327007327</v>
      </c>
      <c r="AZ68" s="27">
        <f>ABS(AY68)</f>
        <v>23.138855327007327</v>
      </c>
    </row>
    <row r="69" spans="1:52" s="27" customFormat="1" ht="12.75" customHeight="1" x14ac:dyDescent="0.2">
      <c r="A69" s="50">
        <v>167044</v>
      </c>
      <c r="B69" s="2">
        <v>25</v>
      </c>
      <c r="C69" s="50">
        <v>25</v>
      </c>
      <c r="D69" s="10">
        <v>22</v>
      </c>
      <c r="E69" s="10">
        <v>19</v>
      </c>
      <c r="F69" s="10">
        <v>24</v>
      </c>
      <c r="G69" s="10">
        <v>19</v>
      </c>
      <c r="H69" s="10">
        <v>24</v>
      </c>
      <c r="I69" s="10">
        <v>23</v>
      </c>
      <c r="J69" s="2"/>
      <c r="K69" s="10">
        <v>57</v>
      </c>
      <c r="L69" s="10">
        <v>60</v>
      </c>
      <c r="M69" s="10">
        <v>60</v>
      </c>
      <c r="N69" s="51">
        <v>62</v>
      </c>
      <c r="O69" s="11">
        <v>62</v>
      </c>
      <c r="P69" s="10"/>
      <c r="Q69" s="40"/>
      <c r="R69" s="2">
        <v>163</v>
      </c>
      <c r="S69" s="10">
        <f>IF(T69="",R69,MAX((R69+$R$8)/$R$2,(T69+$T$8)/$T$2)*$R$2-$R$8)</f>
        <v>163</v>
      </c>
      <c r="T69" s="62">
        <v>217</v>
      </c>
      <c r="U69" s="10">
        <f>IF(A69&lt;&gt;"",SUM(B69:I69),"")</f>
        <v>181</v>
      </c>
      <c r="V69" s="10">
        <f>IF(A69&lt;&gt;"",SUM(J69:O69),"")</f>
        <v>301</v>
      </c>
      <c r="W69" s="10">
        <f>IF(A69&lt;&gt;"",SUM(P69:Q69),"")</f>
        <v>0</v>
      </c>
      <c r="X69" s="10">
        <f>IF(A69&lt;&gt;"",SUM(S69:T69),"")</f>
        <v>380</v>
      </c>
      <c r="Y69" s="12">
        <v>3</v>
      </c>
      <c r="Z69" s="12">
        <f>IF(A69&lt;&gt;"",SUM(U69:Y69),"")</f>
        <v>865</v>
      </c>
      <c r="AA69" s="27">
        <f>IF(A69&lt;&gt;"",(Z69+Normalize_To_Add)/(Point_Total_So_Far)*100,"")</f>
        <v>94.009673189131846</v>
      </c>
      <c r="AB69" s="10">
        <f>IF(A69&lt;&gt;"",RANK(AA69,All_Student_XC),"")</f>
        <v>41</v>
      </c>
      <c r="AC69" s="31" t="str">
        <f>IF(A69&lt;&gt;"",CHOOSE(10-MIN(9,TRUNC((AA69+0.5)/10)),"A","B","C","D","F","F","F","F","F","F"),"")</f>
        <v>A</v>
      </c>
      <c r="AD69" s="31" t="str">
        <f>IF(A69&lt;&gt;"",IF(OR(AA69+0.5&gt;=93,AA69+0.5&lt;60),"",IF(MOD(AA69+0.5,10)&gt;=7,"+",IF(MOD(AA69+0.5,10)&lt;3,"-",""))),"")</f>
        <v/>
      </c>
      <c r="AE69" s="31">
        <f>IF(A69&lt;&gt;"",SUM(W69:X69,$W$8:$X$8)/SUM($W$2:$X$2)*100,"")</f>
        <v>91.019346378263691</v>
      </c>
      <c r="AF69" s="43" t="str">
        <f>IF(A69&lt;&gt;"",CHOOSE(10-MIN(9,TRUNC((AE69+0.5)/10)),"A","B","C","D","F","F","F","F","F","F"),"")</f>
        <v>A</v>
      </c>
      <c r="AG69" s="43" t="str">
        <f>IF(A69&lt;&gt;"",IF(OR(AE69+0.5&gt;=93,AE69+0.5&lt;60),"",IF(MOD(AE69+0.5,10)&gt;=7,"+",IF(MOD(AE69+0.5,10)&lt;3,"-",""))),"")</f>
        <v>-</v>
      </c>
      <c r="AH69" s="35">
        <f>IF(A69&lt;&gt;"",MIN(MAX(AA69,AE69),AA69+$AH$8,AE69+$AH$8),"")</f>
        <v>94.009673189131846</v>
      </c>
      <c r="AI69" s="31" t="str">
        <f>IF(A69&lt;&gt;"",CHOOSE(10-MIN(9,TRUNC((AH69+0.5)/10)),"A","B","C","D","F","F","F","F","F","F"),"")</f>
        <v>A</v>
      </c>
      <c r="AJ69" s="31" t="str">
        <f>IF(A69&lt;&gt;"",IF(OR(AH69+0.5&gt;=93,AH69+0.5&lt;60),"",IF(MOD(AH69+0.5,10)&gt;=7,"+",IF(MOD(AH69+0.5,10)&lt;3,"-",""))),"")</f>
        <v/>
      </c>
      <c r="AK69" s="31" t="b">
        <f>IF(A69&lt;&gt;"",OR(AI69&lt;&gt;AC69,AJ69&lt;&gt;AD69),"")</f>
        <v>0</v>
      </c>
      <c r="AL69" s="81">
        <f>IF(AND(A69&lt;&gt;"",U69&gt;0),SUM(U69,$AL$8)/$AL$2*100,"")</f>
        <v>90.5</v>
      </c>
      <c r="AM69" s="24">
        <f>IF(AND(A69&lt;&gt;"",V69&gt;0),SUM(V69,$AM$8)/$AM$2*100,"")</f>
        <v>100.33333333333334</v>
      </c>
      <c r="AN69" s="24" t="str">
        <f>IF(AND(A69&lt;&gt;"",P69&lt;&gt;0),SUM(P69,$AN$8)/$AN$2*100,"")</f>
        <v/>
      </c>
      <c r="AO69" s="24" t="str">
        <f>IF(AND(A69&lt;&gt;"",Q69&lt;&gt;0),SUM(Q69,$AO$8)/$AO$2*100,"")</f>
        <v/>
      </c>
      <c r="AP69" s="24">
        <f>IF(AND(A69&lt;&gt;"",R69&lt;&gt;0),SUM(R69,$AP$8)/$AP$2*100,"")</f>
        <v>96.002659574468083</v>
      </c>
      <c r="AQ69" s="24" t="str">
        <f>IF(AND(A69&lt;&gt;"",W69&gt;0),SUM(W69,$AQ$8)/$AQ$2*100,"")</f>
        <v/>
      </c>
      <c r="AR69" s="24">
        <f>IF(AND(A69&lt;&gt;"",T69&gt;0),SUM(T69,$AR$8)/$AR$2*100,"")</f>
        <v>87.697137580794077</v>
      </c>
      <c r="AS69" s="24">
        <f>IF(AND(A69&lt;&gt;"",X69&lt;&gt;0),SUM(X69,$AS$8)/$AS$2*100,"")</f>
        <v>91.019346378263691</v>
      </c>
      <c r="AT69" s="86">
        <f>IF(A69&lt;&gt;"",SUM(W69:X69,$AT$8)/$AT$2*100,"")</f>
        <v>91.019346378263691</v>
      </c>
      <c r="AU69" s="24">
        <f>AA69</f>
        <v>94.009673189131846</v>
      </c>
      <c r="AV69" s="24"/>
      <c r="AW69" s="27">
        <f>IF(A69&lt;&gt;"",AE69-AA69,"")</f>
        <v>-2.9903268108681544</v>
      </c>
      <c r="AY69" s="27">
        <f>AR69-AP69</f>
        <v>-8.3055219936740059</v>
      </c>
      <c r="AZ69" s="27">
        <f>ABS(AY69)</f>
        <v>8.3055219936740059</v>
      </c>
    </row>
    <row r="70" spans="1:52" s="27" customFormat="1" ht="12.75" customHeight="1" x14ac:dyDescent="0.2">
      <c r="A70" s="10">
        <v>167152</v>
      </c>
      <c r="B70" s="2">
        <v>25</v>
      </c>
      <c r="C70" s="10">
        <v>21</v>
      </c>
      <c r="D70" s="10">
        <v>12</v>
      </c>
      <c r="E70" s="10">
        <v>21</v>
      </c>
      <c r="F70" s="10">
        <v>13</v>
      </c>
      <c r="G70" s="10">
        <v>25</v>
      </c>
      <c r="H70" s="10">
        <v>25</v>
      </c>
      <c r="I70" s="10">
        <v>13</v>
      </c>
      <c r="J70" s="2"/>
      <c r="K70" s="10">
        <v>46</v>
      </c>
      <c r="L70" s="10">
        <v>49</v>
      </c>
      <c r="M70" s="10">
        <v>57</v>
      </c>
      <c r="N70" s="51">
        <v>54</v>
      </c>
      <c r="O70" s="11">
        <v>60</v>
      </c>
      <c r="P70" s="10"/>
      <c r="Q70" s="40"/>
      <c r="R70" s="2">
        <v>113</v>
      </c>
      <c r="S70" s="10">
        <f>IF(T70="",R70,MAX((R70+$R$8)/$R$2,(T70+$T$8)/$T$2)*$R$2-$R$8)</f>
        <v>113</v>
      </c>
      <c r="T70" s="12">
        <v>164</v>
      </c>
      <c r="U70" s="34">
        <f>IF(A70&lt;&gt;"",SUM(B70:I70),"")</f>
        <v>155</v>
      </c>
      <c r="V70" s="10">
        <f>IF(A70&lt;&gt;"",SUM(J70:O70),"")</f>
        <v>266</v>
      </c>
      <c r="W70" s="10">
        <f>IF(A70&lt;&gt;"",SUM(P70:Q70),"")</f>
        <v>0</v>
      </c>
      <c r="X70" s="10">
        <f>IF(A70&lt;&gt;"",SUM(S70:T70),"")</f>
        <v>277</v>
      </c>
      <c r="Y70" s="12">
        <v>3</v>
      </c>
      <c r="Z70" s="12">
        <f>IF(A70&lt;&gt;"",SUM(U70:Y70),"")</f>
        <v>701</v>
      </c>
      <c r="AA70" s="27">
        <f>IF(A70&lt;&gt;"",(Z70+Normalize_To_Add)/(Point_Total_So_Far)*100,"")</f>
        <v>77.60967318913184</v>
      </c>
      <c r="AB70" s="10">
        <f>IF(A70&lt;&gt;"",RANK(AA70,All_Student_XC),"")</f>
        <v>248</v>
      </c>
      <c r="AC70" s="31" t="str">
        <f>IF(A70&lt;&gt;"",CHOOSE(10-MIN(9,TRUNC((AA70+0.5)/10)),"A","B","C","D","F","F","F","F","F","F"),"")</f>
        <v>C</v>
      </c>
      <c r="AD70" s="31" t="str">
        <f>IF(A70&lt;&gt;"",IF(OR(AA70+0.5&gt;=93,AA70+0.5&lt;60),"",IF(MOD(AA70+0.5,10)&gt;=7,"+",IF(MOD(AA70+0.5,10)&lt;3,"-",""))),"")</f>
        <v>+</v>
      </c>
      <c r="AE70" s="31">
        <f>IF(A70&lt;&gt;"",SUM(W70:X70,$W$8:$X$8)/SUM($W$2:$X$2)*100,"")</f>
        <v>70.419346378263683</v>
      </c>
      <c r="AF70" s="31" t="str">
        <f>IF(A70&lt;&gt;"",CHOOSE(10-MIN(9,TRUNC((AE70+0.5)/10)),"A","B","C","D","F","F","F","F","F","F"),"")</f>
        <v>C</v>
      </c>
      <c r="AG70" s="31" t="str">
        <f>IF(A70&lt;&gt;"",IF(OR(AE70+0.5&gt;=93,AE70+0.5&lt;60),"",IF(MOD(AE70+0.5,10)&gt;=7,"+",IF(MOD(AE70+0.5,10)&lt;3,"-",""))),"")</f>
        <v>-</v>
      </c>
      <c r="AH70" s="35">
        <f>IF(A70&lt;&gt;"",MIN(MAX(AA70,AE70),AA70+$AH$8,AE70+$AH$8),"")</f>
        <v>77.60967318913184</v>
      </c>
      <c r="AI70" s="31" t="str">
        <f>IF(A70&lt;&gt;"",CHOOSE(10-MIN(9,TRUNC((AH70+0.5)/10)),"A","B","C","D","F","F","F","F","F","F"),"")</f>
        <v>C</v>
      </c>
      <c r="AJ70" s="31" t="str">
        <f>IF(A70&lt;&gt;"",IF(OR(AH70+0.5&gt;=93,AH70+0.5&lt;60),"",IF(MOD(AH70+0.5,10)&gt;=7,"+",IF(MOD(AH70+0.5,10)&lt;3,"-",""))),"")</f>
        <v>+</v>
      </c>
      <c r="AK70" s="31" t="b">
        <f>IF(A70&lt;&gt;"",OR(AI70&lt;&gt;AC70,AJ70&lt;&gt;AD70),"")</f>
        <v>0</v>
      </c>
      <c r="AL70" s="81">
        <f>IF(AND(A70&lt;&gt;"",U70&gt;0),SUM(U70,$AL$8)/$AL$2*100,"")</f>
        <v>77.5</v>
      </c>
      <c r="AM70" s="24">
        <f>IF(AND(A70&lt;&gt;"",V70&gt;0),SUM(V70,$AM$8)/$AM$2*100,"")</f>
        <v>88.666666666666671</v>
      </c>
      <c r="AN70" s="24" t="str">
        <f>IF(AND(A70&lt;&gt;"",P70&lt;&gt;0),SUM(P70,$AN$8)/$AN$2*100,"")</f>
        <v/>
      </c>
      <c r="AO70" s="24" t="str">
        <f>IF(AND(A70&lt;&gt;"",Q70&lt;&gt;0),SUM(Q70,$AO$8)/$AO$2*100,"")</f>
        <v/>
      </c>
      <c r="AP70" s="24">
        <f>IF(AND(A70&lt;&gt;"",R70&lt;&gt;0),SUM(R70,$AP$8)/$AP$2*100,"")</f>
        <v>71.002659574468083</v>
      </c>
      <c r="AQ70" s="24" t="str">
        <f>IF(AND(A70&lt;&gt;"",W70&gt;0),SUM(W70,$AQ$8)/$AQ$2*100,"")</f>
        <v/>
      </c>
      <c r="AR70" s="24">
        <f>IF(AND(A70&lt;&gt;"",T70&gt;0),SUM(T70,$AR$8)/$AR$2*100,"")</f>
        <v>70.03047091412742</v>
      </c>
      <c r="AS70" s="24">
        <f>IF(AND(A70&lt;&gt;"",X70&lt;&gt;0),SUM(X70,$AS$8)/$AS$2*100,"")</f>
        <v>70.419346378263683</v>
      </c>
      <c r="AT70" s="86">
        <f>IF(A70&lt;&gt;"",SUM(W70:X70,$AT$8)/$AT$2*100,"")</f>
        <v>70.419346378263683</v>
      </c>
      <c r="AU70" s="24">
        <f>AA70</f>
        <v>77.60967318913184</v>
      </c>
      <c r="AV70" s="24"/>
      <c r="AW70" s="27">
        <f>IF(A70&lt;&gt;"",AE70-AA70,"")</f>
        <v>-7.1903268108681573</v>
      </c>
      <c r="AY70" s="27">
        <f>AR70-AP70</f>
        <v>-0.97218866034066309</v>
      </c>
      <c r="AZ70" s="27">
        <f>ABS(AY70)</f>
        <v>0.97218866034066309</v>
      </c>
    </row>
    <row r="71" spans="1:52" s="27" customFormat="1" ht="12.75" customHeight="1" x14ac:dyDescent="0.2">
      <c r="A71" s="50">
        <v>167506</v>
      </c>
      <c r="B71" s="2">
        <v>9</v>
      </c>
      <c r="C71" s="50">
        <v>23</v>
      </c>
      <c r="D71" s="10">
        <v>22</v>
      </c>
      <c r="E71" s="10">
        <v>22</v>
      </c>
      <c r="F71" s="10">
        <v>16</v>
      </c>
      <c r="G71" s="10">
        <v>25</v>
      </c>
      <c r="H71" s="10">
        <v>24</v>
      </c>
      <c r="I71" s="10">
        <v>22</v>
      </c>
      <c r="J71" s="2"/>
      <c r="K71" s="10">
        <v>9</v>
      </c>
      <c r="L71" s="10">
        <v>60</v>
      </c>
      <c r="M71" s="10">
        <v>57</v>
      </c>
      <c r="N71" s="51">
        <v>56</v>
      </c>
      <c r="O71" s="11">
        <v>45</v>
      </c>
      <c r="P71" s="10"/>
      <c r="Q71" s="40"/>
      <c r="R71" s="2">
        <v>85</v>
      </c>
      <c r="S71" s="10">
        <f>IF(T71="",R71,MAX((R71+$R$8)/$R$2,(T71+$T$8)/$T$2)*$R$2-$R$8)</f>
        <v>100.38895601265199</v>
      </c>
      <c r="T71" s="62">
        <v>148</v>
      </c>
      <c r="U71" s="10">
        <f>IF(A71&lt;&gt;"",SUM(B71:I71),"")</f>
        <v>163</v>
      </c>
      <c r="V71" s="10">
        <f>IF(A71&lt;&gt;"",SUM(J71:O71),"")</f>
        <v>227</v>
      </c>
      <c r="W71" s="10">
        <f>IF(A71&lt;&gt;"",SUM(P71:Q71),"")</f>
        <v>0</v>
      </c>
      <c r="X71" s="10">
        <f>IF(A71&lt;&gt;"",SUM(S71:T71),"")</f>
        <v>248.38895601265199</v>
      </c>
      <c r="Y71" s="12">
        <v>3</v>
      </c>
      <c r="Z71" s="12">
        <f>IF(A71&lt;&gt;"",SUM(U71:Y71),"")</f>
        <v>641.38895601265199</v>
      </c>
      <c r="AA71" s="27">
        <f>IF(A71&lt;&gt;"",(Z71+Normalize_To_Add)/(Point_Total_So_Far)*100,"")</f>
        <v>71.648568790397036</v>
      </c>
      <c r="AB71" s="10">
        <f>IF(A71&lt;&gt;"",RANK(AA71,All_Student_XC),"")</f>
        <v>299</v>
      </c>
      <c r="AC71" s="31" t="str">
        <f>IF(A71&lt;&gt;"",CHOOSE(10-MIN(9,TRUNC((AA71+0.5)/10)),"A","B","C","D","F","F","F","F","F","F"),"")</f>
        <v>C</v>
      </c>
      <c r="AD71" s="31" t="str">
        <f>IF(A71&lt;&gt;"",IF(OR(AA71+0.5&gt;=93,AA71+0.5&lt;60),"",IF(MOD(AA71+0.5,10)&gt;=7,"+",IF(MOD(AA71+0.5,10)&lt;3,"-",""))),"")</f>
        <v>-</v>
      </c>
      <c r="AE71" s="31">
        <f>IF(A71&lt;&gt;"",SUM(W71:X71,$W$8:$X$8)/SUM($W$2:$X$2)*100,"")</f>
        <v>64.697137580794077</v>
      </c>
      <c r="AF71" s="43" t="str">
        <f>IF(A71&lt;&gt;"",CHOOSE(10-MIN(9,TRUNC((AE71+0.5)/10)),"A","B","C","D","F","F","F","F","F","F"),"")</f>
        <v>D</v>
      </c>
      <c r="AG71" s="43" t="str">
        <f>IF(A71&lt;&gt;"",IF(OR(AE71+0.5&gt;=93,AE71+0.5&lt;60),"",IF(MOD(AE71+0.5,10)&gt;=7,"+",IF(MOD(AE71+0.5,10)&lt;3,"-",""))),"")</f>
        <v/>
      </c>
      <c r="AH71" s="35">
        <f>IF(A71&lt;&gt;"",MIN(MAX(AA71,AE71),AA71+$AH$8,AE71+$AH$8),"")</f>
        <v>71.648568790397036</v>
      </c>
      <c r="AI71" s="31" t="str">
        <f>IF(A71&lt;&gt;"",CHOOSE(10-MIN(9,TRUNC((AH71+0.5)/10)),"A","B","C","D","F","F","F","F","F","F"),"")</f>
        <v>C</v>
      </c>
      <c r="AJ71" s="31" t="str">
        <f>IF(A71&lt;&gt;"",IF(OR(AH71+0.5&gt;=93,AH71+0.5&lt;60),"",IF(MOD(AH71+0.5,10)&gt;=7,"+",IF(MOD(AH71+0.5,10)&lt;3,"-",""))),"")</f>
        <v>-</v>
      </c>
      <c r="AK71" s="31" t="b">
        <f>IF(A71&lt;&gt;"",OR(AI71&lt;&gt;AC71,AJ71&lt;&gt;AD71),"")</f>
        <v>0</v>
      </c>
      <c r="AL71" s="81">
        <f>IF(AND(A71&lt;&gt;"",U71&gt;0),SUM(U71,$AL$8)/$AL$2*100,"")</f>
        <v>81.5</v>
      </c>
      <c r="AM71" s="24">
        <f>IF(AND(A71&lt;&gt;"",V71&gt;0),SUM(V71,$AM$8)/$AM$2*100,"")</f>
        <v>75.666666666666671</v>
      </c>
      <c r="AN71" s="24" t="str">
        <f>IF(AND(A71&lt;&gt;"",P71&lt;&gt;0),SUM(P71,$AN$8)/$AN$2*100,"")</f>
        <v/>
      </c>
      <c r="AO71" s="24" t="str">
        <f>IF(AND(A71&lt;&gt;"",Q71&lt;&gt;0),SUM(Q71,$AO$8)/$AO$2*100,"")</f>
        <v/>
      </c>
      <c r="AP71" s="24">
        <f>IF(AND(A71&lt;&gt;"",R71&lt;&gt;0),SUM(R71,$AP$8)/$AP$2*100,"")</f>
        <v>57.002659574468083</v>
      </c>
      <c r="AQ71" s="24" t="str">
        <f>IF(AND(A71&lt;&gt;"",W71&gt;0),SUM(W71,$AQ$8)/$AQ$2*100,"")</f>
        <v/>
      </c>
      <c r="AR71" s="24">
        <f>IF(AND(A71&lt;&gt;"",T71&gt;0),SUM(T71,$AR$8)/$AR$2*100,"")</f>
        <v>64.697137580794077</v>
      </c>
      <c r="AS71" s="24">
        <f>IF(AND(A71&lt;&gt;"",X71&lt;&gt;0),SUM(X71,$AS$8)/$AS$2*100,"")</f>
        <v>64.697137580794077</v>
      </c>
      <c r="AT71" s="86">
        <f>IF(A71&lt;&gt;"",SUM(W71:X71,$AT$8)/$AT$2*100,"")</f>
        <v>64.697137580794077</v>
      </c>
      <c r="AU71" s="24">
        <f>AA71</f>
        <v>71.648568790397036</v>
      </c>
      <c r="AV71" s="24"/>
      <c r="AW71" s="27">
        <f>IF(A71&lt;&gt;"",AE71-AA71,"")</f>
        <v>-6.9514312096029585</v>
      </c>
      <c r="AY71" s="27">
        <f>AR71-AP71</f>
        <v>7.6944780063259941</v>
      </c>
      <c r="AZ71" s="27">
        <f>ABS(AY71)</f>
        <v>7.6944780063259941</v>
      </c>
    </row>
    <row r="72" spans="1:52" s="27" customFormat="1" ht="12.75" customHeight="1" x14ac:dyDescent="0.2">
      <c r="A72" s="50">
        <v>171880</v>
      </c>
      <c r="B72" s="2">
        <v>24</v>
      </c>
      <c r="C72" s="50">
        <v>21</v>
      </c>
      <c r="D72" s="10">
        <v>22</v>
      </c>
      <c r="E72" s="10">
        <v>14</v>
      </c>
      <c r="F72" s="10">
        <v>13</v>
      </c>
      <c r="G72" s="10">
        <v>23</v>
      </c>
      <c r="H72" s="10">
        <v>13</v>
      </c>
      <c r="I72" s="10">
        <v>25</v>
      </c>
      <c r="J72" s="2"/>
      <c r="K72" s="10">
        <v>57</v>
      </c>
      <c r="L72" s="10">
        <v>57</v>
      </c>
      <c r="M72" s="10">
        <v>55</v>
      </c>
      <c r="N72" s="51">
        <v>62</v>
      </c>
      <c r="O72" s="11">
        <v>62</v>
      </c>
      <c r="P72" s="10"/>
      <c r="Q72" s="40"/>
      <c r="R72" s="2">
        <v>113</v>
      </c>
      <c r="S72" s="10">
        <f>IF(T72="",R72,MAX((R72+$R$8)/$R$2,(T72+$T$8)/$T$2)*$R$2-$R$8)</f>
        <v>127.72228934598533</v>
      </c>
      <c r="T72" s="62">
        <v>189</v>
      </c>
      <c r="U72" s="10">
        <f>IF(A72&lt;&gt;"",SUM(B72:I72),"")</f>
        <v>155</v>
      </c>
      <c r="V72" s="10">
        <f>IF(A72&lt;&gt;"",SUM(J72:O72),"")</f>
        <v>293</v>
      </c>
      <c r="W72" s="10">
        <f>IF(A72&lt;&gt;"",SUM(P72:Q72),"")</f>
        <v>0</v>
      </c>
      <c r="X72" s="10">
        <f>IF(A72&lt;&gt;"",SUM(S72:T72),"")</f>
        <v>316.72228934598536</v>
      </c>
      <c r="Y72" s="12">
        <v>3</v>
      </c>
      <c r="Z72" s="12">
        <f>IF(A72&lt;&gt;"",SUM(U72:Y72),"")</f>
        <v>767.72228934598536</v>
      </c>
      <c r="AA72" s="27">
        <f>IF(A72&lt;&gt;"",(Z72+Normalize_To_Add)/(Point_Total_So_Far)*100,"")</f>
        <v>84.281902123730376</v>
      </c>
      <c r="AB72" s="10">
        <f>IF(A72&lt;&gt;"",RANK(AA72,All_Student_XC),"")</f>
        <v>167</v>
      </c>
      <c r="AC72" s="31" t="str">
        <f>IF(A72&lt;&gt;"",CHOOSE(10-MIN(9,TRUNC((AA72+0.5)/10)),"A","B","C","D","F","F","F","F","F","F"),"")</f>
        <v>B</v>
      </c>
      <c r="AD72" s="31" t="str">
        <f>IF(A72&lt;&gt;"",IF(OR(AA72+0.5&gt;=93,AA72+0.5&lt;60),"",IF(MOD(AA72+0.5,10)&gt;=7,"+",IF(MOD(AA72+0.5,10)&lt;3,"-",""))),"")</f>
        <v/>
      </c>
      <c r="AE72" s="31">
        <f>IF(A72&lt;&gt;"",SUM(W72:X72,$W$8:$X$8)/SUM($W$2:$X$2)*100,"")</f>
        <v>78.363804247460749</v>
      </c>
      <c r="AF72" s="43" t="str">
        <f>IF(A72&lt;&gt;"",CHOOSE(10-MIN(9,TRUNC((AE72+0.5)/10)),"A","B","C","D","F","F","F","F","F","F"),"")</f>
        <v>C</v>
      </c>
      <c r="AG72" s="43" t="str">
        <f>IF(A72&lt;&gt;"",IF(OR(AE72+0.5&gt;=93,AE72+0.5&lt;60),"",IF(MOD(AE72+0.5,10)&gt;=7,"+",IF(MOD(AE72+0.5,10)&lt;3,"-",""))),"")</f>
        <v>+</v>
      </c>
      <c r="AH72" s="35">
        <f>IF(A72&lt;&gt;"",MIN(MAX(AA72,AE72),AA72+$AH$8,AE72+$AH$8),"")</f>
        <v>84.281902123730376</v>
      </c>
      <c r="AI72" s="31" t="str">
        <f>IF(A72&lt;&gt;"",CHOOSE(10-MIN(9,TRUNC((AH72+0.5)/10)),"A","B","C","D","F","F","F","F","F","F"),"")</f>
        <v>B</v>
      </c>
      <c r="AJ72" s="31" t="str">
        <f>IF(A72&lt;&gt;"",IF(OR(AH72+0.5&gt;=93,AH72+0.5&lt;60),"",IF(MOD(AH72+0.5,10)&gt;=7,"+",IF(MOD(AH72+0.5,10)&lt;3,"-",""))),"")</f>
        <v/>
      </c>
      <c r="AK72" s="31" t="b">
        <f>IF(A72&lt;&gt;"",OR(AI72&lt;&gt;AC72,AJ72&lt;&gt;AD72),"")</f>
        <v>0</v>
      </c>
      <c r="AL72" s="81">
        <f>IF(AND(A72&lt;&gt;"",U72&gt;0),SUM(U72,$AL$8)/$AL$2*100,"")</f>
        <v>77.5</v>
      </c>
      <c r="AM72" s="24">
        <f>IF(AND(A72&lt;&gt;"",V72&gt;0),SUM(V72,$AM$8)/$AM$2*100,"")</f>
        <v>97.666666666666671</v>
      </c>
      <c r="AN72" s="24" t="str">
        <f>IF(AND(A72&lt;&gt;"",P72&lt;&gt;0),SUM(P72,$AN$8)/$AN$2*100,"")</f>
        <v/>
      </c>
      <c r="AO72" s="24" t="str">
        <f>IF(AND(A72&lt;&gt;"",Q72&lt;&gt;0),SUM(Q72,$AO$8)/$AO$2*100,"")</f>
        <v/>
      </c>
      <c r="AP72" s="24">
        <f>IF(AND(A72&lt;&gt;"",R72&lt;&gt;0),SUM(R72,$AP$8)/$AP$2*100,"")</f>
        <v>71.002659574468083</v>
      </c>
      <c r="AQ72" s="24" t="str">
        <f>IF(AND(A72&lt;&gt;"",W72&gt;0),SUM(W72,$AQ$8)/$AQ$2*100,"")</f>
        <v/>
      </c>
      <c r="AR72" s="24">
        <f>IF(AND(A72&lt;&gt;"",T72&gt;0),SUM(T72,$AR$8)/$AR$2*100,"")</f>
        <v>78.363804247460749</v>
      </c>
      <c r="AS72" s="24">
        <f>IF(AND(A72&lt;&gt;"",X72&lt;&gt;0),SUM(X72,$AS$8)/$AS$2*100,"")</f>
        <v>78.363804247460749</v>
      </c>
      <c r="AT72" s="86">
        <f>IF(A72&lt;&gt;"",SUM(W72:X72,$AT$8)/$AT$2*100,"")</f>
        <v>78.363804247460749</v>
      </c>
      <c r="AU72" s="24">
        <f>AA72</f>
        <v>84.281902123730376</v>
      </c>
      <c r="AV72" s="24"/>
      <c r="AW72" s="27">
        <f>IF(A72&lt;&gt;"",AE72-AA72,"")</f>
        <v>-5.918097876269627</v>
      </c>
      <c r="AY72" s="27">
        <f>AR72-AP72</f>
        <v>7.3611446729926655</v>
      </c>
      <c r="AZ72" s="27">
        <f>ABS(AY72)</f>
        <v>7.3611446729926655</v>
      </c>
    </row>
    <row r="73" spans="1:52" s="27" customFormat="1" ht="12.75" customHeight="1" x14ac:dyDescent="0.2">
      <c r="A73" s="10">
        <v>172332</v>
      </c>
      <c r="B73" s="2">
        <v>7</v>
      </c>
      <c r="C73" s="10">
        <v>13</v>
      </c>
      <c r="D73" s="10">
        <v>22</v>
      </c>
      <c r="E73" s="10">
        <v>18</v>
      </c>
      <c r="F73" s="10">
        <v>8</v>
      </c>
      <c r="G73" s="10">
        <v>25</v>
      </c>
      <c r="H73" s="10">
        <v>24</v>
      </c>
      <c r="I73" s="10">
        <v>12</v>
      </c>
      <c r="J73" s="2"/>
      <c r="K73" s="10">
        <v>0</v>
      </c>
      <c r="L73" s="10">
        <v>28</v>
      </c>
      <c r="M73" s="51">
        <v>9</v>
      </c>
      <c r="N73" s="51">
        <v>11</v>
      </c>
      <c r="O73" s="11">
        <v>31</v>
      </c>
      <c r="P73" s="10"/>
      <c r="Q73" s="40"/>
      <c r="R73" s="2">
        <v>141</v>
      </c>
      <c r="S73" s="10">
        <f>IF(T73="",R73,MAX((R73+$R$8)/$R$2,(T73+$T$8)/$T$2)*$R$2-$R$8)</f>
        <v>141</v>
      </c>
      <c r="T73" s="12">
        <v>151</v>
      </c>
      <c r="U73" s="7">
        <f>IF(A73&lt;&gt;"",SUM(B73:I73),"")</f>
        <v>129</v>
      </c>
      <c r="V73" s="10">
        <f>IF(A73&lt;&gt;"",SUM(J73:O73),"")</f>
        <v>79</v>
      </c>
      <c r="W73" s="10">
        <f>IF(A73&lt;&gt;"",SUM(P73:Q73),"")</f>
        <v>0</v>
      </c>
      <c r="X73" s="10">
        <f>IF(A73&lt;&gt;"",SUM(S73:T73),"")</f>
        <v>292</v>
      </c>
      <c r="Y73" s="12">
        <v>3</v>
      </c>
      <c r="Z73" s="12">
        <f>IF(A73&lt;&gt;"",SUM(U73:Y73),"")</f>
        <v>503</v>
      </c>
      <c r="AA73" s="27">
        <f>IF(A73&lt;&gt;"",(Z73+Normalize_To_Add)/(Point_Total_So_Far)*100,"")</f>
        <v>57.809673189131836</v>
      </c>
      <c r="AB73" s="10">
        <f>IF(A73&lt;&gt;"",RANK(AA73,All_Student_XC),"")</f>
        <v>348</v>
      </c>
      <c r="AC73" s="31" t="str">
        <f>IF(A73&lt;&gt;"",CHOOSE(10-MIN(9,TRUNC((AA73+0.5)/10)),"A","B","C","D","F","F","F","F","F","F"),"")</f>
        <v>F</v>
      </c>
      <c r="AD73" s="31" t="str">
        <f>IF(A73&lt;&gt;"",IF(OR(AA73+0.5&gt;=93,AA73+0.5&lt;60),"",IF(MOD(AA73+0.5,10)&gt;=7,"+",IF(MOD(AA73+0.5,10)&lt;3,"-",""))),"")</f>
        <v/>
      </c>
      <c r="AE73" s="31">
        <f>IF(A73&lt;&gt;"",SUM(W73:X73,$W$8:$X$8)/SUM($W$2:$X$2)*100,"")</f>
        <v>73.419346378263683</v>
      </c>
      <c r="AF73" s="43" t="str">
        <f>IF(A73&lt;&gt;"",CHOOSE(10-MIN(9,TRUNC((AE73+0.5)/10)),"A","B","C","D","F","F","F","F","F","F"),"")</f>
        <v>C</v>
      </c>
      <c r="AG73" s="43" t="str">
        <f>IF(A73&lt;&gt;"",IF(OR(AE73+0.5&gt;=93,AE73+0.5&lt;60),"",IF(MOD(AE73+0.5,10)&gt;=7,"+",IF(MOD(AE73+0.5,10)&lt;3,"-",""))),"")</f>
        <v/>
      </c>
      <c r="AH73" s="35">
        <f>IF(A73&lt;&gt;"",MIN(MAX(AA73,AE73),AA73+$AH$8,AE73+$AH$8),"")</f>
        <v>73.419346378263683</v>
      </c>
      <c r="AI73" s="31" t="str">
        <f>IF(A73&lt;&gt;"",CHOOSE(10-MIN(9,TRUNC((AH73+0.5)/10)),"A","B","C","D","F","F","F","F","F","F"),"")</f>
        <v>C</v>
      </c>
      <c r="AJ73" s="31" t="str">
        <f>IF(A73&lt;&gt;"",IF(OR(AH73+0.5&gt;=93,AH73+0.5&lt;60),"",IF(MOD(AH73+0.5,10)&gt;=7,"+",IF(MOD(AH73+0.5,10)&lt;3,"-",""))),"")</f>
        <v/>
      </c>
      <c r="AK73" s="31" t="b">
        <f>IF(A73&lt;&gt;"",OR(AI73&lt;&gt;AC73,AJ73&lt;&gt;AD73),"")</f>
        <v>1</v>
      </c>
      <c r="AL73" s="81">
        <f>IF(AND(A73&lt;&gt;"",U73&gt;0),SUM(U73,$AL$8)/$AL$2*100,"")</f>
        <v>64.5</v>
      </c>
      <c r="AM73" s="24">
        <f>IF(AND(A73&lt;&gt;"",V73&gt;0),SUM(V73,$AM$8)/$AM$2*100,"")</f>
        <v>26.333333333333332</v>
      </c>
      <c r="AN73" s="24" t="str">
        <f>IF(AND(A73&lt;&gt;"",P73&lt;&gt;0),SUM(P73,$AN$8)/$AN$2*100,"")</f>
        <v/>
      </c>
      <c r="AO73" s="24" t="str">
        <f>IF(AND(A73&lt;&gt;"",Q73&lt;&gt;0),SUM(Q73,$AO$8)/$AO$2*100,"")</f>
        <v/>
      </c>
      <c r="AP73" s="24">
        <f>IF(AND(A73&lt;&gt;"",R73&lt;&gt;0),SUM(R73,$AP$8)/$AP$2*100,"")</f>
        <v>85.002659574468083</v>
      </c>
      <c r="AQ73" s="24" t="str">
        <f>IF(AND(A73&lt;&gt;"",W73&gt;0),SUM(W73,$AQ$8)/$AQ$2*100,"")</f>
        <v/>
      </c>
      <c r="AR73" s="24">
        <f>IF(AND(A73&lt;&gt;"",T73&gt;0),SUM(T73,$AR$8)/$AR$2*100,"")</f>
        <v>65.697137580794092</v>
      </c>
      <c r="AS73" s="24">
        <f>IF(AND(A73&lt;&gt;"",X73&lt;&gt;0),SUM(X73,$AS$8)/$AS$2*100,"")</f>
        <v>73.419346378263683</v>
      </c>
      <c r="AT73" s="86">
        <f>IF(A73&lt;&gt;"",SUM(W73:X73,$AT$8)/$AT$2*100,"")</f>
        <v>73.419346378263683</v>
      </c>
      <c r="AU73" s="24">
        <f>AA73</f>
        <v>57.809673189131836</v>
      </c>
      <c r="AV73" s="24"/>
      <c r="AW73" s="27">
        <f>IF(A73&lt;&gt;"",AE73-AA73,"")</f>
        <v>15.609673189131847</v>
      </c>
      <c r="AY73" s="27">
        <f>AR73-AP73</f>
        <v>-19.305521993673992</v>
      </c>
      <c r="AZ73" s="27">
        <f>ABS(AY73)</f>
        <v>19.305521993673992</v>
      </c>
    </row>
    <row r="74" spans="1:52" s="27" customFormat="1" ht="12.75" customHeight="1" x14ac:dyDescent="0.2">
      <c r="A74" s="50">
        <v>173072</v>
      </c>
      <c r="B74" s="2">
        <v>15</v>
      </c>
      <c r="C74" s="50">
        <v>19</v>
      </c>
      <c r="D74" s="10">
        <v>21</v>
      </c>
      <c r="E74" s="10">
        <v>17</v>
      </c>
      <c r="F74" s="10">
        <v>16</v>
      </c>
      <c r="G74" s="10">
        <v>25</v>
      </c>
      <c r="H74" s="10">
        <v>12</v>
      </c>
      <c r="I74" s="10">
        <v>23</v>
      </c>
      <c r="J74" s="2"/>
      <c r="K74" s="10">
        <v>52</v>
      </c>
      <c r="L74" s="10">
        <v>51</v>
      </c>
      <c r="M74" s="10">
        <v>40</v>
      </c>
      <c r="N74" s="51">
        <v>27</v>
      </c>
      <c r="O74" s="11">
        <v>48</v>
      </c>
      <c r="P74" s="10"/>
      <c r="Q74" s="40"/>
      <c r="R74" s="2">
        <v>133</v>
      </c>
      <c r="S74" s="10">
        <f>IF(T74="",R74,MAX((R74+$R$8)/$R$2,(T74+$T$8)/$T$2)*$R$2-$R$8)</f>
        <v>133</v>
      </c>
      <c r="T74" s="62">
        <v>195</v>
      </c>
      <c r="U74" s="10">
        <f>IF(A74&lt;&gt;"",SUM(B74:I74),"")</f>
        <v>148</v>
      </c>
      <c r="V74" s="10">
        <f>IF(A74&lt;&gt;"",SUM(J74:O74),"")</f>
        <v>218</v>
      </c>
      <c r="W74" s="10">
        <f>IF(A74&lt;&gt;"",SUM(P74:Q74),"")</f>
        <v>0</v>
      </c>
      <c r="X74" s="10">
        <f>IF(A74&lt;&gt;"",SUM(S74:T74),"")</f>
        <v>328</v>
      </c>
      <c r="Y74" s="12">
        <v>3</v>
      </c>
      <c r="Z74" s="12">
        <f>IF(A74&lt;&gt;"",SUM(U74:Y74),"")</f>
        <v>697</v>
      </c>
      <c r="AA74" s="27">
        <f>IF(A74&lt;&gt;"",(Z74+Normalize_To_Add)/(Point_Total_So_Far)*100,"")</f>
        <v>77.209673189131848</v>
      </c>
      <c r="AB74" s="10">
        <f>IF(A74&lt;&gt;"",RANK(AA74,All_Student_XC),"")</f>
        <v>252</v>
      </c>
      <c r="AC74" s="31" t="str">
        <f>IF(A74&lt;&gt;"",CHOOSE(10-MIN(9,TRUNC((AA74+0.5)/10)),"A","B","C","D","F","F","F","F","F","F"),"")</f>
        <v>C</v>
      </c>
      <c r="AD74" s="31" t="str">
        <f>IF(A74&lt;&gt;"",IF(OR(AA74+0.5&gt;=93,AA74+0.5&lt;60),"",IF(MOD(AA74+0.5,10)&gt;=7,"+",IF(MOD(AA74+0.5,10)&lt;3,"-",""))),"")</f>
        <v>+</v>
      </c>
      <c r="AE74" s="31">
        <f>IF(A74&lt;&gt;"",SUM(W74:X74,$W$8:$X$8)/SUM($W$2:$X$2)*100,"")</f>
        <v>80.619346378263685</v>
      </c>
      <c r="AF74" s="43" t="str">
        <f>IF(A74&lt;&gt;"",CHOOSE(10-MIN(9,TRUNC((AE74+0.5)/10)),"A","B","C","D","F","F","F","F","F","F"),"")</f>
        <v>B</v>
      </c>
      <c r="AG74" s="43" t="str">
        <f>IF(A74&lt;&gt;"",IF(OR(AE74+0.5&gt;=93,AE74+0.5&lt;60),"",IF(MOD(AE74+0.5,10)&gt;=7,"+",IF(MOD(AE74+0.5,10)&lt;3,"-",""))),"")</f>
        <v>-</v>
      </c>
      <c r="AH74" s="35">
        <f>IF(A74&lt;&gt;"",MIN(MAX(AA74,AE74),AA74+$AH$8,AE74+$AH$8),"")</f>
        <v>80.619346378263685</v>
      </c>
      <c r="AI74" s="31" t="str">
        <f>IF(A74&lt;&gt;"",CHOOSE(10-MIN(9,TRUNC((AH74+0.5)/10)),"A","B","C","D","F","F","F","F","F","F"),"")</f>
        <v>B</v>
      </c>
      <c r="AJ74" s="31" t="str">
        <f>IF(A74&lt;&gt;"",IF(OR(AH74+0.5&gt;=93,AH74+0.5&lt;60),"",IF(MOD(AH74+0.5,10)&gt;=7,"+",IF(MOD(AH74+0.5,10)&lt;3,"-",""))),"")</f>
        <v>-</v>
      </c>
      <c r="AK74" s="31" t="b">
        <f>IF(A74&lt;&gt;"",OR(AI74&lt;&gt;AC74,AJ74&lt;&gt;AD74),"")</f>
        <v>1</v>
      </c>
      <c r="AL74" s="81">
        <f>IF(AND(A74&lt;&gt;"",U74&gt;0),SUM(U74,$AL$8)/$AL$2*100,"")</f>
        <v>74</v>
      </c>
      <c r="AM74" s="24">
        <f>IF(AND(A74&lt;&gt;"",V74&gt;0),SUM(V74,$AM$8)/$AM$2*100,"")</f>
        <v>72.666666666666671</v>
      </c>
      <c r="AN74" s="24" t="str">
        <f>IF(AND(A74&lt;&gt;"",P74&lt;&gt;0),SUM(P74,$AN$8)/$AN$2*100,"")</f>
        <v/>
      </c>
      <c r="AO74" s="24" t="str">
        <f>IF(AND(A74&lt;&gt;"",Q74&lt;&gt;0),SUM(Q74,$AO$8)/$AO$2*100,"")</f>
        <v/>
      </c>
      <c r="AP74" s="24">
        <f>IF(AND(A74&lt;&gt;"",R74&lt;&gt;0),SUM(R74,$AP$8)/$AP$2*100,"")</f>
        <v>81.002659574468083</v>
      </c>
      <c r="AQ74" s="24" t="str">
        <f>IF(AND(A74&lt;&gt;"",W74&gt;0),SUM(W74,$AQ$8)/$AQ$2*100,"")</f>
        <v/>
      </c>
      <c r="AR74" s="24">
        <f>IF(AND(A74&lt;&gt;"",T74&gt;0),SUM(T74,$AR$8)/$AR$2*100,"")</f>
        <v>80.363804247460763</v>
      </c>
      <c r="AS74" s="24">
        <f>IF(AND(A74&lt;&gt;"",X74&lt;&gt;0),SUM(X74,$AS$8)/$AS$2*100,"")</f>
        <v>80.619346378263685</v>
      </c>
      <c r="AT74" s="86">
        <f>IF(A74&lt;&gt;"",SUM(W74:X74,$AT$8)/$AT$2*100,"")</f>
        <v>80.619346378263685</v>
      </c>
      <c r="AU74" s="24">
        <f>AA74</f>
        <v>77.209673189131848</v>
      </c>
      <c r="AV74" s="24"/>
      <c r="AW74" s="27">
        <f>IF(A74&lt;&gt;"",AE74-AA74,"")</f>
        <v>3.409673189131837</v>
      </c>
      <c r="AY74" s="27">
        <f>AR74-AP74</f>
        <v>-0.63885532700732028</v>
      </c>
      <c r="AZ74" s="27">
        <f>ABS(AY74)</f>
        <v>0.63885532700732028</v>
      </c>
    </row>
    <row r="75" spans="1:52" s="27" customFormat="1" ht="12.75" customHeight="1" x14ac:dyDescent="0.2">
      <c r="A75" s="10">
        <v>176862</v>
      </c>
      <c r="B75" s="2">
        <v>25</v>
      </c>
      <c r="C75" s="10">
        <v>25</v>
      </c>
      <c r="D75" s="10">
        <v>24</v>
      </c>
      <c r="E75" s="10">
        <v>25</v>
      </c>
      <c r="F75" s="10">
        <v>20</v>
      </c>
      <c r="G75" s="10">
        <v>25</v>
      </c>
      <c r="H75" s="10">
        <v>9</v>
      </c>
      <c r="I75" s="10">
        <v>25</v>
      </c>
      <c r="J75" s="2"/>
      <c r="K75" s="10">
        <v>46</v>
      </c>
      <c r="L75" s="10">
        <v>60</v>
      </c>
      <c r="M75" s="10">
        <v>60</v>
      </c>
      <c r="N75" s="51">
        <v>55</v>
      </c>
      <c r="O75" s="11">
        <v>61</v>
      </c>
      <c r="P75" s="10"/>
      <c r="Q75" s="40"/>
      <c r="R75" s="2">
        <v>162</v>
      </c>
      <c r="S75" s="10">
        <f>IF(T75="",R75,MAX((R75+$R$8)/$R$2,(T75+$T$8)/$T$2)*$R$2-$R$8)</f>
        <v>163.72228934598533</v>
      </c>
      <c r="T75" s="12">
        <v>243</v>
      </c>
      <c r="U75" s="34">
        <f>IF(A75&lt;&gt;"",SUM(B75:I75),"")</f>
        <v>178</v>
      </c>
      <c r="V75" s="10">
        <f>IF(A75&lt;&gt;"",SUM(J75:O75),"")</f>
        <v>282</v>
      </c>
      <c r="W75" s="10">
        <f>IF(A75&lt;&gt;"",SUM(P75:Q75),"")</f>
        <v>0</v>
      </c>
      <c r="X75" s="10">
        <f>IF(A75&lt;&gt;"",SUM(S75:T75),"")</f>
        <v>406.72228934598536</v>
      </c>
      <c r="Y75" s="12">
        <v>3</v>
      </c>
      <c r="Z75" s="12">
        <f>IF(A75&lt;&gt;"",SUM(U75:Y75),"")</f>
        <v>869.72228934598536</v>
      </c>
      <c r="AA75" s="27">
        <f>IF(A75&lt;&gt;"",(Z75+Normalize_To_Add)/(Point_Total_So_Far)*100,"")</f>
        <v>94.481902123730379</v>
      </c>
      <c r="AB75" s="10">
        <f>IF(A75&lt;&gt;"",RANK(AA75,All_Student_XC),"")</f>
        <v>34</v>
      </c>
      <c r="AC75" s="31" t="str">
        <f>IF(A75&lt;&gt;"",CHOOSE(10-MIN(9,TRUNC((AA75+0.5)/10)),"A","B","C","D","F","F","F","F","F","F"),"")</f>
        <v>A</v>
      </c>
      <c r="AD75" s="31" t="str">
        <f>IF(A75&lt;&gt;"",IF(OR(AA75+0.5&gt;=93,AA75+0.5&lt;60),"",IF(MOD(AA75+0.5,10)&gt;=7,"+",IF(MOD(AA75+0.5,10)&lt;3,"-",""))),"")</f>
        <v/>
      </c>
      <c r="AE75" s="31">
        <f>IF(A75&lt;&gt;"",SUM(W75:X75,$W$8:$X$8)/SUM($W$2:$X$2)*100,"")</f>
        <v>96.363804247460763</v>
      </c>
      <c r="AF75" s="31" t="str">
        <f>IF(A75&lt;&gt;"",CHOOSE(10-MIN(9,TRUNC((AE75+0.5)/10)),"A","B","C","D","F","F","F","F","F","F"),"")</f>
        <v>A</v>
      </c>
      <c r="AG75" s="31" t="str">
        <f>IF(A75&lt;&gt;"",IF(OR(AE75+0.5&gt;=93,AE75+0.5&lt;60),"",IF(MOD(AE75+0.5,10)&gt;=7,"+",IF(MOD(AE75+0.5,10)&lt;3,"-",""))),"")</f>
        <v/>
      </c>
      <c r="AH75" s="35">
        <f>IF(A75&lt;&gt;"",MIN(MAX(AA75,AE75),AA75+$AH$8,AE75+$AH$8),"")</f>
        <v>96.363804247460763</v>
      </c>
      <c r="AI75" s="31" t="str">
        <f>IF(A75&lt;&gt;"",CHOOSE(10-MIN(9,TRUNC((AH75+0.5)/10)),"A","B","C","D","F","F","F","F","F","F"),"")</f>
        <v>A</v>
      </c>
      <c r="AJ75" s="31" t="str">
        <f>IF(A75&lt;&gt;"",IF(OR(AH75+0.5&gt;=93,AH75+0.5&lt;60),"",IF(MOD(AH75+0.5,10)&gt;=7,"+",IF(MOD(AH75+0.5,10)&lt;3,"-",""))),"")</f>
        <v/>
      </c>
      <c r="AK75" s="31" t="b">
        <f>IF(A75&lt;&gt;"",OR(AI75&lt;&gt;AC75,AJ75&lt;&gt;AD75),"")</f>
        <v>0</v>
      </c>
      <c r="AL75" s="81">
        <f>IF(AND(A75&lt;&gt;"",U75&gt;0),SUM(U75,$AL$8)/$AL$2*100,"")</f>
        <v>89</v>
      </c>
      <c r="AM75" s="24">
        <f>IF(AND(A75&lt;&gt;"",V75&gt;0),SUM(V75,$AM$8)/$AM$2*100,"")</f>
        <v>94</v>
      </c>
      <c r="AN75" s="24" t="str">
        <f>IF(AND(A75&lt;&gt;"",P75&lt;&gt;0),SUM(P75,$AN$8)/$AN$2*100,"")</f>
        <v/>
      </c>
      <c r="AO75" s="24" t="str">
        <f>IF(AND(A75&lt;&gt;"",Q75&lt;&gt;0),SUM(Q75,$AO$8)/$AO$2*100,"")</f>
        <v/>
      </c>
      <c r="AP75" s="24">
        <f>IF(AND(A75&lt;&gt;"",R75&lt;&gt;0),SUM(R75,$AP$8)/$AP$2*100,"")</f>
        <v>95.502659574468083</v>
      </c>
      <c r="AQ75" s="24" t="str">
        <f>IF(AND(A75&lt;&gt;"",W75&gt;0),SUM(W75,$AQ$8)/$AQ$2*100,"")</f>
        <v/>
      </c>
      <c r="AR75" s="24">
        <f>IF(AND(A75&lt;&gt;"",T75&gt;0),SUM(T75,$AR$8)/$AR$2*100,"")</f>
        <v>96.363804247460749</v>
      </c>
      <c r="AS75" s="24">
        <f>IF(AND(A75&lt;&gt;"",X75&lt;&gt;0),SUM(X75,$AS$8)/$AS$2*100,"")</f>
        <v>96.363804247460763</v>
      </c>
      <c r="AT75" s="86">
        <f>IF(A75&lt;&gt;"",SUM(W75:X75,$AT$8)/$AT$2*100,"")</f>
        <v>96.363804247460763</v>
      </c>
      <c r="AU75" s="24">
        <f>AA75</f>
        <v>94.481902123730379</v>
      </c>
      <c r="AV75" s="24"/>
      <c r="AW75" s="27">
        <f>IF(A75&lt;&gt;"",AE75-AA75,"")</f>
        <v>1.8819021237303843</v>
      </c>
      <c r="AY75" s="27">
        <f>AR75-AP75</f>
        <v>0.86114467299266551</v>
      </c>
      <c r="AZ75" s="27">
        <f>ABS(AY75)</f>
        <v>0.86114467299266551</v>
      </c>
    </row>
    <row r="76" spans="1:52" s="27" customFormat="1" ht="12.75" customHeight="1" x14ac:dyDescent="0.2">
      <c r="A76" s="10">
        <v>178242</v>
      </c>
      <c r="B76" s="2" t="s">
        <v>69</v>
      </c>
      <c r="C76" s="10" t="s">
        <v>69</v>
      </c>
      <c r="D76" s="10" t="s">
        <v>69</v>
      </c>
      <c r="E76" s="10" t="s">
        <v>69</v>
      </c>
      <c r="F76" s="10" t="s">
        <v>69</v>
      </c>
      <c r="G76" s="10" t="s">
        <v>69</v>
      </c>
      <c r="H76" s="10" t="s">
        <v>69</v>
      </c>
      <c r="I76" s="10" t="s">
        <v>69</v>
      </c>
      <c r="J76" s="2"/>
      <c r="K76" s="10" t="s">
        <v>69</v>
      </c>
      <c r="L76" s="10" t="s">
        <v>69</v>
      </c>
      <c r="M76" s="10" t="s">
        <v>69</v>
      </c>
      <c r="N76" s="51" t="s">
        <v>69</v>
      </c>
      <c r="O76" s="11" t="s">
        <v>69</v>
      </c>
      <c r="P76" s="10"/>
      <c r="Q76" s="40"/>
      <c r="R76" s="2" t="s">
        <v>69</v>
      </c>
      <c r="S76" s="10" t="str">
        <f>IF(T76="",R76,MAX((R76+$R$8)/$R$2,(T76+$T$8)/$T$2)*$R$2-$R$8)</f>
        <v/>
      </c>
      <c r="T76" s="12" t="s">
        <v>69</v>
      </c>
      <c r="U76" s="34">
        <f>IF(A76&lt;&gt;"",SUM(B76:I76),"")</f>
        <v>0</v>
      </c>
      <c r="V76" s="10">
        <f>IF(A76&lt;&gt;"",SUM(J76:O76),"")</f>
        <v>0</v>
      </c>
      <c r="W76" s="10">
        <f>IF(A76&lt;&gt;"",SUM(P76:Q76),"")</f>
        <v>0</v>
      </c>
      <c r="X76" s="10">
        <f>IF(A76&lt;&gt;"",SUM(S76:T76),"")</f>
        <v>0</v>
      </c>
      <c r="Y76" s="12" t="s">
        <v>69</v>
      </c>
      <c r="Z76" s="12">
        <f>IF(A76&lt;&gt;"",SUM(U76:Y76),"")</f>
        <v>0</v>
      </c>
      <c r="AA76" s="27">
        <f>IF(A76&lt;&gt;"",(Z76+Normalize_To_Add)/(Point_Total_So_Far)*100,"")</f>
        <v>7.509673189131842</v>
      </c>
      <c r="AB76" s="10">
        <f>IF(A76&lt;&gt;"",RANK(AA76,All_Student_XC),"")</f>
        <v>379</v>
      </c>
      <c r="AC76" s="31" t="str">
        <f>IF(A76&lt;&gt;"",CHOOSE(10-MIN(9,TRUNC((AA76+0.5)/10)),"A","B","C","D","F","F","F","F","F","F"),"")</f>
        <v>F</v>
      </c>
      <c r="AD76" s="31" t="str">
        <f>IF(A76&lt;&gt;"",IF(OR(AA76+0.5&gt;=93,AA76+0.5&lt;60),"",IF(MOD(AA76+0.5,10)&gt;=7,"+",IF(MOD(AA76+0.5,10)&lt;3,"-",""))),"")</f>
        <v/>
      </c>
      <c r="AE76" s="31">
        <f>IF(A76&lt;&gt;"",SUM(W76:X76,$W$8:$X$8)/SUM($W$2:$X$2)*100,"")</f>
        <v>15.019346378263684</v>
      </c>
      <c r="AF76" s="31" t="str">
        <f>IF(A76&lt;&gt;"",CHOOSE(10-MIN(9,TRUNC((AE76+0.5)/10)),"A","B","C","D","F","F","F","F","F","F"),"")</f>
        <v>F</v>
      </c>
      <c r="AG76" s="31" t="str">
        <f>IF(A76&lt;&gt;"",IF(OR(AE76+0.5&gt;=93,AE76+0.5&lt;60),"",IF(MOD(AE76+0.5,10)&gt;=7,"+",IF(MOD(AE76+0.5,10)&lt;3,"-",""))),"")</f>
        <v/>
      </c>
      <c r="AH76" s="35">
        <f>IF(A76&lt;&gt;"",MIN(MAX(AA76,AE76),AA76+$AH$8,AE76+$AH$8),"")</f>
        <v>15.019346378263684</v>
      </c>
      <c r="AI76" s="31" t="str">
        <f>IF(A76&lt;&gt;"",CHOOSE(10-MIN(9,TRUNC((AH76+0.5)/10)),"A","B","C","D","F","F","F","F","F","F"),"")</f>
        <v>F</v>
      </c>
      <c r="AJ76" s="31" t="str">
        <f>IF(A76&lt;&gt;"",IF(OR(AH76+0.5&gt;=93,AH76+0.5&lt;60),"",IF(MOD(AH76+0.5,10)&gt;=7,"+",IF(MOD(AH76+0.5,10)&lt;3,"-",""))),"")</f>
        <v/>
      </c>
      <c r="AK76" s="31" t="b">
        <f>IF(A76&lt;&gt;"",OR(AI76&lt;&gt;AC76,AJ76&lt;&gt;AD76),"")</f>
        <v>0</v>
      </c>
      <c r="AL76" s="81" t="str">
        <f>IF(AND(A76&lt;&gt;"",U76&gt;0),SUM(U76,$AL$8)/$AL$2*100,"")</f>
        <v/>
      </c>
      <c r="AM76" s="24" t="str">
        <f>IF(AND(A76&lt;&gt;"",V76&gt;0),SUM(V76,$AM$8)/$AM$2*100,"")</f>
        <v/>
      </c>
      <c r="AN76" s="24" t="str">
        <f>IF(AND(A76&lt;&gt;"",P76&lt;&gt;0),SUM(P76,$AN$8)/$AN$2*100,"")</f>
        <v/>
      </c>
      <c r="AO76" s="24" t="str">
        <f>IF(AND(A76&lt;&gt;"",Q76&lt;&gt;0),SUM(Q76,$AO$8)/$AO$2*100,"")</f>
        <v/>
      </c>
      <c r="AP76" s="24">
        <f>IF(AND(A76&lt;&gt;"",R76&lt;&gt;0),SUM(R76,$AP$8)/$AP$2*100,"")</f>
        <v>14.502659574468083</v>
      </c>
      <c r="AQ76" s="24" t="str">
        <f>IF(AND(A76&lt;&gt;"",W76&gt;0),SUM(W76,$AQ$8)/$AQ$2*100,"")</f>
        <v/>
      </c>
      <c r="AR76" s="24">
        <f>IF(AND(A76&lt;&gt;"",T76&gt;0),SUM(T76,$AR$8)/$AR$2*100,"")</f>
        <v>15.363804247460756</v>
      </c>
      <c r="AS76" s="24" t="str">
        <f>IF(AND(A76&lt;&gt;"",X76&lt;&gt;0),SUM(X76,$AS$8)/$AS$2*100,"")</f>
        <v/>
      </c>
      <c r="AT76" s="86">
        <f>IF(A76&lt;&gt;"",SUM(W76:X76,$AT$8)/$AT$2*100,"")</f>
        <v>15.019346378263684</v>
      </c>
      <c r="AU76" s="24">
        <f>AA76</f>
        <v>7.509673189131842</v>
      </c>
      <c r="AV76" s="24"/>
      <c r="AW76" s="27">
        <f>IF(A76&lt;&gt;"",AE76-AA76,"")</f>
        <v>7.509673189131842</v>
      </c>
      <c r="AY76" s="27">
        <f>AR76-AP76</f>
        <v>0.86114467299267261</v>
      </c>
      <c r="AZ76" s="27">
        <f>ABS(AY76)</f>
        <v>0.86114467299267261</v>
      </c>
    </row>
    <row r="77" spans="1:52" s="27" customFormat="1" ht="12.75" customHeight="1" x14ac:dyDescent="0.2">
      <c r="A77" s="10">
        <v>178254</v>
      </c>
      <c r="B77" s="2">
        <v>15</v>
      </c>
      <c r="C77" s="10">
        <v>23</v>
      </c>
      <c r="D77" s="10">
        <v>23</v>
      </c>
      <c r="E77" s="10">
        <v>20</v>
      </c>
      <c r="F77" s="10">
        <v>14</v>
      </c>
      <c r="G77" s="10">
        <v>17</v>
      </c>
      <c r="H77" s="10">
        <v>22</v>
      </c>
      <c r="I77" s="10">
        <v>25</v>
      </c>
      <c r="J77" s="2"/>
      <c r="K77" s="10">
        <v>57</v>
      </c>
      <c r="L77" s="10">
        <v>60</v>
      </c>
      <c r="M77" s="10">
        <v>55</v>
      </c>
      <c r="N77" s="51">
        <v>15</v>
      </c>
      <c r="O77" s="11">
        <v>47</v>
      </c>
      <c r="P77" s="10"/>
      <c r="Q77" s="40"/>
      <c r="R77" s="2">
        <v>101</v>
      </c>
      <c r="S77" s="10">
        <f>IF(T77="",R77,MAX((R77+$R$8)/$R$2,(T77+$T$8)/$T$2)*$R$2-$R$8)</f>
        <v>101</v>
      </c>
      <c r="T77" s="12">
        <v>136</v>
      </c>
      <c r="U77" s="34">
        <f>IF(A77&lt;&gt;"",SUM(B77:I77),"")</f>
        <v>159</v>
      </c>
      <c r="V77" s="10">
        <f>IF(A77&lt;&gt;"",SUM(J77:O77),"")</f>
        <v>234</v>
      </c>
      <c r="W77" s="10">
        <f>IF(A77&lt;&gt;"",SUM(P77:Q77),"")</f>
        <v>0</v>
      </c>
      <c r="X77" s="10">
        <f>IF(A77&lt;&gt;"",SUM(S77:T77),"")</f>
        <v>237</v>
      </c>
      <c r="Y77" s="12">
        <v>3</v>
      </c>
      <c r="Z77" s="12">
        <f>IF(A77&lt;&gt;"",SUM(U77:Y77),"")</f>
        <v>633</v>
      </c>
      <c r="AA77" s="27">
        <f>IF(A77&lt;&gt;"",(Z77+Normalize_To_Add)/(Point_Total_So_Far)*100,"")</f>
        <v>70.809673189131843</v>
      </c>
      <c r="AB77" s="10">
        <f>IF(A77&lt;&gt;"",RANK(AA77,All_Student_XC),"")</f>
        <v>306</v>
      </c>
      <c r="AC77" s="31" t="str">
        <f>IF(A77&lt;&gt;"",CHOOSE(10-MIN(9,TRUNC((AA77+0.5)/10)),"A","B","C","D","F","F","F","F","F","F"),"")</f>
        <v>C</v>
      </c>
      <c r="AD77" s="31" t="str">
        <f>IF(A77&lt;&gt;"",IF(OR(AA77+0.5&gt;=93,AA77+0.5&lt;60),"",IF(MOD(AA77+0.5,10)&gt;=7,"+",IF(MOD(AA77+0.5,10)&lt;3,"-",""))),"")</f>
        <v>-</v>
      </c>
      <c r="AE77" s="31">
        <f>IF(A77&lt;&gt;"",SUM(W77:X77,$W$8:$X$8)/SUM($W$2:$X$2)*100,"")</f>
        <v>62.419346378263683</v>
      </c>
      <c r="AF77" s="31" t="str">
        <f>IF(A77&lt;&gt;"",CHOOSE(10-MIN(9,TRUNC((AE77+0.5)/10)),"A","B","C","D","F","F","F","F","F","F"),"")</f>
        <v>D</v>
      </c>
      <c r="AG77" s="31" t="str">
        <f>IF(A77&lt;&gt;"",IF(OR(AE77+0.5&gt;=93,AE77+0.5&lt;60),"",IF(MOD(AE77+0.5,10)&gt;=7,"+",IF(MOD(AE77+0.5,10)&lt;3,"-",""))),"")</f>
        <v>-</v>
      </c>
      <c r="AH77" s="35">
        <f>IF(A77&lt;&gt;"",MIN(MAX(AA77,AE77),AA77+$AH$8,AE77+$AH$8),"")</f>
        <v>70.809673189131843</v>
      </c>
      <c r="AI77" s="31" t="str">
        <f>IF(A77&lt;&gt;"",CHOOSE(10-MIN(9,TRUNC((AH77+0.5)/10)),"A","B","C","D","F","F","F","F","F","F"),"")</f>
        <v>C</v>
      </c>
      <c r="AJ77" s="31" t="str">
        <f>IF(A77&lt;&gt;"",IF(OR(AH77+0.5&gt;=93,AH77+0.5&lt;60),"",IF(MOD(AH77+0.5,10)&gt;=7,"+",IF(MOD(AH77+0.5,10)&lt;3,"-",""))),"")</f>
        <v>-</v>
      </c>
      <c r="AK77" s="31" t="b">
        <f>IF(A77&lt;&gt;"",OR(AI77&lt;&gt;AC77,AJ77&lt;&gt;AD77),"")</f>
        <v>0</v>
      </c>
      <c r="AL77" s="81">
        <f>IF(AND(A77&lt;&gt;"",U77&gt;0),SUM(U77,$AL$8)/$AL$2*100,"")</f>
        <v>79.5</v>
      </c>
      <c r="AM77" s="24">
        <f>IF(AND(A77&lt;&gt;"",V77&gt;0),SUM(V77,$AM$8)/$AM$2*100,"")</f>
        <v>78</v>
      </c>
      <c r="AN77" s="24" t="str">
        <f>IF(AND(A77&lt;&gt;"",P77&lt;&gt;0),SUM(P77,$AN$8)/$AN$2*100,"")</f>
        <v/>
      </c>
      <c r="AO77" s="24" t="str">
        <f>IF(AND(A77&lt;&gt;"",Q77&lt;&gt;0),SUM(Q77,$AO$8)/$AO$2*100,"")</f>
        <v/>
      </c>
      <c r="AP77" s="24">
        <f>IF(AND(A77&lt;&gt;"",R77&lt;&gt;0),SUM(R77,$AP$8)/$AP$2*100,"")</f>
        <v>65.002659574468083</v>
      </c>
      <c r="AQ77" s="24" t="str">
        <f>IF(AND(A77&lt;&gt;"",W77&gt;0),SUM(W77,$AQ$8)/$AQ$2*100,"")</f>
        <v/>
      </c>
      <c r="AR77" s="24">
        <f>IF(AND(A77&lt;&gt;"",T77&gt;0),SUM(T77,$AR$8)/$AR$2*100,"")</f>
        <v>60.697137580794092</v>
      </c>
      <c r="AS77" s="24">
        <f>IF(AND(A77&lt;&gt;"",X77&lt;&gt;0),SUM(X77,$AS$8)/$AS$2*100,"")</f>
        <v>62.419346378263683</v>
      </c>
      <c r="AT77" s="86">
        <f>IF(A77&lt;&gt;"",SUM(W77:X77,$AT$8)/$AT$2*100,"")</f>
        <v>62.419346378263683</v>
      </c>
      <c r="AU77" s="24">
        <f>AA77</f>
        <v>70.809673189131843</v>
      </c>
      <c r="AV77" s="24"/>
      <c r="AW77" s="27">
        <f>IF(A77&lt;&gt;"",AE77-AA77,"")</f>
        <v>-8.3903268108681601</v>
      </c>
      <c r="AY77" s="27">
        <f>AR77-AP77</f>
        <v>-4.3055219936739917</v>
      </c>
      <c r="AZ77" s="27">
        <f>ABS(AY77)</f>
        <v>4.3055219936739917</v>
      </c>
    </row>
    <row r="78" spans="1:52" s="27" customFormat="1" ht="12.75" customHeight="1" x14ac:dyDescent="0.2">
      <c r="A78" s="10">
        <v>179356</v>
      </c>
      <c r="B78" s="2">
        <v>18</v>
      </c>
      <c r="C78" s="10">
        <v>21</v>
      </c>
      <c r="D78" s="10">
        <v>20</v>
      </c>
      <c r="E78" s="10">
        <v>24</v>
      </c>
      <c r="F78" s="10">
        <v>25</v>
      </c>
      <c r="G78" s="10">
        <v>25</v>
      </c>
      <c r="H78" s="10">
        <v>23</v>
      </c>
      <c r="I78" s="10">
        <v>24</v>
      </c>
      <c r="J78" s="2"/>
      <c r="K78" s="10">
        <v>38</v>
      </c>
      <c r="L78" s="10">
        <v>60</v>
      </c>
      <c r="M78" s="10">
        <v>57</v>
      </c>
      <c r="N78" s="51">
        <v>38</v>
      </c>
      <c r="O78" s="11">
        <v>61</v>
      </c>
      <c r="P78" s="10"/>
      <c r="Q78" s="40"/>
      <c r="R78" s="2">
        <v>143</v>
      </c>
      <c r="S78" s="10">
        <f>IF(T78="",R78,MAX((R78+$R$8)/$R$2,(T78+$T$8)/$T$2)*$R$2-$R$8)</f>
        <v>143</v>
      </c>
      <c r="T78" s="12">
        <v>194</v>
      </c>
      <c r="U78" s="34">
        <f>IF(A78&lt;&gt;"",SUM(B78:I78),"")</f>
        <v>180</v>
      </c>
      <c r="V78" s="10">
        <f>IF(A78&lt;&gt;"",SUM(J78:O78),"")</f>
        <v>254</v>
      </c>
      <c r="W78" s="10">
        <f>IF(A78&lt;&gt;"",SUM(P78:Q78),"")</f>
        <v>0</v>
      </c>
      <c r="X78" s="10">
        <f>IF(A78&lt;&gt;"",SUM(S78:T78),"")</f>
        <v>337</v>
      </c>
      <c r="Y78" s="12">
        <v>3</v>
      </c>
      <c r="Z78" s="12">
        <f>IF(A78&lt;&gt;"",SUM(U78:Y78),"")</f>
        <v>774</v>
      </c>
      <c r="AA78" s="27">
        <f>IF(A78&lt;&gt;"",(Z78+Normalize_To_Add)/(Point_Total_So_Far)*100,"")</f>
        <v>84.909673189131837</v>
      </c>
      <c r="AB78" s="10">
        <f>IF(A78&lt;&gt;"",RANK(AA78,All_Student_XC),"")</f>
        <v>159</v>
      </c>
      <c r="AC78" s="31" t="str">
        <f>IF(A78&lt;&gt;"",CHOOSE(10-MIN(9,TRUNC((AA78+0.5)/10)),"A","B","C","D","F","F","F","F","F","F"),"")</f>
        <v>B</v>
      </c>
      <c r="AD78" s="31" t="str">
        <f>IF(A78&lt;&gt;"",IF(OR(AA78+0.5&gt;=93,AA78+0.5&lt;60),"",IF(MOD(AA78+0.5,10)&gt;=7,"+",IF(MOD(AA78+0.5,10)&lt;3,"-",""))),"")</f>
        <v/>
      </c>
      <c r="AE78" s="31">
        <f>IF(A78&lt;&gt;"",SUM(W78:X78,$W$8:$X$8)/SUM($W$2:$X$2)*100,"")</f>
        <v>82.419346378263683</v>
      </c>
      <c r="AF78" s="31" t="str">
        <f>IF(A78&lt;&gt;"",CHOOSE(10-MIN(9,TRUNC((AE78+0.5)/10)),"A","B","C","D","F","F","F","F","F","F"),"")</f>
        <v>B</v>
      </c>
      <c r="AG78" s="31" t="str">
        <f>IF(A78&lt;&gt;"",IF(OR(AE78+0.5&gt;=93,AE78+0.5&lt;60),"",IF(MOD(AE78+0.5,10)&gt;=7,"+",IF(MOD(AE78+0.5,10)&lt;3,"-",""))),"")</f>
        <v>-</v>
      </c>
      <c r="AH78" s="35">
        <f>IF(A78&lt;&gt;"",MIN(MAX(AA78,AE78),AA78+$AH$8,AE78+$AH$8),"")</f>
        <v>84.909673189131837</v>
      </c>
      <c r="AI78" s="31" t="str">
        <f>IF(A78&lt;&gt;"",CHOOSE(10-MIN(9,TRUNC((AH78+0.5)/10)),"A","B","C","D","F","F","F","F","F","F"),"")</f>
        <v>B</v>
      </c>
      <c r="AJ78" s="31" t="str">
        <f>IF(A78&lt;&gt;"",IF(OR(AH78+0.5&gt;=93,AH78+0.5&lt;60),"",IF(MOD(AH78+0.5,10)&gt;=7,"+",IF(MOD(AH78+0.5,10)&lt;3,"-",""))),"")</f>
        <v/>
      </c>
      <c r="AK78" s="31" t="b">
        <f>IF(A78&lt;&gt;"",OR(AI78&lt;&gt;AC78,AJ78&lt;&gt;AD78),"")</f>
        <v>0</v>
      </c>
      <c r="AL78" s="81">
        <f>IF(AND(A78&lt;&gt;"",U78&gt;0),SUM(U78,$AL$8)/$AL$2*100,"")</f>
        <v>90</v>
      </c>
      <c r="AM78" s="24">
        <f>IF(AND(A78&lt;&gt;"",V78&gt;0),SUM(V78,$AM$8)/$AM$2*100,"")</f>
        <v>84.666666666666671</v>
      </c>
      <c r="AN78" s="24" t="str">
        <f>IF(AND(A78&lt;&gt;"",P78&lt;&gt;0),SUM(P78,$AN$8)/$AN$2*100,"")</f>
        <v/>
      </c>
      <c r="AO78" s="24" t="str">
        <f>IF(AND(A78&lt;&gt;"",Q78&lt;&gt;0),SUM(Q78,$AO$8)/$AO$2*100,"")</f>
        <v/>
      </c>
      <c r="AP78" s="24">
        <f>IF(AND(A78&lt;&gt;"",R78&lt;&gt;0),SUM(R78,$AP$8)/$AP$2*100,"")</f>
        <v>86.002659574468083</v>
      </c>
      <c r="AQ78" s="24" t="str">
        <f>IF(AND(A78&lt;&gt;"",W78&gt;0),SUM(W78,$AQ$8)/$AQ$2*100,"")</f>
        <v/>
      </c>
      <c r="AR78" s="24">
        <f>IF(AND(A78&lt;&gt;"",T78&gt;0),SUM(T78,$AR$8)/$AR$2*100,"")</f>
        <v>80.03047091412742</v>
      </c>
      <c r="AS78" s="24">
        <f>IF(AND(A78&lt;&gt;"",X78&lt;&gt;0),SUM(X78,$AS$8)/$AS$2*100,"")</f>
        <v>82.419346378263683</v>
      </c>
      <c r="AT78" s="86">
        <f>IF(A78&lt;&gt;"",SUM(W78:X78,$AT$8)/$AT$2*100,"")</f>
        <v>82.419346378263683</v>
      </c>
      <c r="AU78" s="24">
        <f>AA78</f>
        <v>84.909673189131837</v>
      </c>
      <c r="AV78" s="24"/>
      <c r="AW78" s="27">
        <f>IF(A78&lt;&gt;"",AE78-AA78,"")</f>
        <v>-2.4903268108681544</v>
      </c>
      <c r="AY78" s="27">
        <f>AR78-AP78</f>
        <v>-5.9721886603406631</v>
      </c>
      <c r="AZ78" s="27">
        <f>ABS(AY78)</f>
        <v>5.9721886603406631</v>
      </c>
    </row>
    <row r="79" spans="1:52" s="27" customFormat="1" ht="12.75" customHeight="1" x14ac:dyDescent="0.2">
      <c r="A79" s="10">
        <v>182908</v>
      </c>
      <c r="B79" s="2">
        <v>23</v>
      </c>
      <c r="C79" s="10">
        <v>25</v>
      </c>
      <c r="D79" s="10">
        <v>23</v>
      </c>
      <c r="E79" s="10">
        <v>23</v>
      </c>
      <c r="F79" s="10">
        <v>25</v>
      </c>
      <c r="G79" s="10">
        <v>25</v>
      </c>
      <c r="H79" s="10">
        <v>25</v>
      </c>
      <c r="I79" s="10">
        <v>25</v>
      </c>
      <c r="J79" s="2"/>
      <c r="K79" s="10">
        <v>59</v>
      </c>
      <c r="L79" s="10">
        <v>62</v>
      </c>
      <c r="M79" s="10">
        <v>62</v>
      </c>
      <c r="N79" s="51">
        <v>61</v>
      </c>
      <c r="O79" s="11">
        <v>62</v>
      </c>
      <c r="P79" s="10"/>
      <c r="Q79" s="40"/>
      <c r="R79" s="2">
        <v>116</v>
      </c>
      <c r="S79" s="10">
        <f>IF(T79="",R79,MAX((R79+$R$8)/$R$2,(T79+$T$8)/$T$2)*$R$2-$R$8)</f>
        <v>131.72228934598536</v>
      </c>
      <c r="T79" s="12">
        <v>195</v>
      </c>
      <c r="U79" s="7">
        <f>IF(A79&lt;&gt;"",SUM(B79:I79),"")</f>
        <v>194</v>
      </c>
      <c r="V79" s="10">
        <f>IF(A79&lt;&gt;"",SUM(J79:O79),"")</f>
        <v>306</v>
      </c>
      <c r="W79" s="10">
        <f>IF(A79&lt;&gt;"",SUM(P79:Q79),"")</f>
        <v>0</v>
      </c>
      <c r="X79" s="10">
        <f>IF(A79&lt;&gt;"",SUM(S79:T79),"")</f>
        <v>326.72228934598536</v>
      </c>
      <c r="Y79" s="12">
        <v>3</v>
      </c>
      <c r="Z79" s="12">
        <f>IF(A79&lt;&gt;"",SUM(U79:Y79),"")</f>
        <v>829.72228934598536</v>
      </c>
      <c r="AA79" s="27">
        <f>IF(A79&lt;&gt;"",(Z79+Normalize_To_Add)/(Point_Total_So_Far)*100,"")</f>
        <v>90.481902123730379</v>
      </c>
      <c r="AB79" s="10">
        <f>IF(A79&lt;&gt;"",RANK(AA79,All_Student_XC),"")</f>
        <v>71</v>
      </c>
      <c r="AC79" s="31" t="str">
        <f>IF(A79&lt;&gt;"",CHOOSE(10-MIN(9,TRUNC((AA79+0.5)/10)),"A","B","C","D","F","F","F","F","F","F"),"")</f>
        <v>A</v>
      </c>
      <c r="AD79" s="31" t="str">
        <f>IF(A79&lt;&gt;"",IF(OR(AA79+0.5&gt;=93,AA79+0.5&lt;60),"",IF(MOD(AA79+0.5,10)&gt;=7,"+",IF(MOD(AA79+0.5,10)&lt;3,"-",""))),"")</f>
        <v>-</v>
      </c>
      <c r="AE79" s="31">
        <f>IF(A79&lt;&gt;"",SUM(W79:X79,$W$8:$X$8)/SUM($W$2:$X$2)*100,"")</f>
        <v>80.363804247460763</v>
      </c>
      <c r="AF79" s="31" t="str">
        <f>IF(A79&lt;&gt;"",CHOOSE(10-MIN(9,TRUNC((AE79+0.5)/10)),"A","B","C","D","F","F","F","F","F","F"),"")</f>
        <v>B</v>
      </c>
      <c r="AG79" s="31" t="str">
        <f>IF(A79&lt;&gt;"",IF(OR(AE79+0.5&gt;=93,AE79+0.5&lt;60),"",IF(MOD(AE79+0.5,10)&gt;=7,"+",IF(MOD(AE79+0.5,10)&lt;3,"-",""))),"")</f>
        <v>-</v>
      </c>
      <c r="AH79" s="35">
        <f>IF(A79&lt;&gt;"",MIN(MAX(AA79,AE79),AA79+$AH$8,AE79+$AH$8),"")</f>
        <v>90.481902123730379</v>
      </c>
      <c r="AI79" s="31" t="str">
        <f>IF(A79&lt;&gt;"",CHOOSE(10-MIN(9,TRUNC((AH79+0.5)/10)),"A","B","C","D","F","F","F","F","F","F"),"")</f>
        <v>A</v>
      </c>
      <c r="AJ79" s="31" t="str">
        <f>IF(A79&lt;&gt;"",IF(OR(AH79+0.5&gt;=93,AH79+0.5&lt;60),"",IF(MOD(AH79+0.5,10)&gt;=7,"+",IF(MOD(AH79+0.5,10)&lt;3,"-",""))),"")</f>
        <v>-</v>
      </c>
      <c r="AK79" s="31" t="b">
        <f>IF(A79&lt;&gt;"",OR(AI79&lt;&gt;AC79,AJ79&lt;&gt;AD79),"")</f>
        <v>0</v>
      </c>
      <c r="AL79" s="81">
        <f>IF(AND(A79&lt;&gt;"",U79&gt;0),SUM(U79,$AL$8)/$AL$2*100,"")</f>
        <v>97</v>
      </c>
      <c r="AM79" s="24">
        <f>IF(AND(A79&lt;&gt;"",V79&gt;0),SUM(V79,$AM$8)/$AM$2*100,"")</f>
        <v>102</v>
      </c>
      <c r="AN79" s="24" t="str">
        <f>IF(AND(A79&lt;&gt;"",P79&lt;&gt;0),SUM(P79,$AN$8)/$AN$2*100,"")</f>
        <v/>
      </c>
      <c r="AO79" s="24" t="str">
        <f>IF(AND(A79&lt;&gt;"",Q79&lt;&gt;0),SUM(Q79,$AO$8)/$AO$2*100,"")</f>
        <v/>
      </c>
      <c r="AP79" s="24">
        <f>IF(AND(A79&lt;&gt;"",R79&lt;&gt;0),SUM(R79,$AP$8)/$AP$2*100,"")</f>
        <v>72.502659574468083</v>
      </c>
      <c r="AQ79" s="24" t="str">
        <f>IF(AND(A79&lt;&gt;"",W79&gt;0),SUM(W79,$AQ$8)/$AQ$2*100,"")</f>
        <v/>
      </c>
      <c r="AR79" s="24">
        <f>IF(AND(A79&lt;&gt;"",T79&gt;0),SUM(T79,$AR$8)/$AR$2*100,"")</f>
        <v>80.363804247460763</v>
      </c>
      <c r="AS79" s="24">
        <f>IF(AND(A79&lt;&gt;"",X79&lt;&gt;0),SUM(X79,$AS$8)/$AS$2*100,"")</f>
        <v>80.363804247460763</v>
      </c>
      <c r="AT79" s="86">
        <f>IF(A79&lt;&gt;"",SUM(W79:X79,$AT$8)/$AT$2*100,"")</f>
        <v>80.363804247460763</v>
      </c>
      <c r="AU79" s="24">
        <f>AA79</f>
        <v>90.481902123730379</v>
      </c>
      <c r="AV79" s="24"/>
      <c r="AW79" s="27">
        <f>IF(A79&lt;&gt;"",AE79-AA79,"")</f>
        <v>-10.118097876269616</v>
      </c>
      <c r="AY79" s="27">
        <f>AR79-AP79</f>
        <v>7.8611446729926797</v>
      </c>
      <c r="AZ79" s="27">
        <f>ABS(AY79)</f>
        <v>7.8611446729926797</v>
      </c>
    </row>
    <row r="80" spans="1:52" s="27" customFormat="1" ht="12.75" customHeight="1" x14ac:dyDescent="0.2">
      <c r="A80" s="50">
        <v>183448</v>
      </c>
      <c r="B80" s="2">
        <v>5</v>
      </c>
      <c r="C80" s="50">
        <v>19</v>
      </c>
      <c r="D80" s="10">
        <v>23</v>
      </c>
      <c r="E80" s="10">
        <v>25</v>
      </c>
      <c r="F80" s="10">
        <v>25</v>
      </c>
      <c r="G80" s="10" t="s">
        <v>69</v>
      </c>
      <c r="H80" s="10" t="s">
        <v>69</v>
      </c>
      <c r="I80" s="10" t="s">
        <v>69</v>
      </c>
      <c r="J80" s="2"/>
      <c r="K80" s="10">
        <v>37</v>
      </c>
      <c r="L80" s="10">
        <v>27</v>
      </c>
      <c r="M80" s="10">
        <v>0</v>
      </c>
      <c r="N80" s="51" t="s">
        <v>69</v>
      </c>
      <c r="O80" s="11" t="s">
        <v>69</v>
      </c>
      <c r="P80" s="10"/>
      <c r="Q80" s="40"/>
      <c r="R80" s="2">
        <v>86</v>
      </c>
      <c r="S80" s="10">
        <f>IF(T80="",R80,MAX((R80+$R$8)/$R$2,(T80+$T$8)/$T$2)*$R$2-$R$8)</f>
        <v>88.388956012652017</v>
      </c>
      <c r="T80" s="62">
        <v>130</v>
      </c>
      <c r="U80" s="10">
        <f>IF(A80&lt;&gt;"",SUM(B80:I80),"")</f>
        <v>97</v>
      </c>
      <c r="V80" s="10">
        <f>IF(A80&lt;&gt;"",SUM(J80:O80),"")</f>
        <v>64</v>
      </c>
      <c r="W80" s="10">
        <f>IF(A80&lt;&gt;"",SUM(P80:Q80),"")</f>
        <v>0</v>
      </c>
      <c r="X80" s="10">
        <f>IF(A80&lt;&gt;"",SUM(S80:T80),"")</f>
        <v>218.38895601265202</v>
      </c>
      <c r="Y80" s="12" t="s">
        <v>69</v>
      </c>
      <c r="Z80" s="12">
        <f>IF(A80&lt;&gt;"",SUM(U80:Y80),"")</f>
        <v>379.38895601265199</v>
      </c>
      <c r="AA80" s="27">
        <f>IF(A80&lt;&gt;"",(Z80+Normalize_To_Add)/(Point_Total_So_Far)*100,"")</f>
        <v>45.44856879039704</v>
      </c>
      <c r="AB80" s="10">
        <f>IF(A80&lt;&gt;"",RANK(AA80,All_Student_XC),"")</f>
        <v>360</v>
      </c>
      <c r="AC80" s="31" t="str">
        <f>IF(A80&lt;&gt;"",CHOOSE(10-MIN(9,TRUNC((AA80+0.5)/10)),"A","B","C","D","F","F","F","F","F","F"),"")</f>
        <v>F</v>
      </c>
      <c r="AD80" s="31" t="str">
        <f>IF(A80&lt;&gt;"",IF(OR(AA80+0.5&gt;=93,AA80+0.5&lt;60),"",IF(MOD(AA80+0.5,10)&gt;=7,"+",IF(MOD(AA80+0.5,10)&lt;3,"-",""))),"")</f>
        <v/>
      </c>
      <c r="AE80" s="31">
        <f>IF(A80&lt;&gt;"",SUM(W80:X80,$W$8:$X$8)/SUM($W$2:$X$2)*100,"")</f>
        <v>58.697137580794077</v>
      </c>
      <c r="AF80" s="43" t="str">
        <f>IF(A80&lt;&gt;"",CHOOSE(10-MIN(9,TRUNC((AE80+0.5)/10)),"A","B","C","D","F","F","F","F","F","F"),"")</f>
        <v>F</v>
      </c>
      <c r="AG80" s="43" t="str">
        <f>IF(A80&lt;&gt;"",IF(OR(AE80+0.5&gt;=93,AE80+0.5&lt;60),"",IF(MOD(AE80+0.5,10)&gt;=7,"+",IF(MOD(AE80+0.5,10)&lt;3,"-",""))),"")</f>
        <v/>
      </c>
      <c r="AH80" s="35">
        <f>IF(A80&lt;&gt;"",MIN(MAX(AA80,AE80),AA80+$AH$8,AE80+$AH$8),"")</f>
        <v>58.697137580794077</v>
      </c>
      <c r="AI80" s="31" t="str">
        <f>IF(A80&lt;&gt;"",CHOOSE(10-MIN(9,TRUNC((AH80+0.5)/10)),"A","B","C","D","F","F","F","F","F","F"),"")</f>
        <v>F</v>
      </c>
      <c r="AJ80" s="31" t="str">
        <f>IF(A80&lt;&gt;"",IF(OR(AH80+0.5&gt;=93,AH80+0.5&lt;60),"",IF(MOD(AH80+0.5,10)&gt;=7,"+",IF(MOD(AH80+0.5,10)&lt;3,"-",""))),"")</f>
        <v/>
      </c>
      <c r="AK80" s="31" t="b">
        <f>IF(A80&lt;&gt;"",OR(AI80&lt;&gt;AC80,AJ80&lt;&gt;AD80),"")</f>
        <v>0</v>
      </c>
      <c r="AL80" s="81">
        <f>IF(AND(A80&lt;&gt;"",U80&gt;0),SUM(U80,$AL$8)/$AL$2*100,"")</f>
        <v>48.5</v>
      </c>
      <c r="AM80" s="24">
        <f>IF(AND(A80&lt;&gt;"",V80&gt;0),SUM(V80,$AM$8)/$AM$2*100,"")</f>
        <v>21.333333333333336</v>
      </c>
      <c r="AN80" s="24" t="str">
        <f>IF(AND(A80&lt;&gt;"",P80&lt;&gt;0),SUM(P80,$AN$8)/$AN$2*100,"")</f>
        <v/>
      </c>
      <c r="AO80" s="24" t="str">
        <f>IF(AND(A80&lt;&gt;"",Q80&lt;&gt;0),SUM(Q80,$AO$8)/$AO$2*100,"")</f>
        <v/>
      </c>
      <c r="AP80" s="24">
        <f>IF(AND(A80&lt;&gt;"",R80&lt;&gt;0),SUM(R80,$AP$8)/$AP$2*100,"")</f>
        <v>57.502659574468083</v>
      </c>
      <c r="AQ80" s="24" t="str">
        <f>IF(AND(A80&lt;&gt;"",W80&gt;0),SUM(W80,$AQ$8)/$AQ$2*100,"")</f>
        <v/>
      </c>
      <c r="AR80" s="24">
        <f>IF(AND(A80&lt;&gt;"",T80&gt;0),SUM(T80,$AR$8)/$AR$2*100,"")</f>
        <v>58.697137580794092</v>
      </c>
      <c r="AS80" s="24">
        <f>IF(AND(A80&lt;&gt;"",X80&lt;&gt;0),SUM(X80,$AS$8)/$AS$2*100,"")</f>
        <v>58.697137580794077</v>
      </c>
      <c r="AT80" s="86">
        <f>IF(A80&lt;&gt;"",SUM(W80:X80,$AT$8)/$AT$2*100,"")</f>
        <v>58.697137580794077</v>
      </c>
      <c r="AU80" s="24">
        <f>AA80</f>
        <v>45.44856879039704</v>
      </c>
      <c r="AV80" s="24"/>
      <c r="AW80" s="27">
        <f>IF(A80&lt;&gt;"",AE80-AA80,"")</f>
        <v>13.248568790397037</v>
      </c>
      <c r="AY80" s="27">
        <f>AR80-AP80</f>
        <v>1.1944780063260083</v>
      </c>
      <c r="AZ80" s="27">
        <f>ABS(AY80)</f>
        <v>1.1944780063260083</v>
      </c>
    </row>
    <row r="81" spans="1:54" s="27" customFormat="1" ht="12.75" customHeight="1" x14ac:dyDescent="0.2">
      <c r="A81" s="10">
        <v>188146</v>
      </c>
      <c r="B81" s="2">
        <v>25</v>
      </c>
      <c r="C81" s="10">
        <v>25</v>
      </c>
      <c r="D81" s="10">
        <v>23</v>
      </c>
      <c r="E81" s="10">
        <v>20</v>
      </c>
      <c r="F81" s="10">
        <v>21</v>
      </c>
      <c r="G81" s="10">
        <v>25</v>
      </c>
      <c r="H81" s="10">
        <v>13</v>
      </c>
      <c r="I81" s="10">
        <v>25</v>
      </c>
      <c r="J81" s="2"/>
      <c r="K81" s="10">
        <v>62</v>
      </c>
      <c r="L81" s="10">
        <v>62</v>
      </c>
      <c r="M81" s="10">
        <v>61</v>
      </c>
      <c r="N81" s="51">
        <v>62</v>
      </c>
      <c r="O81" s="11">
        <v>62</v>
      </c>
      <c r="P81" s="10"/>
      <c r="Q81" s="40"/>
      <c r="R81" s="2">
        <v>142</v>
      </c>
      <c r="S81" s="10">
        <f>IF(T81="",R81,MAX((R81+$R$8)/$R$2,(T81+$T$8)/$T$2)*$R$2-$R$8)</f>
        <v>159.72228934598536</v>
      </c>
      <c r="T81" s="12">
        <v>237</v>
      </c>
      <c r="U81" s="34">
        <f>IF(A81&lt;&gt;"",SUM(B81:I81),"")</f>
        <v>177</v>
      </c>
      <c r="V81" s="10">
        <f>IF(A81&lt;&gt;"",SUM(J81:O81),"")</f>
        <v>309</v>
      </c>
      <c r="W81" s="10">
        <f>IF(A81&lt;&gt;"",SUM(P81:Q81),"")</f>
        <v>0</v>
      </c>
      <c r="X81" s="10">
        <f>IF(A81&lt;&gt;"",SUM(S81:T81),"")</f>
        <v>396.72228934598536</v>
      </c>
      <c r="Y81" s="12">
        <v>3</v>
      </c>
      <c r="Z81" s="12">
        <f>IF(A81&lt;&gt;"",SUM(U81:Y81),"")</f>
        <v>885.72228934598536</v>
      </c>
      <c r="AA81" s="27">
        <f>IF(A81&lt;&gt;"",(Z81+Normalize_To_Add)/(Point_Total_So_Far)*100,"")</f>
        <v>96.081902123730373</v>
      </c>
      <c r="AB81" s="10">
        <f>IF(A81&lt;&gt;"",RANK(AA81,All_Student_XC),"")</f>
        <v>22</v>
      </c>
      <c r="AC81" s="31" t="str">
        <f>IF(A81&lt;&gt;"",CHOOSE(10-MIN(9,TRUNC((AA81+0.5)/10)),"A","B","C","D","F","F","F","F","F","F"),"")</f>
        <v>A</v>
      </c>
      <c r="AD81" s="31" t="str">
        <f>IF(A81&lt;&gt;"",IF(OR(AA81+0.5&gt;=93,AA81+0.5&lt;60),"",IF(MOD(AA81+0.5,10)&gt;=7,"+",IF(MOD(AA81+0.5,10)&lt;3,"-",""))),"")</f>
        <v/>
      </c>
      <c r="AE81" s="31">
        <f>IF(A81&lt;&gt;"",SUM(W81:X81,$W$8:$X$8)/SUM($W$2:$X$2)*100,"")</f>
        <v>94.363804247460763</v>
      </c>
      <c r="AF81" s="31" t="str">
        <f>IF(A81&lt;&gt;"",CHOOSE(10-MIN(9,TRUNC((AE81+0.5)/10)),"A","B","C","D","F","F","F","F","F","F"),"")</f>
        <v>A</v>
      </c>
      <c r="AG81" s="31" t="str">
        <f>IF(A81&lt;&gt;"",IF(OR(AE81+0.5&gt;=93,AE81+0.5&lt;60),"",IF(MOD(AE81+0.5,10)&gt;=7,"+",IF(MOD(AE81+0.5,10)&lt;3,"-",""))),"")</f>
        <v/>
      </c>
      <c r="AH81" s="35">
        <f>IF(A81&lt;&gt;"",MIN(MAX(AA81,AE81),AA81+$AH$8,AE81+$AH$8),"")</f>
        <v>96.081902123730373</v>
      </c>
      <c r="AI81" s="31" t="str">
        <f>IF(A81&lt;&gt;"",CHOOSE(10-MIN(9,TRUNC((AH81+0.5)/10)),"A","B","C","D","F","F","F","F","F","F"),"")</f>
        <v>A</v>
      </c>
      <c r="AJ81" s="31" t="str">
        <f>IF(A81&lt;&gt;"",IF(OR(AH81+0.5&gt;=93,AH81+0.5&lt;60),"",IF(MOD(AH81+0.5,10)&gt;=7,"+",IF(MOD(AH81+0.5,10)&lt;3,"-",""))),"")</f>
        <v/>
      </c>
      <c r="AK81" s="31" t="b">
        <f>IF(A81&lt;&gt;"",OR(AI81&lt;&gt;AC81,AJ81&lt;&gt;AD81),"")</f>
        <v>0</v>
      </c>
      <c r="AL81" s="81">
        <f>IF(AND(A81&lt;&gt;"",U81&gt;0),SUM(U81,$AL$8)/$AL$2*100,"")</f>
        <v>88.5</v>
      </c>
      <c r="AM81" s="24">
        <f>IF(AND(A81&lt;&gt;"",V81&gt;0),SUM(V81,$AM$8)/$AM$2*100,"")</f>
        <v>103</v>
      </c>
      <c r="AN81" s="24" t="str">
        <f>IF(AND(A81&lt;&gt;"",P81&lt;&gt;0),SUM(P81,$AN$8)/$AN$2*100,"")</f>
        <v/>
      </c>
      <c r="AO81" s="24" t="str">
        <f>IF(AND(A81&lt;&gt;"",Q81&lt;&gt;0),SUM(Q81,$AO$8)/$AO$2*100,"")</f>
        <v/>
      </c>
      <c r="AP81" s="24">
        <f>IF(AND(A81&lt;&gt;"",R81&lt;&gt;0),SUM(R81,$AP$8)/$AP$2*100,"")</f>
        <v>85.502659574468083</v>
      </c>
      <c r="AQ81" s="24" t="str">
        <f>IF(AND(A81&lt;&gt;"",W81&gt;0),SUM(W81,$AQ$8)/$AQ$2*100,"")</f>
        <v/>
      </c>
      <c r="AR81" s="24">
        <f>IF(AND(A81&lt;&gt;"",T81&gt;0),SUM(T81,$AR$8)/$AR$2*100,"")</f>
        <v>94.363804247460763</v>
      </c>
      <c r="AS81" s="24">
        <f>IF(AND(A81&lt;&gt;"",X81&lt;&gt;0),SUM(X81,$AS$8)/$AS$2*100,"")</f>
        <v>94.363804247460763</v>
      </c>
      <c r="AT81" s="86">
        <f>IF(A81&lt;&gt;"",SUM(W81:X81,$AT$8)/$AT$2*100,"")</f>
        <v>94.363804247460763</v>
      </c>
      <c r="AU81" s="24">
        <f>AA81</f>
        <v>96.081902123730373</v>
      </c>
      <c r="AV81" s="24"/>
      <c r="AW81" s="27">
        <f>IF(A81&lt;&gt;"",AE81-AA81,"")</f>
        <v>-1.71809787626961</v>
      </c>
      <c r="AY81" s="27">
        <f>AR81-AP81</f>
        <v>8.8611446729926797</v>
      </c>
      <c r="AZ81" s="27">
        <f>ABS(AY81)</f>
        <v>8.8611446729926797</v>
      </c>
      <c r="BB81" s="27" t="e">
        <f>AVERAGE(#REF!)</f>
        <v>#REF!</v>
      </c>
    </row>
    <row r="82" spans="1:54" s="27" customFormat="1" ht="12.75" customHeight="1" x14ac:dyDescent="0.2">
      <c r="A82" s="10">
        <v>188836</v>
      </c>
      <c r="B82" s="2">
        <v>20</v>
      </c>
      <c r="C82" s="10">
        <v>25</v>
      </c>
      <c r="D82" s="10">
        <v>24</v>
      </c>
      <c r="E82" s="10">
        <v>18</v>
      </c>
      <c r="F82" s="10">
        <v>17</v>
      </c>
      <c r="G82" s="10">
        <v>25</v>
      </c>
      <c r="H82" s="10">
        <v>19</v>
      </c>
      <c r="I82" s="10">
        <v>18</v>
      </c>
      <c r="J82" s="2"/>
      <c r="K82" s="10">
        <v>55</v>
      </c>
      <c r="L82" s="10">
        <v>58</v>
      </c>
      <c r="M82" s="10">
        <v>51</v>
      </c>
      <c r="N82" s="51">
        <v>47</v>
      </c>
      <c r="O82" s="11">
        <v>46</v>
      </c>
      <c r="P82" s="10"/>
      <c r="Q82" s="40"/>
      <c r="R82" s="2">
        <v>167</v>
      </c>
      <c r="S82" s="10">
        <f>IF(T82="",R82,MAX((R82+$R$8)/$R$2,(T82+$T$8)/$T$2)*$R$2-$R$8)</f>
        <v>167</v>
      </c>
      <c r="T82" s="12">
        <v>222</v>
      </c>
      <c r="U82" s="34">
        <f>IF(A82&lt;&gt;"",SUM(B82:I82),"")</f>
        <v>166</v>
      </c>
      <c r="V82" s="10">
        <f>IF(A82&lt;&gt;"",SUM(J82:O82),"")</f>
        <v>257</v>
      </c>
      <c r="W82" s="10">
        <f>IF(A82&lt;&gt;"",SUM(P82:Q82),"")</f>
        <v>0</v>
      </c>
      <c r="X82" s="10">
        <f>IF(A82&lt;&gt;"",SUM(S82:T82),"")</f>
        <v>389</v>
      </c>
      <c r="Y82" s="12">
        <v>3</v>
      </c>
      <c r="Z82" s="12">
        <f>IF(A82&lt;&gt;"",SUM(U82:Y82),"")</f>
        <v>815</v>
      </c>
      <c r="AA82" s="27">
        <f>IF(A82&lt;&gt;"",(Z82+Normalize_To_Add)/(Point_Total_So_Far)*100,"")</f>
        <v>89.009673189131846</v>
      </c>
      <c r="AB82" s="10">
        <f>IF(A82&lt;&gt;"",RANK(AA82,All_Student_XC),"")</f>
        <v>96</v>
      </c>
      <c r="AC82" s="31" t="str">
        <f>IF(A82&lt;&gt;"",CHOOSE(10-MIN(9,TRUNC((AA82+0.5)/10)),"A","B","C","D","F","F","F","F","F","F"),"")</f>
        <v>B</v>
      </c>
      <c r="AD82" s="31" t="str">
        <f>IF(A82&lt;&gt;"",IF(OR(AA82+0.5&gt;=93,AA82+0.5&lt;60),"",IF(MOD(AA82+0.5,10)&gt;=7,"+",IF(MOD(AA82+0.5,10)&lt;3,"-",""))),"")</f>
        <v>+</v>
      </c>
      <c r="AE82" s="31">
        <f>IF(A82&lt;&gt;"",SUM(W82:X82,$W$8:$X$8)/SUM($W$2:$X$2)*100,"")</f>
        <v>92.819346378263688</v>
      </c>
      <c r="AF82" s="31" t="str">
        <f>IF(A82&lt;&gt;"",CHOOSE(10-MIN(9,TRUNC((AE82+0.5)/10)),"A","B","C","D","F","F","F","F","F","F"),"")</f>
        <v>A</v>
      </c>
      <c r="AG82" s="31" t="str">
        <f>IF(A82&lt;&gt;"",IF(OR(AE82+0.5&gt;=93,AE82+0.5&lt;60),"",IF(MOD(AE82+0.5,10)&gt;=7,"+",IF(MOD(AE82+0.5,10)&lt;3,"-",""))),"")</f>
        <v/>
      </c>
      <c r="AH82" s="35">
        <f>IF(A82&lt;&gt;"",MIN(MAX(AA82,AE82),AA82+$AH$8,AE82+$AH$8),"")</f>
        <v>92.819346378263688</v>
      </c>
      <c r="AI82" s="31" t="str">
        <f>IF(A82&lt;&gt;"",CHOOSE(10-MIN(9,TRUNC((AH82+0.5)/10)),"A","B","C","D","F","F","F","F","F","F"),"")</f>
        <v>A</v>
      </c>
      <c r="AJ82" s="31" t="str">
        <f>IF(A82&lt;&gt;"",IF(OR(AH82+0.5&gt;=93,AH82+0.5&lt;60),"",IF(MOD(AH82+0.5,10)&gt;=7,"+",IF(MOD(AH82+0.5,10)&lt;3,"-",""))),"")</f>
        <v/>
      </c>
      <c r="AK82" s="31" t="b">
        <f>IF(A82&lt;&gt;"",OR(AI82&lt;&gt;AC82,AJ82&lt;&gt;AD82),"")</f>
        <v>1</v>
      </c>
      <c r="AL82" s="81">
        <f>IF(AND(A82&lt;&gt;"",U82&gt;0),SUM(U82,$AL$8)/$AL$2*100,"")</f>
        <v>83</v>
      </c>
      <c r="AM82" s="24">
        <f>IF(AND(A82&lt;&gt;"",V82&gt;0),SUM(V82,$AM$8)/$AM$2*100,"")</f>
        <v>85.666666666666671</v>
      </c>
      <c r="AN82" s="24" t="str">
        <f>IF(AND(A82&lt;&gt;"",P82&lt;&gt;0),SUM(P82,$AN$8)/$AN$2*100,"")</f>
        <v/>
      </c>
      <c r="AO82" s="24" t="str">
        <f>IF(AND(A82&lt;&gt;"",Q82&lt;&gt;0),SUM(Q82,$AO$8)/$AO$2*100,"")</f>
        <v/>
      </c>
      <c r="AP82" s="24">
        <f>IF(AND(A82&lt;&gt;"",R82&lt;&gt;0),SUM(R82,$AP$8)/$AP$2*100,"")</f>
        <v>98.002659574468083</v>
      </c>
      <c r="AQ82" s="24" t="str">
        <f>IF(AND(A82&lt;&gt;"",W82&gt;0),SUM(W82,$AQ$8)/$AQ$2*100,"")</f>
        <v/>
      </c>
      <c r="AR82" s="24">
        <f>IF(AND(A82&lt;&gt;"",T82&gt;0),SUM(T82,$AR$8)/$AR$2*100,"")</f>
        <v>89.363804247460749</v>
      </c>
      <c r="AS82" s="24">
        <f>IF(AND(A82&lt;&gt;"",X82&lt;&gt;0),SUM(X82,$AS$8)/$AS$2*100,"")</f>
        <v>92.819346378263688</v>
      </c>
      <c r="AT82" s="86">
        <f>IF(A82&lt;&gt;"",SUM(W82:X82,$AT$8)/$AT$2*100,"")</f>
        <v>92.819346378263688</v>
      </c>
      <c r="AU82" s="24">
        <f>AA82</f>
        <v>89.009673189131846</v>
      </c>
      <c r="AV82" s="24"/>
      <c r="AW82" s="27">
        <f>IF(A82&lt;&gt;"",AE82-AA82,"")</f>
        <v>3.8096731891318427</v>
      </c>
      <c r="AY82" s="27">
        <f>AR82-AP82</f>
        <v>-8.6388553270073345</v>
      </c>
      <c r="AZ82" s="27">
        <f>ABS(AY82)</f>
        <v>8.6388553270073345</v>
      </c>
    </row>
    <row r="83" spans="1:54" s="27" customFormat="1" ht="12.75" customHeight="1" x14ac:dyDescent="0.2">
      <c r="A83" s="50">
        <v>190468</v>
      </c>
      <c r="B83" s="2">
        <v>25</v>
      </c>
      <c r="C83" s="50">
        <v>25</v>
      </c>
      <c r="D83" s="10">
        <v>24</v>
      </c>
      <c r="E83" s="10">
        <v>22</v>
      </c>
      <c r="F83" s="10">
        <v>21</v>
      </c>
      <c r="G83" s="10">
        <v>25</v>
      </c>
      <c r="H83" s="10">
        <v>20</v>
      </c>
      <c r="I83" s="10">
        <v>25</v>
      </c>
      <c r="J83" s="2"/>
      <c r="K83" s="10">
        <v>60</v>
      </c>
      <c r="L83" s="10">
        <v>61</v>
      </c>
      <c r="M83" s="10">
        <v>57</v>
      </c>
      <c r="N83" s="51">
        <v>57</v>
      </c>
      <c r="O83" s="11">
        <v>62</v>
      </c>
      <c r="P83" s="10"/>
      <c r="Q83" s="40"/>
      <c r="R83" s="2">
        <v>98</v>
      </c>
      <c r="S83" s="10">
        <f>IF(T83="",R83,MAX((R83+$R$8)/$R$2,(T83+$T$8)/$T$2)*$R$2-$R$8)</f>
        <v>119.05562267931867</v>
      </c>
      <c r="T83" s="62">
        <v>176</v>
      </c>
      <c r="U83" s="10">
        <f>IF(A83&lt;&gt;"",SUM(B83:I83),"")</f>
        <v>187</v>
      </c>
      <c r="V83" s="10">
        <f>IF(A83&lt;&gt;"",SUM(J83:O83),"")</f>
        <v>297</v>
      </c>
      <c r="W83" s="10">
        <f>IF(A83&lt;&gt;"",SUM(P83:Q83),"")</f>
        <v>0</v>
      </c>
      <c r="X83" s="10">
        <f>IF(A83&lt;&gt;"",SUM(S83:T83),"")</f>
        <v>295.05562267931867</v>
      </c>
      <c r="Y83" s="12">
        <v>3</v>
      </c>
      <c r="Z83" s="12">
        <f>IF(A83&lt;&gt;"",SUM(U83:Y83),"")</f>
        <v>782.05562267931873</v>
      </c>
      <c r="AA83" s="27">
        <f>IF(A83&lt;&gt;"",(Z83+Normalize_To_Add)/(Point_Total_So_Far)*100,"")</f>
        <v>85.715235457063727</v>
      </c>
      <c r="AB83" s="10">
        <f>IF(A83&lt;&gt;"",RANK(AA83,All_Student_XC),"")</f>
        <v>146</v>
      </c>
      <c r="AC83" s="31" t="str">
        <f>IF(A83&lt;&gt;"",CHOOSE(10-MIN(9,TRUNC((AA83+0.5)/10)),"A","B","C","D","F","F","F","F","F","F"),"")</f>
        <v>B</v>
      </c>
      <c r="AD83" s="31" t="str">
        <f>IF(A83&lt;&gt;"",IF(OR(AA83+0.5&gt;=93,AA83+0.5&lt;60),"",IF(MOD(AA83+0.5,10)&gt;=7,"+",IF(MOD(AA83+0.5,10)&lt;3,"-",""))),"")</f>
        <v/>
      </c>
      <c r="AE83" s="31">
        <f>IF(A83&lt;&gt;"",SUM(W83:X83,$W$8:$X$8)/SUM($W$2:$X$2)*100,"")</f>
        <v>74.03047091412742</v>
      </c>
      <c r="AF83" s="43" t="str">
        <f>IF(A83&lt;&gt;"",CHOOSE(10-MIN(9,TRUNC((AE83+0.5)/10)),"A","B","C","D","F","F","F","F","F","F"),"")</f>
        <v>C</v>
      </c>
      <c r="AG83" s="43" t="str">
        <f>IF(A83&lt;&gt;"",IF(OR(AE83+0.5&gt;=93,AE83+0.5&lt;60),"",IF(MOD(AE83+0.5,10)&gt;=7,"+",IF(MOD(AE83+0.5,10)&lt;3,"-",""))),"")</f>
        <v/>
      </c>
      <c r="AH83" s="35">
        <f>IF(A83&lt;&gt;"",MIN(MAX(AA83,AE83),AA83+$AH$8,AE83+$AH$8),"")</f>
        <v>85.715235457063727</v>
      </c>
      <c r="AI83" s="31" t="str">
        <f>IF(A83&lt;&gt;"",CHOOSE(10-MIN(9,TRUNC((AH83+0.5)/10)),"A","B","C","D","F","F","F","F","F","F"),"")</f>
        <v>B</v>
      </c>
      <c r="AJ83" s="31" t="str">
        <f>IF(A83&lt;&gt;"",IF(OR(AH83+0.5&gt;=93,AH83+0.5&lt;60),"",IF(MOD(AH83+0.5,10)&gt;=7,"+",IF(MOD(AH83+0.5,10)&lt;3,"-",""))),"")</f>
        <v/>
      </c>
      <c r="AK83" s="31" t="b">
        <f>IF(A83&lt;&gt;"",OR(AI83&lt;&gt;AC83,AJ83&lt;&gt;AD83),"")</f>
        <v>0</v>
      </c>
      <c r="AL83" s="81">
        <f>IF(AND(A83&lt;&gt;"",U83&gt;0),SUM(U83,$AL$8)/$AL$2*100,"")</f>
        <v>93.5</v>
      </c>
      <c r="AM83" s="24">
        <f>IF(AND(A83&lt;&gt;"",V83&gt;0),SUM(V83,$AM$8)/$AM$2*100,"")</f>
        <v>99</v>
      </c>
      <c r="AN83" s="24" t="str">
        <f>IF(AND(A83&lt;&gt;"",P83&lt;&gt;0),SUM(P83,$AN$8)/$AN$2*100,"")</f>
        <v/>
      </c>
      <c r="AO83" s="24" t="str">
        <f>IF(AND(A83&lt;&gt;"",Q83&lt;&gt;0),SUM(Q83,$AO$8)/$AO$2*100,"")</f>
        <v/>
      </c>
      <c r="AP83" s="24">
        <f>IF(AND(A83&lt;&gt;"",R83&lt;&gt;0),SUM(R83,$AP$8)/$AP$2*100,"")</f>
        <v>63.502659574468076</v>
      </c>
      <c r="AQ83" s="24" t="str">
        <f>IF(AND(A83&lt;&gt;"",W83&gt;0),SUM(W83,$AQ$8)/$AQ$2*100,"")</f>
        <v/>
      </c>
      <c r="AR83" s="24">
        <f>IF(AND(A83&lt;&gt;"",T83&gt;0),SUM(T83,$AR$8)/$AR$2*100,"")</f>
        <v>74.03047091412742</v>
      </c>
      <c r="AS83" s="24">
        <f>IF(AND(A83&lt;&gt;"",X83&lt;&gt;0),SUM(X83,$AS$8)/$AS$2*100,"")</f>
        <v>74.03047091412742</v>
      </c>
      <c r="AT83" s="86">
        <f>IF(A83&lt;&gt;"",SUM(W83:X83,$AT$8)/$AT$2*100,"")</f>
        <v>74.03047091412742</v>
      </c>
      <c r="AU83" s="24">
        <f>AA83</f>
        <v>85.715235457063727</v>
      </c>
      <c r="AV83" s="24"/>
      <c r="AW83" s="27">
        <f>IF(A83&lt;&gt;"",AE83-AA83,"")</f>
        <v>-11.684764542936307</v>
      </c>
      <c r="AY83" s="27">
        <f>AR83-AP83</f>
        <v>10.527811339659344</v>
      </c>
      <c r="AZ83" s="27">
        <f>ABS(AY83)</f>
        <v>10.527811339659344</v>
      </c>
    </row>
    <row r="84" spans="1:54" s="27" customFormat="1" ht="12.75" customHeight="1" x14ac:dyDescent="0.2">
      <c r="A84" s="10">
        <v>193894</v>
      </c>
      <c r="B84" s="2">
        <v>25</v>
      </c>
      <c r="C84" s="10">
        <v>23</v>
      </c>
      <c r="D84" s="10">
        <v>16</v>
      </c>
      <c r="E84" s="10">
        <v>23</v>
      </c>
      <c r="F84" s="10">
        <v>21</v>
      </c>
      <c r="G84" s="10">
        <v>25</v>
      </c>
      <c r="H84" s="10">
        <v>5</v>
      </c>
      <c r="I84" s="10">
        <v>19</v>
      </c>
      <c r="J84" s="2"/>
      <c r="K84" s="10">
        <v>62</v>
      </c>
      <c r="L84" s="10">
        <v>54</v>
      </c>
      <c r="M84" s="10">
        <v>59</v>
      </c>
      <c r="N84" s="51">
        <v>34</v>
      </c>
      <c r="O84" s="11">
        <v>41</v>
      </c>
      <c r="P84" s="10"/>
      <c r="Q84" s="40"/>
      <c r="R84" s="2">
        <v>130</v>
      </c>
      <c r="S84" s="10">
        <f>IF(T84="",R84,MAX((R84+$R$8)/$R$2,(T84+$T$8)/$T$2)*$R$2-$R$8)</f>
        <v>130</v>
      </c>
      <c r="T84" s="12">
        <v>175</v>
      </c>
      <c r="U84" s="34">
        <f>IF(A84&lt;&gt;"",SUM(B84:I84),"")</f>
        <v>157</v>
      </c>
      <c r="V84" s="10">
        <f>IF(A84&lt;&gt;"",SUM(J84:O84),"")</f>
        <v>250</v>
      </c>
      <c r="W84" s="10">
        <f>IF(A84&lt;&gt;"",SUM(P84:Q84),"")</f>
        <v>0</v>
      </c>
      <c r="X84" s="10">
        <f>IF(A84&lt;&gt;"",SUM(S84:T84),"")</f>
        <v>305</v>
      </c>
      <c r="Y84" s="12" t="s">
        <v>69</v>
      </c>
      <c r="Z84" s="12">
        <f>IF(A84&lt;&gt;"",SUM(U84:Y84),"")</f>
        <v>712</v>
      </c>
      <c r="AA84" s="27">
        <f>IF(A84&lt;&gt;"",(Z84+Normalize_To_Add)/(Point_Total_So_Far)*100,"")</f>
        <v>78.709673189131848</v>
      </c>
      <c r="AB84" s="10">
        <f>IF(A84&lt;&gt;"",RANK(AA84,All_Student_XC),"")</f>
        <v>228</v>
      </c>
      <c r="AC84" s="31" t="str">
        <f>IF(A84&lt;&gt;"",CHOOSE(10-MIN(9,TRUNC((AA84+0.5)/10)),"A","B","C","D","F","F","F","F","F","F"),"")</f>
        <v>C</v>
      </c>
      <c r="AD84" s="31" t="str">
        <f>IF(A84&lt;&gt;"",IF(OR(AA84+0.5&gt;=93,AA84+0.5&lt;60),"",IF(MOD(AA84+0.5,10)&gt;=7,"+",IF(MOD(AA84+0.5,10)&lt;3,"-",""))),"")</f>
        <v>+</v>
      </c>
      <c r="AE84" s="31">
        <f>IF(A84&lt;&gt;"",SUM(W84:X84,$W$8:$X$8)/SUM($W$2:$X$2)*100,"")</f>
        <v>76.019346378263691</v>
      </c>
      <c r="AF84" s="31" t="str">
        <f>IF(A84&lt;&gt;"",CHOOSE(10-MIN(9,TRUNC((AE84+0.5)/10)),"A","B","C","D","F","F","F","F","F","F"),"")</f>
        <v>C</v>
      </c>
      <c r="AG84" s="31" t="str">
        <f>IF(A84&lt;&gt;"",IF(OR(AE84+0.5&gt;=93,AE84+0.5&lt;60),"",IF(MOD(AE84+0.5,10)&gt;=7,"+",IF(MOD(AE84+0.5,10)&lt;3,"-",""))),"")</f>
        <v/>
      </c>
      <c r="AH84" s="35">
        <f>IF(A84&lt;&gt;"",MIN(MAX(AA84,AE84),AA84+$AH$8,AE84+$AH$8),"")</f>
        <v>78.709673189131848</v>
      </c>
      <c r="AI84" s="31" t="str">
        <f>IF(A84&lt;&gt;"",CHOOSE(10-MIN(9,TRUNC((AH84+0.5)/10)),"A","B","C","D","F","F","F","F","F","F"),"")</f>
        <v>C</v>
      </c>
      <c r="AJ84" s="31" t="str">
        <f>IF(A84&lt;&gt;"",IF(OR(AH84+0.5&gt;=93,AH84+0.5&lt;60),"",IF(MOD(AH84+0.5,10)&gt;=7,"+",IF(MOD(AH84+0.5,10)&lt;3,"-",""))),"")</f>
        <v>+</v>
      </c>
      <c r="AK84" s="31" t="b">
        <f>IF(A84&lt;&gt;"",OR(AI84&lt;&gt;AC84,AJ84&lt;&gt;AD84),"")</f>
        <v>0</v>
      </c>
      <c r="AL84" s="81">
        <f>IF(AND(A84&lt;&gt;"",U84&gt;0),SUM(U84,$AL$8)/$AL$2*100,"")</f>
        <v>78.5</v>
      </c>
      <c r="AM84" s="24">
        <f>IF(AND(A84&lt;&gt;"",V84&gt;0),SUM(V84,$AM$8)/$AM$2*100,"")</f>
        <v>83.333333333333343</v>
      </c>
      <c r="AN84" s="24" t="str">
        <f>IF(AND(A84&lt;&gt;"",P84&lt;&gt;0),SUM(P84,$AN$8)/$AN$2*100,"")</f>
        <v/>
      </c>
      <c r="AO84" s="24" t="str">
        <f>IF(AND(A84&lt;&gt;"",Q84&lt;&gt;0),SUM(Q84,$AO$8)/$AO$2*100,"")</f>
        <v/>
      </c>
      <c r="AP84" s="24">
        <f>IF(AND(A84&lt;&gt;"",R84&lt;&gt;0),SUM(R84,$AP$8)/$AP$2*100,"")</f>
        <v>79.502659574468083</v>
      </c>
      <c r="AQ84" s="24" t="str">
        <f>IF(AND(A84&lt;&gt;"",W84&gt;0),SUM(W84,$AQ$8)/$AQ$2*100,"")</f>
        <v/>
      </c>
      <c r="AR84" s="24">
        <f>IF(AND(A84&lt;&gt;"",T84&gt;0),SUM(T84,$AR$8)/$AR$2*100,"")</f>
        <v>73.697137580794092</v>
      </c>
      <c r="AS84" s="24">
        <f>IF(AND(A84&lt;&gt;"",X84&lt;&gt;0),SUM(X84,$AS$8)/$AS$2*100,"")</f>
        <v>76.019346378263691</v>
      </c>
      <c r="AT84" s="86">
        <f>IF(A84&lt;&gt;"",SUM(W84:X84,$AT$8)/$AT$2*100,"")</f>
        <v>76.019346378263691</v>
      </c>
      <c r="AU84" s="24">
        <f>AA84</f>
        <v>78.709673189131848</v>
      </c>
      <c r="AV84" s="24"/>
      <c r="AW84" s="27">
        <f>IF(A84&lt;&gt;"",AE84-AA84,"")</f>
        <v>-2.6903268108681573</v>
      </c>
      <c r="AY84" s="27">
        <f>AR84-AP84</f>
        <v>-5.8055219936739917</v>
      </c>
      <c r="AZ84" s="27">
        <f>ABS(AY84)</f>
        <v>5.8055219936739917</v>
      </c>
    </row>
    <row r="85" spans="1:54" s="27" customFormat="1" ht="12.75" customHeight="1" x14ac:dyDescent="0.2">
      <c r="A85" s="50">
        <v>194050</v>
      </c>
      <c r="B85" s="2">
        <v>22</v>
      </c>
      <c r="C85" s="50">
        <v>25</v>
      </c>
      <c r="D85" s="10">
        <v>21</v>
      </c>
      <c r="E85" s="10">
        <v>20</v>
      </c>
      <c r="F85" s="10">
        <v>21</v>
      </c>
      <c r="G85" s="10">
        <v>25</v>
      </c>
      <c r="H85" s="10">
        <v>24</v>
      </c>
      <c r="I85" s="10">
        <v>21</v>
      </c>
      <c r="J85" s="2"/>
      <c r="K85" s="10">
        <v>59</v>
      </c>
      <c r="L85" s="10">
        <v>60</v>
      </c>
      <c r="M85" s="10">
        <v>59</v>
      </c>
      <c r="N85" s="51">
        <v>32</v>
      </c>
      <c r="O85" s="11">
        <v>46</v>
      </c>
      <c r="P85" s="10"/>
      <c r="Q85" s="40"/>
      <c r="R85" s="2">
        <v>124</v>
      </c>
      <c r="S85" s="10">
        <f>IF(T85="",R85,MAX((R85+$R$8)/$R$2,(T85+$T$8)/$T$2)*$R$2-$R$8)</f>
        <v>149.05562267931867</v>
      </c>
      <c r="T85" s="62">
        <v>221</v>
      </c>
      <c r="U85" s="10">
        <f>IF(A85&lt;&gt;"",SUM(B85:I85),"")</f>
        <v>179</v>
      </c>
      <c r="V85" s="10">
        <f>IF(A85&lt;&gt;"",SUM(J85:O85),"")</f>
        <v>256</v>
      </c>
      <c r="W85" s="10">
        <f>IF(A85&lt;&gt;"",SUM(P85:Q85),"")</f>
        <v>0</v>
      </c>
      <c r="X85" s="10">
        <f>IF(A85&lt;&gt;"",SUM(S85:T85),"")</f>
        <v>370.05562267931867</v>
      </c>
      <c r="Y85" s="12">
        <v>3</v>
      </c>
      <c r="Z85" s="12">
        <f>IF(A85&lt;&gt;"",SUM(U85:Y85),"")</f>
        <v>808.05562267931873</v>
      </c>
      <c r="AA85" s="27">
        <f>IF(A85&lt;&gt;"",(Z85+Normalize_To_Add)/(Point_Total_So_Far)*100,"")</f>
        <v>88.315235457063707</v>
      </c>
      <c r="AB85" s="10">
        <f>IF(A85&lt;&gt;"",RANK(AA85,All_Student_XC),"")</f>
        <v>107</v>
      </c>
      <c r="AC85" s="31" t="str">
        <f>IF(A85&lt;&gt;"",CHOOSE(10-MIN(9,TRUNC((AA85+0.5)/10)),"A","B","C","D","F","F","F","F","F","F"),"")</f>
        <v>B</v>
      </c>
      <c r="AD85" s="31" t="str">
        <f>IF(A85&lt;&gt;"",IF(OR(AA85+0.5&gt;=93,AA85+0.5&lt;60),"",IF(MOD(AA85+0.5,10)&gt;=7,"+",IF(MOD(AA85+0.5,10)&lt;3,"-",""))),"")</f>
        <v>+</v>
      </c>
      <c r="AE85" s="31">
        <f>IF(A85&lt;&gt;"",SUM(W85:X85,$W$8:$X$8)/SUM($W$2:$X$2)*100,"")</f>
        <v>89.03047091412742</v>
      </c>
      <c r="AF85" s="43" t="str">
        <f>IF(A85&lt;&gt;"",CHOOSE(10-MIN(9,TRUNC((AE85+0.5)/10)),"A","B","C","D","F","F","F","F","F","F"),"")</f>
        <v>B</v>
      </c>
      <c r="AG85" s="43" t="str">
        <f>IF(A85&lt;&gt;"",IF(OR(AE85+0.5&gt;=93,AE85+0.5&lt;60),"",IF(MOD(AE85+0.5,10)&gt;=7,"+",IF(MOD(AE85+0.5,10)&lt;3,"-",""))),"")</f>
        <v>+</v>
      </c>
      <c r="AH85" s="35">
        <f>IF(A85&lt;&gt;"",MIN(MAX(AA85,AE85),AA85+$AH$8,AE85+$AH$8),"")</f>
        <v>89.03047091412742</v>
      </c>
      <c r="AI85" s="31" t="str">
        <f>IF(A85&lt;&gt;"",CHOOSE(10-MIN(9,TRUNC((AH85+0.5)/10)),"A","B","C","D","F","F","F","F","F","F"),"")</f>
        <v>B</v>
      </c>
      <c r="AJ85" s="31" t="str">
        <f>IF(A85&lt;&gt;"",IF(OR(AH85+0.5&gt;=93,AH85+0.5&lt;60),"",IF(MOD(AH85+0.5,10)&gt;=7,"+",IF(MOD(AH85+0.5,10)&lt;3,"-",""))),"")</f>
        <v>+</v>
      </c>
      <c r="AK85" s="31" t="b">
        <f>IF(A85&lt;&gt;"",OR(AI85&lt;&gt;AC85,AJ85&lt;&gt;AD85),"")</f>
        <v>0</v>
      </c>
      <c r="AL85" s="81">
        <f>IF(AND(A85&lt;&gt;"",U85&gt;0),SUM(U85,$AL$8)/$AL$2*100,"")</f>
        <v>89.5</v>
      </c>
      <c r="AM85" s="24">
        <f>IF(AND(A85&lt;&gt;"",V85&gt;0),SUM(V85,$AM$8)/$AM$2*100,"")</f>
        <v>85.333333333333343</v>
      </c>
      <c r="AN85" s="24" t="str">
        <f>IF(AND(A85&lt;&gt;"",P85&lt;&gt;0),SUM(P85,$AN$8)/$AN$2*100,"")</f>
        <v/>
      </c>
      <c r="AO85" s="24" t="str">
        <f>IF(AND(A85&lt;&gt;"",Q85&lt;&gt;0),SUM(Q85,$AO$8)/$AO$2*100,"")</f>
        <v/>
      </c>
      <c r="AP85" s="24">
        <f>IF(AND(A85&lt;&gt;"",R85&lt;&gt;0),SUM(R85,$AP$8)/$AP$2*100,"")</f>
        <v>76.502659574468083</v>
      </c>
      <c r="AQ85" s="24" t="str">
        <f>IF(AND(A85&lt;&gt;"",W85&gt;0),SUM(W85,$AQ$8)/$AQ$2*100,"")</f>
        <v/>
      </c>
      <c r="AR85" s="24">
        <f>IF(AND(A85&lt;&gt;"",T85&gt;0),SUM(T85,$AR$8)/$AR$2*100,"")</f>
        <v>89.03047091412742</v>
      </c>
      <c r="AS85" s="24">
        <f>IF(AND(A85&lt;&gt;"",X85&lt;&gt;0),SUM(X85,$AS$8)/$AS$2*100,"")</f>
        <v>89.03047091412742</v>
      </c>
      <c r="AT85" s="86">
        <f>IF(A85&lt;&gt;"",SUM(W85:X85,$AT$8)/$AT$2*100,"")</f>
        <v>89.03047091412742</v>
      </c>
      <c r="AU85" s="24">
        <f>AA85</f>
        <v>88.315235457063707</v>
      </c>
      <c r="AV85" s="24"/>
      <c r="AW85" s="27">
        <f>IF(A85&lt;&gt;"",AE85-AA85,"")</f>
        <v>0.71523545706371294</v>
      </c>
      <c r="AY85" s="27">
        <f>AR85-AP85</f>
        <v>12.527811339659337</v>
      </c>
      <c r="AZ85" s="27">
        <f>ABS(AY85)</f>
        <v>12.527811339659337</v>
      </c>
    </row>
    <row r="86" spans="1:54" s="27" customFormat="1" ht="12.75" customHeight="1" x14ac:dyDescent="0.2">
      <c r="A86" s="10">
        <v>199958</v>
      </c>
      <c r="B86" s="2">
        <v>23</v>
      </c>
      <c r="C86" s="10">
        <v>15</v>
      </c>
      <c r="D86" s="10">
        <v>22</v>
      </c>
      <c r="E86" s="10">
        <v>21</v>
      </c>
      <c r="F86" s="10">
        <v>15</v>
      </c>
      <c r="G86" s="10">
        <v>25</v>
      </c>
      <c r="H86" s="10">
        <v>22</v>
      </c>
      <c r="I86" s="10">
        <v>24</v>
      </c>
      <c r="J86" s="2"/>
      <c r="K86" s="10">
        <v>49</v>
      </c>
      <c r="L86" s="10">
        <v>45</v>
      </c>
      <c r="M86" s="10">
        <v>47</v>
      </c>
      <c r="N86" s="51">
        <v>56</v>
      </c>
      <c r="O86" s="11">
        <v>46</v>
      </c>
      <c r="P86" s="10"/>
      <c r="Q86" s="40"/>
      <c r="R86" s="2">
        <v>133</v>
      </c>
      <c r="S86" s="10">
        <f>IF(T86="",R86,MAX((R86+$R$8)/$R$2,(T86+$T$8)/$T$2)*$R$2-$R$8)</f>
        <v>133</v>
      </c>
      <c r="T86" s="12">
        <v>184</v>
      </c>
      <c r="U86" s="34">
        <f>IF(A86&lt;&gt;"",SUM(B86:I86),"")</f>
        <v>167</v>
      </c>
      <c r="V86" s="10">
        <f>IF(A86&lt;&gt;"",SUM(J86:O86),"")</f>
        <v>243</v>
      </c>
      <c r="W86" s="10">
        <f>IF(A86&lt;&gt;"",SUM(P86:Q86),"")</f>
        <v>0</v>
      </c>
      <c r="X86" s="10">
        <f>IF(A86&lt;&gt;"",SUM(S86:T86),"")</f>
        <v>317</v>
      </c>
      <c r="Y86" s="12">
        <v>3</v>
      </c>
      <c r="Z86" s="12">
        <f>IF(A86&lt;&gt;"",SUM(U86:Y86),"")</f>
        <v>730</v>
      </c>
      <c r="AA86" s="27">
        <f>IF(A86&lt;&gt;"",(Z86+Normalize_To_Add)/(Point_Total_So_Far)*100,"")</f>
        <v>80.509673189131846</v>
      </c>
      <c r="AB86" s="10">
        <f>IF(A86&lt;&gt;"",RANK(AA86,All_Student_XC),"")</f>
        <v>201</v>
      </c>
      <c r="AC86" s="31" t="str">
        <f>IF(A86&lt;&gt;"",CHOOSE(10-MIN(9,TRUNC((AA86+0.5)/10)),"A","B","C","D","F","F","F","F","F","F"),"")</f>
        <v>B</v>
      </c>
      <c r="AD86" s="31" t="str">
        <f>IF(A86&lt;&gt;"",IF(OR(AA86+0.5&gt;=93,AA86+0.5&lt;60),"",IF(MOD(AA86+0.5,10)&gt;=7,"+",IF(MOD(AA86+0.5,10)&lt;3,"-",""))),"")</f>
        <v>-</v>
      </c>
      <c r="AE86" s="31">
        <f>IF(A86&lt;&gt;"",SUM(W86:X86,$W$8:$X$8)/SUM($W$2:$X$2)*100,"")</f>
        <v>78.419346378263683</v>
      </c>
      <c r="AF86" s="31" t="str">
        <f>IF(A86&lt;&gt;"",CHOOSE(10-MIN(9,TRUNC((AE86+0.5)/10)),"A","B","C","D","F","F","F","F","F","F"),"")</f>
        <v>C</v>
      </c>
      <c r="AG86" s="31" t="str">
        <f>IF(A86&lt;&gt;"",IF(OR(AE86+0.5&gt;=93,AE86+0.5&lt;60),"",IF(MOD(AE86+0.5,10)&gt;=7,"+",IF(MOD(AE86+0.5,10)&lt;3,"-",""))),"")</f>
        <v>+</v>
      </c>
      <c r="AH86" s="35">
        <f>IF(A86&lt;&gt;"",MIN(MAX(AA86,AE86),AA86+$AH$8,AE86+$AH$8),"")</f>
        <v>80.509673189131846</v>
      </c>
      <c r="AI86" s="31" t="str">
        <f>IF(A86&lt;&gt;"",CHOOSE(10-MIN(9,TRUNC((AH86+0.5)/10)),"A","B","C","D","F","F","F","F","F","F"),"")</f>
        <v>B</v>
      </c>
      <c r="AJ86" s="31" t="str">
        <f>IF(A86&lt;&gt;"",IF(OR(AH86+0.5&gt;=93,AH86+0.5&lt;60),"",IF(MOD(AH86+0.5,10)&gt;=7,"+",IF(MOD(AH86+0.5,10)&lt;3,"-",""))),"")</f>
        <v>-</v>
      </c>
      <c r="AK86" s="31" t="b">
        <f>IF(A86&lt;&gt;"",OR(AI86&lt;&gt;AC86,AJ86&lt;&gt;AD86),"")</f>
        <v>0</v>
      </c>
      <c r="AL86" s="81">
        <f>IF(AND(A86&lt;&gt;"",U86&gt;0),SUM(U86,$AL$8)/$AL$2*100,"")</f>
        <v>83.5</v>
      </c>
      <c r="AM86" s="24">
        <f>IF(AND(A86&lt;&gt;"",V86&gt;0),SUM(V86,$AM$8)/$AM$2*100,"")</f>
        <v>81</v>
      </c>
      <c r="AN86" s="24" t="str">
        <f>IF(AND(A86&lt;&gt;"",P86&lt;&gt;0),SUM(P86,$AN$8)/$AN$2*100,"")</f>
        <v/>
      </c>
      <c r="AO86" s="24" t="str">
        <f>IF(AND(A86&lt;&gt;"",Q86&lt;&gt;0),SUM(Q86,$AO$8)/$AO$2*100,"")</f>
        <v/>
      </c>
      <c r="AP86" s="24">
        <f>IF(AND(A86&lt;&gt;"",R86&lt;&gt;0),SUM(R86,$AP$8)/$AP$2*100,"")</f>
        <v>81.002659574468083</v>
      </c>
      <c r="AQ86" s="24" t="str">
        <f>IF(AND(A86&lt;&gt;"",W86&gt;0),SUM(W86,$AQ$8)/$AQ$2*100,"")</f>
        <v/>
      </c>
      <c r="AR86" s="24">
        <f>IF(AND(A86&lt;&gt;"",T86&gt;0),SUM(T86,$AR$8)/$AR$2*100,"")</f>
        <v>76.697137580794077</v>
      </c>
      <c r="AS86" s="24">
        <f>IF(AND(A86&lt;&gt;"",X86&lt;&gt;0),SUM(X86,$AS$8)/$AS$2*100,"")</f>
        <v>78.419346378263683</v>
      </c>
      <c r="AT86" s="86">
        <f>IF(A86&lt;&gt;"",SUM(W86:X86,$AT$8)/$AT$2*100,"")</f>
        <v>78.419346378263683</v>
      </c>
      <c r="AU86" s="24">
        <f>AA86</f>
        <v>80.509673189131846</v>
      </c>
      <c r="AV86" s="24"/>
      <c r="AW86" s="27">
        <f>IF(A86&lt;&gt;"",AE86-AA86,"")</f>
        <v>-2.090326810868163</v>
      </c>
      <c r="AY86" s="27">
        <f>AR86-AP86</f>
        <v>-4.3055219936740059</v>
      </c>
      <c r="AZ86" s="27">
        <f>ABS(AY86)</f>
        <v>4.3055219936740059</v>
      </c>
    </row>
    <row r="87" spans="1:54" s="27" customFormat="1" ht="12.75" customHeight="1" x14ac:dyDescent="0.2">
      <c r="A87" s="50">
        <v>200842</v>
      </c>
      <c r="B87" s="2">
        <v>24</v>
      </c>
      <c r="C87" s="50">
        <v>18</v>
      </c>
      <c r="D87" s="10">
        <v>24</v>
      </c>
      <c r="E87" s="10">
        <v>20</v>
      </c>
      <c r="F87" s="10">
        <v>15</v>
      </c>
      <c r="G87" s="10">
        <v>25</v>
      </c>
      <c r="H87" s="10">
        <v>22</v>
      </c>
      <c r="I87" s="10">
        <v>23</v>
      </c>
      <c r="J87" s="2"/>
      <c r="K87" s="10">
        <v>48</v>
      </c>
      <c r="L87" s="10">
        <v>5</v>
      </c>
      <c r="M87" s="10">
        <v>13</v>
      </c>
      <c r="N87" s="51">
        <v>2</v>
      </c>
      <c r="O87" s="11">
        <v>60</v>
      </c>
      <c r="P87" s="10"/>
      <c r="Q87" s="40"/>
      <c r="R87" s="2">
        <v>142</v>
      </c>
      <c r="S87" s="10">
        <f>IF(T87="",R87,MAX((R87+$R$8)/$R$2,(T87+$T$8)/$T$2)*$R$2-$R$8)</f>
        <v>142</v>
      </c>
      <c r="T87" s="62">
        <v>184</v>
      </c>
      <c r="U87" s="10">
        <f>IF(A87&lt;&gt;"",SUM(B87:I87),"")</f>
        <v>171</v>
      </c>
      <c r="V87" s="10">
        <f>IF(A87&lt;&gt;"",SUM(J87:O87),"")</f>
        <v>128</v>
      </c>
      <c r="W87" s="10">
        <f>IF(A87&lt;&gt;"",SUM(P87:Q87),"")</f>
        <v>0</v>
      </c>
      <c r="X87" s="10">
        <f>IF(A87&lt;&gt;"",SUM(S87:T87),"")</f>
        <v>326</v>
      </c>
      <c r="Y87" s="12">
        <v>3</v>
      </c>
      <c r="Z87" s="12">
        <f>IF(A87&lt;&gt;"",SUM(U87:Y87),"")</f>
        <v>628</v>
      </c>
      <c r="AA87" s="27">
        <f>IF(A87&lt;&gt;"",(Z87+Normalize_To_Add)/(Point_Total_So_Far)*100,"")</f>
        <v>70.309673189131843</v>
      </c>
      <c r="AB87" s="10">
        <f>IF(A87&lt;&gt;"",RANK(AA87,All_Student_XC),"")</f>
        <v>308</v>
      </c>
      <c r="AC87" s="31" t="str">
        <f>IF(A87&lt;&gt;"",CHOOSE(10-MIN(9,TRUNC((AA87+0.5)/10)),"A","B","C","D","F","F","F","F","F","F"),"")</f>
        <v>C</v>
      </c>
      <c r="AD87" s="31" t="str">
        <f>IF(A87&lt;&gt;"",IF(OR(AA87+0.5&gt;=93,AA87+0.5&lt;60),"",IF(MOD(AA87+0.5,10)&gt;=7,"+",IF(MOD(AA87+0.5,10)&lt;3,"-",""))),"")</f>
        <v>-</v>
      </c>
      <c r="AE87" s="31">
        <f>IF(A87&lt;&gt;"",SUM(W87:X87,$W$8:$X$8)/SUM($W$2:$X$2)*100,"")</f>
        <v>80.219346378263694</v>
      </c>
      <c r="AF87" s="43" t="str">
        <f>IF(A87&lt;&gt;"",CHOOSE(10-MIN(9,TRUNC((AE87+0.5)/10)),"A","B","C","D","F","F","F","F","F","F"),"")</f>
        <v>B</v>
      </c>
      <c r="AG87" s="43" t="str">
        <f>IF(A87&lt;&gt;"",IF(OR(AE87+0.5&gt;=93,AE87+0.5&lt;60),"",IF(MOD(AE87+0.5,10)&gt;=7,"+",IF(MOD(AE87+0.5,10)&lt;3,"-",""))),"")</f>
        <v>-</v>
      </c>
      <c r="AH87" s="35">
        <f>IF(A87&lt;&gt;"",MIN(MAX(AA87,AE87),AA87+$AH$8,AE87+$AH$8),"")</f>
        <v>80.219346378263694</v>
      </c>
      <c r="AI87" s="31" t="str">
        <f>IF(A87&lt;&gt;"",CHOOSE(10-MIN(9,TRUNC((AH87+0.5)/10)),"A","B","C","D","F","F","F","F","F","F"),"")</f>
        <v>B</v>
      </c>
      <c r="AJ87" s="31" t="str">
        <f>IF(A87&lt;&gt;"",IF(OR(AH87+0.5&gt;=93,AH87+0.5&lt;60),"",IF(MOD(AH87+0.5,10)&gt;=7,"+",IF(MOD(AH87+0.5,10)&lt;3,"-",""))),"")</f>
        <v>-</v>
      </c>
      <c r="AK87" s="31" t="b">
        <f>IF(A87&lt;&gt;"",OR(AI87&lt;&gt;AC87,AJ87&lt;&gt;AD87),"")</f>
        <v>1</v>
      </c>
      <c r="AL87" s="81">
        <f>IF(AND(A87&lt;&gt;"",U87&gt;0),SUM(U87,$AL$8)/$AL$2*100,"")</f>
        <v>85.5</v>
      </c>
      <c r="AM87" s="24">
        <f>IF(AND(A87&lt;&gt;"",V87&gt;0),SUM(V87,$AM$8)/$AM$2*100,"")</f>
        <v>42.666666666666671</v>
      </c>
      <c r="AN87" s="24" t="str">
        <f>IF(AND(A87&lt;&gt;"",P87&lt;&gt;0),SUM(P87,$AN$8)/$AN$2*100,"")</f>
        <v/>
      </c>
      <c r="AO87" s="24" t="str">
        <f>IF(AND(A87&lt;&gt;"",Q87&lt;&gt;0),SUM(Q87,$AO$8)/$AO$2*100,"")</f>
        <v/>
      </c>
      <c r="AP87" s="24">
        <f>IF(AND(A87&lt;&gt;"",R87&lt;&gt;0),SUM(R87,$AP$8)/$AP$2*100,"")</f>
        <v>85.502659574468083</v>
      </c>
      <c r="AQ87" s="24" t="str">
        <f>IF(AND(A87&lt;&gt;"",W87&gt;0),SUM(W87,$AQ$8)/$AQ$2*100,"")</f>
        <v/>
      </c>
      <c r="AR87" s="24">
        <f>IF(AND(A87&lt;&gt;"",T87&gt;0),SUM(T87,$AR$8)/$AR$2*100,"")</f>
        <v>76.697137580794077</v>
      </c>
      <c r="AS87" s="24">
        <f>IF(AND(A87&lt;&gt;"",X87&lt;&gt;0),SUM(X87,$AS$8)/$AS$2*100,"")</f>
        <v>80.219346378263694</v>
      </c>
      <c r="AT87" s="86">
        <f>IF(A87&lt;&gt;"",SUM(W87:X87,$AT$8)/$AT$2*100,"")</f>
        <v>80.219346378263694</v>
      </c>
      <c r="AU87" s="24">
        <f>AA87</f>
        <v>70.309673189131843</v>
      </c>
      <c r="AV87" s="24"/>
      <c r="AW87" s="27">
        <f>IF(A87&lt;&gt;"",AE87-AA87,"")</f>
        <v>9.9096731891318512</v>
      </c>
      <c r="AY87" s="27">
        <f>AR87-AP87</f>
        <v>-8.8055219936740059</v>
      </c>
      <c r="AZ87" s="27">
        <f>ABS(AY87)</f>
        <v>8.8055219936740059</v>
      </c>
    </row>
    <row r="88" spans="1:54" s="27" customFormat="1" ht="12.75" customHeight="1" x14ac:dyDescent="0.2">
      <c r="A88" s="50">
        <v>201366</v>
      </c>
      <c r="B88" s="2">
        <v>25</v>
      </c>
      <c r="C88" s="50">
        <v>16</v>
      </c>
      <c r="D88" s="10">
        <v>24</v>
      </c>
      <c r="E88" s="10">
        <v>25</v>
      </c>
      <c r="F88" s="10">
        <v>25</v>
      </c>
      <c r="G88" s="10">
        <v>25</v>
      </c>
      <c r="H88" s="10">
        <v>25</v>
      </c>
      <c r="I88" s="10">
        <v>24</v>
      </c>
      <c r="J88" s="2"/>
      <c r="K88" s="10">
        <v>51</v>
      </c>
      <c r="L88" s="10">
        <v>58</v>
      </c>
      <c r="M88" s="10">
        <v>56</v>
      </c>
      <c r="N88" s="51">
        <v>57</v>
      </c>
      <c r="O88" s="11">
        <v>45</v>
      </c>
      <c r="P88" s="10"/>
      <c r="Q88" s="40"/>
      <c r="R88" s="2">
        <v>157</v>
      </c>
      <c r="S88" s="10">
        <f>IF(T88="",R88,MAX((R88+$R$8)/$R$2,(T88+$T$8)/$T$2)*$R$2-$R$8)</f>
        <v>157</v>
      </c>
      <c r="T88" s="62">
        <v>192</v>
      </c>
      <c r="U88" s="10">
        <f>IF(A88&lt;&gt;"",SUM(B88:I88),"")</f>
        <v>189</v>
      </c>
      <c r="V88" s="10">
        <f>IF(A88&lt;&gt;"",SUM(J88:O88),"")</f>
        <v>267</v>
      </c>
      <c r="W88" s="10">
        <f>IF(A88&lt;&gt;"",SUM(P88:Q88),"")</f>
        <v>0</v>
      </c>
      <c r="X88" s="10">
        <f>IF(A88&lt;&gt;"",SUM(S88:T88),"")</f>
        <v>349</v>
      </c>
      <c r="Y88" s="12" t="s">
        <v>69</v>
      </c>
      <c r="Z88" s="12">
        <f>IF(A88&lt;&gt;"",SUM(U88:Y88),"")</f>
        <v>805</v>
      </c>
      <c r="AA88" s="27">
        <f>IF(A88&lt;&gt;"",(Z88+Normalize_To_Add)/(Point_Total_So_Far)*100,"")</f>
        <v>88.009673189131846</v>
      </c>
      <c r="AB88" s="10">
        <f>IF(A88&lt;&gt;"",RANK(AA88,All_Student_XC),"")</f>
        <v>111</v>
      </c>
      <c r="AC88" s="31" t="str">
        <f>IF(A88&lt;&gt;"",CHOOSE(10-MIN(9,TRUNC((AA88+0.5)/10)),"A","B","C","D","F","F","F","F","F","F"),"")</f>
        <v>B</v>
      </c>
      <c r="AD88" s="31" t="str">
        <f>IF(A88&lt;&gt;"",IF(OR(AA88+0.5&gt;=93,AA88+0.5&lt;60),"",IF(MOD(AA88+0.5,10)&gt;=7,"+",IF(MOD(AA88+0.5,10)&lt;3,"-",""))),"")</f>
        <v>+</v>
      </c>
      <c r="AE88" s="31">
        <f>IF(A88&lt;&gt;"",SUM(W88:X88,$W$8:$X$8)/SUM($W$2:$X$2)*100,"")</f>
        <v>84.819346378263688</v>
      </c>
      <c r="AF88" s="43" t="str">
        <f>IF(A88&lt;&gt;"",CHOOSE(10-MIN(9,TRUNC((AE88+0.5)/10)),"A","B","C","D","F","F","F","F","F","F"),"")</f>
        <v>B</v>
      </c>
      <c r="AG88" s="43" t="str">
        <f>IF(A88&lt;&gt;"",IF(OR(AE88+0.5&gt;=93,AE88+0.5&lt;60),"",IF(MOD(AE88+0.5,10)&gt;=7,"+",IF(MOD(AE88+0.5,10)&lt;3,"-",""))),"")</f>
        <v/>
      </c>
      <c r="AH88" s="35">
        <f>IF(A88&lt;&gt;"",MIN(MAX(AA88,AE88),AA88+$AH$8,AE88+$AH$8),"")</f>
        <v>88.009673189131846</v>
      </c>
      <c r="AI88" s="31" t="str">
        <f>IF(A88&lt;&gt;"",CHOOSE(10-MIN(9,TRUNC((AH88+0.5)/10)),"A","B","C","D","F","F","F","F","F","F"),"")</f>
        <v>B</v>
      </c>
      <c r="AJ88" s="31" t="str">
        <f>IF(A88&lt;&gt;"",IF(OR(AH88+0.5&gt;=93,AH88+0.5&lt;60),"",IF(MOD(AH88+0.5,10)&gt;=7,"+",IF(MOD(AH88+0.5,10)&lt;3,"-",""))),"")</f>
        <v>+</v>
      </c>
      <c r="AK88" s="31" t="b">
        <f>IF(A88&lt;&gt;"",OR(AI88&lt;&gt;AC88,AJ88&lt;&gt;AD88),"")</f>
        <v>0</v>
      </c>
      <c r="AL88" s="81">
        <f>IF(AND(A88&lt;&gt;"",U88&gt;0),SUM(U88,$AL$8)/$AL$2*100,"")</f>
        <v>94.5</v>
      </c>
      <c r="AM88" s="24">
        <f>IF(AND(A88&lt;&gt;"",V88&gt;0),SUM(V88,$AM$8)/$AM$2*100,"")</f>
        <v>89</v>
      </c>
      <c r="AN88" s="24" t="str">
        <f>IF(AND(A88&lt;&gt;"",P88&lt;&gt;0),SUM(P88,$AN$8)/$AN$2*100,"")</f>
        <v/>
      </c>
      <c r="AO88" s="24" t="str">
        <f>IF(AND(A88&lt;&gt;"",Q88&lt;&gt;0),SUM(Q88,$AO$8)/$AO$2*100,"")</f>
        <v/>
      </c>
      <c r="AP88" s="24">
        <f>IF(AND(A88&lt;&gt;"",R88&lt;&gt;0),SUM(R88,$AP$8)/$AP$2*100,"")</f>
        <v>93.002659574468083</v>
      </c>
      <c r="AQ88" s="24" t="str">
        <f>IF(AND(A88&lt;&gt;"",W88&gt;0),SUM(W88,$AQ$8)/$AQ$2*100,"")</f>
        <v/>
      </c>
      <c r="AR88" s="24">
        <f>IF(AND(A88&lt;&gt;"",T88&gt;0),SUM(T88,$AR$8)/$AR$2*100,"")</f>
        <v>79.363804247460763</v>
      </c>
      <c r="AS88" s="24">
        <f>IF(AND(A88&lt;&gt;"",X88&lt;&gt;0),SUM(X88,$AS$8)/$AS$2*100,"")</f>
        <v>84.819346378263688</v>
      </c>
      <c r="AT88" s="86">
        <f>IF(A88&lt;&gt;"",SUM(W88:X88,$AT$8)/$AT$2*100,"")</f>
        <v>84.819346378263688</v>
      </c>
      <c r="AU88" s="24">
        <f>AA88</f>
        <v>88.009673189131846</v>
      </c>
      <c r="AV88" s="24"/>
      <c r="AW88" s="27">
        <f>IF(A88&lt;&gt;"",AE88-AA88,"")</f>
        <v>-3.1903268108681573</v>
      </c>
      <c r="AY88" s="27">
        <f>AR88-AP88</f>
        <v>-13.63885532700732</v>
      </c>
      <c r="AZ88" s="27">
        <f>ABS(AY88)</f>
        <v>13.63885532700732</v>
      </c>
    </row>
    <row r="89" spans="1:54" s="27" customFormat="1" ht="12.75" customHeight="1" x14ac:dyDescent="0.2">
      <c r="A89" s="50">
        <v>206902</v>
      </c>
      <c r="B89" s="2">
        <v>25</v>
      </c>
      <c r="C89" s="50">
        <v>23</v>
      </c>
      <c r="D89" s="10">
        <v>23</v>
      </c>
      <c r="E89" s="10">
        <v>25</v>
      </c>
      <c r="F89" s="10">
        <v>25</v>
      </c>
      <c r="G89" s="10">
        <v>25</v>
      </c>
      <c r="H89" s="10">
        <v>19</v>
      </c>
      <c r="I89" s="10">
        <v>25</v>
      </c>
      <c r="J89" s="2"/>
      <c r="K89" s="10">
        <v>37</v>
      </c>
      <c r="L89" s="10">
        <v>14</v>
      </c>
      <c r="M89" s="10">
        <v>59</v>
      </c>
      <c r="N89" s="51">
        <v>59</v>
      </c>
      <c r="O89" s="11">
        <v>48</v>
      </c>
      <c r="P89" s="10"/>
      <c r="Q89" s="40"/>
      <c r="R89" s="2">
        <v>101</v>
      </c>
      <c r="S89" s="10">
        <f>IF(T89="",R89,MAX((R89+$R$8)/$R$2,(T89+$T$8)/$T$2)*$R$2-$R$8)</f>
        <v>101</v>
      </c>
      <c r="T89" s="62">
        <v>144</v>
      </c>
      <c r="U89" s="10">
        <f>IF(A89&lt;&gt;"",SUM(B89:I89),"")</f>
        <v>190</v>
      </c>
      <c r="V89" s="10">
        <f>IF(A89&lt;&gt;"",SUM(J89:O89),"")</f>
        <v>217</v>
      </c>
      <c r="W89" s="10">
        <f>IF(A89&lt;&gt;"",SUM(P89:Q89),"")</f>
        <v>0</v>
      </c>
      <c r="X89" s="10">
        <f>IF(A89&lt;&gt;"",SUM(S89:T89),"")</f>
        <v>245</v>
      </c>
      <c r="Y89" s="12">
        <v>3</v>
      </c>
      <c r="Z89" s="12">
        <f>IF(A89&lt;&gt;"",SUM(U89:Y89),"")</f>
        <v>655</v>
      </c>
      <c r="AA89" s="27">
        <f>IF(A89&lt;&gt;"",(Z89+Normalize_To_Add)/(Point_Total_So_Far)*100,"")</f>
        <v>73.009673189131846</v>
      </c>
      <c r="AB89" s="10">
        <f>IF(A89&lt;&gt;"",RANK(AA89,All_Student_XC),"")</f>
        <v>288</v>
      </c>
      <c r="AC89" s="31" t="str">
        <f>IF(A89&lt;&gt;"",CHOOSE(10-MIN(9,TRUNC((AA89+0.5)/10)),"A","B","C","D","F","F","F","F","F","F"),"")</f>
        <v>C</v>
      </c>
      <c r="AD89" s="31" t="str">
        <f>IF(A89&lt;&gt;"",IF(OR(AA89+0.5&gt;=93,AA89+0.5&lt;60),"",IF(MOD(AA89+0.5,10)&gt;=7,"+",IF(MOD(AA89+0.5,10)&lt;3,"-",""))),"")</f>
        <v/>
      </c>
      <c r="AE89" s="31">
        <f>IF(A89&lt;&gt;"",SUM(W89:X89,$W$8:$X$8)/SUM($W$2:$X$2)*100,"")</f>
        <v>64.019346378263691</v>
      </c>
      <c r="AF89" s="43" t="str">
        <f>IF(A89&lt;&gt;"",CHOOSE(10-MIN(9,TRUNC((AE89+0.5)/10)),"A","B","C","D","F","F","F","F","F","F"),"")</f>
        <v>D</v>
      </c>
      <c r="AG89" s="43" t="str">
        <f>IF(A89&lt;&gt;"",IF(OR(AE89+0.5&gt;=93,AE89+0.5&lt;60),"",IF(MOD(AE89+0.5,10)&gt;=7,"+",IF(MOD(AE89+0.5,10)&lt;3,"-",""))),"")</f>
        <v/>
      </c>
      <c r="AH89" s="35">
        <f>IF(A89&lt;&gt;"",MIN(MAX(AA89,AE89),AA89+$AH$8,AE89+$AH$8),"")</f>
        <v>73.009673189131846</v>
      </c>
      <c r="AI89" s="31" t="str">
        <f>IF(A89&lt;&gt;"",CHOOSE(10-MIN(9,TRUNC((AH89+0.5)/10)),"A","B","C","D","F","F","F","F","F","F"),"")</f>
        <v>C</v>
      </c>
      <c r="AJ89" s="31" t="str">
        <f>IF(A89&lt;&gt;"",IF(OR(AH89+0.5&gt;=93,AH89+0.5&lt;60),"",IF(MOD(AH89+0.5,10)&gt;=7,"+",IF(MOD(AH89+0.5,10)&lt;3,"-",""))),"")</f>
        <v/>
      </c>
      <c r="AK89" s="31" t="b">
        <f>IF(A89&lt;&gt;"",OR(AI89&lt;&gt;AC89,AJ89&lt;&gt;AD89),"")</f>
        <v>0</v>
      </c>
      <c r="AL89" s="81">
        <f>IF(AND(A89&lt;&gt;"",U89&gt;0),SUM(U89,$AL$8)/$AL$2*100,"")</f>
        <v>95</v>
      </c>
      <c r="AM89" s="24">
        <f>IF(AND(A89&lt;&gt;"",V89&gt;0),SUM(V89,$AM$8)/$AM$2*100,"")</f>
        <v>72.333333333333343</v>
      </c>
      <c r="AN89" s="24" t="str">
        <f>IF(AND(A89&lt;&gt;"",P89&lt;&gt;0),SUM(P89,$AN$8)/$AN$2*100,"")</f>
        <v/>
      </c>
      <c r="AO89" s="24" t="str">
        <f>IF(AND(A89&lt;&gt;"",Q89&lt;&gt;0),SUM(Q89,$AO$8)/$AO$2*100,"")</f>
        <v/>
      </c>
      <c r="AP89" s="24">
        <f>IF(AND(A89&lt;&gt;"",R89&lt;&gt;0),SUM(R89,$AP$8)/$AP$2*100,"")</f>
        <v>65.002659574468083</v>
      </c>
      <c r="AQ89" s="24" t="str">
        <f>IF(AND(A89&lt;&gt;"",W89&gt;0),SUM(W89,$AQ$8)/$AQ$2*100,"")</f>
        <v/>
      </c>
      <c r="AR89" s="24">
        <f>IF(AND(A89&lt;&gt;"",T89&gt;0),SUM(T89,$AR$8)/$AR$2*100,"")</f>
        <v>63.363804247460756</v>
      </c>
      <c r="AS89" s="24">
        <f>IF(AND(A89&lt;&gt;"",X89&lt;&gt;0),SUM(X89,$AS$8)/$AS$2*100,"")</f>
        <v>64.019346378263691</v>
      </c>
      <c r="AT89" s="86">
        <f>IF(A89&lt;&gt;"",SUM(W89:X89,$AT$8)/$AT$2*100,"")</f>
        <v>64.019346378263691</v>
      </c>
      <c r="AU89" s="24">
        <f>AA89</f>
        <v>73.009673189131846</v>
      </c>
      <c r="AV89" s="24"/>
      <c r="AW89" s="27">
        <f>IF(A89&lt;&gt;"",AE89-AA89,"")</f>
        <v>-8.9903268108681544</v>
      </c>
      <c r="AY89" s="27">
        <f>AR89-AP89</f>
        <v>-1.6388553270073274</v>
      </c>
      <c r="AZ89" s="27">
        <f>ABS(AY89)</f>
        <v>1.6388553270073274</v>
      </c>
    </row>
    <row r="90" spans="1:54" s="27" customFormat="1" ht="12.75" customHeight="1" x14ac:dyDescent="0.2">
      <c r="A90" s="10">
        <v>208222</v>
      </c>
      <c r="B90" s="2">
        <v>25</v>
      </c>
      <c r="C90" s="10">
        <v>25</v>
      </c>
      <c r="D90" s="10">
        <v>20</v>
      </c>
      <c r="E90" s="10">
        <v>24</v>
      </c>
      <c r="F90" s="10">
        <v>24</v>
      </c>
      <c r="G90" s="10">
        <v>25</v>
      </c>
      <c r="H90" s="10">
        <v>22</v>
      </c>
      <c r="I90" s="10">
        <v>24</v>
      </c>
      <c r="J90" s="2"/>
      <c r="K90" s="10">
        <v>63</v>
      </c>
      <c r="L90" s="10">
        <v>62</v>
      </c>
      <c r="M90" s="10">
        <v>57</v>
      </c>
      <c r="N90" s="51">
        <v>62</v>
      </c>
      <c r="O90" s="11">
        <v>62</v>
      </c>
      <c r="P90" s="10"/>
      <c r="Q90" s="40"/>
      <c r="R90" s="2">
        <v>136</v>
      </c>
      <c r="S90" s="10">
        <f>IF(T90="",R90,MAX((R90+$R$8)/$R$2,(T90+$T$8)/$T$2)*$R$2-$R$8)</f>
        <v>136</v>
      </c>
      <c r="T90" s="12">
        <v>171</v>
      </c>
      <c r="U90" s="7">
        <f>IF(A90&lt;&gt;"",SUM(B90:I90),"")</f>
        <v>189</v>
      </c>
      <c r="V90" s="10">
        <f>IF(A90&lt;&gt;"",SUM(J90:O90),"")</f>
        <v>306</v>
      </c>
      <c r="W90" s="10">
        <f>IF(A90&lt;&gt;"",SUM(P90:Q90),"")</f>
        <v>0</v>
      </c>
      <c r="X90" s="10">
        <f>IF(A90&lt;&gt;"",SUM(S90:T90),"")</f>
        <v>307</v>
      </c>
      <c r="Y90" s="12">
        <v>3</v>
      </c>
      <c r="Z90" s="12">
        <f>IF(A90&lt;&gt;"",SUM(U90:Y90),"")</f>
        <v>805</v>
      </c>
      <c r="AA90" s="27">
        <f>IF(A90&lt;&gt;"",(Z90+Normalize_To_Add)/(Point_Total_So_Far)*100,"")</f>
        <v>88.009673189131846</v>
      </c>
      <c r="AB90" s="10">
        <f>IF(A90&lt;&gt;"",RANK(AA90,All_Student_XC),"")</f>
        <v>111</v>
      </c>
      <c r="AC90" s="31" t="str">
        <f>IF(A90&lt;&gt;"",CHOOSE(10-MIN(9,TRUNC((AA90+0.5)/10)),"A","B","C","D","F","F","F","F","F","F"),"")</f>
        <v>B</v>
      </c>
      <c r="AD90" s="31" t="str">
        <f>IF(A90&lt;&gt;"",IF(OR(AA90+0.5&gt;=93,AA90+0.5&lt;60),"",IF(MOD(AA90+0.5,10)&gt;=7,"+",IF(MOD(AA90+0.5,10)&lt;3,"-",""))),"")</f>
        <v>+</v>
      </c>
      <c r="AE90" s="31">
        <f>IF(A90&lt;&gt;"",SUM(W90:X90,$W$8:$X$8)/SUM($W$2:$X$2)*100,"")</f>
        <v>76.419346378263683</v>
      </c>
      <c r="AF90" s="31" t="str">
        <f>IF(A90&lt;&gt;"",CHOOSE(10-MIN(9,TRUNC((AE90+0.5)/10)),"A","B","C","D","F","F","F","F","F","F"),"")</f>
        <v>C</v>
      </c>
      <c r="AG90" s="31" t="str">
        <f>IF(A90&lt;&gt;"",IF(OR(AE90+0.5&gt;=93,AE90+0.5&lt;60),"",IF(MOD(AE90+0.5,10)&gt;=7,"+",IF(MOD(AE90+0.5,10)&lt;3,"-",""))),"")</f>
        <v/>
      </c>
      <c r="AH90" s="35">
        <f>IF(A90&lt;&gt;"",MIN(MAX(AA90,AE90),AA90+$AH$8,AE90+$AH$8),"")</f>
        <v>88.009673189131846</v>
      </c>
      <c r="AI90" s="31" t="str">
        <f>IF(A90&lt;&gt;"",CHOOSE(10-MIN(9,TRUNC((AH90+0.5)/10)),"A","B","C","D","F","F","F","F","F","F"),"")</f>
        <v>B</v>
      </c>
      <c r="AJ90" s="31" t="str">
        <f>IF(A90&lt;&gt;"",IF(OR(AH90+0.5&gt;=93,AH90+0.5&lt;60),"",IF(MOD(AH90+0.5,10)&gt;=7,"+",IF(MOD(AH90+0.5,10)&lt;3,"-",""))),"")</f>
        <v>+</v>
      </c>
      <c r="AK90" s="31" t="b">
        <f>IF(A90&lt;&gt;"",OR(AI90&lt;&gt;AC90,AJ90&lt;&gt;AD90),"")</f>
        <v>0</v>
      </c>
      <c r="AL90" s="81">
        <f>IF(AND(A90&lt;&gt;"",U90&gt;0),SUM(U90,$AL$8)/$AL$2*100,"")</f>
        <v>94.5</v>
      </c>
      <c r="AM90" s="24">
        <f>IF(AND(A90&lt;&gt;"",V90&gt;0),SUM(V90,$AM$8)/$AM$2*100,"")</f>
        <v>102</v>
      </c>
      <c r="AN90" s="24" t="str">
        <f>IF(AND(A90&lt;&gt;"",P90&lt;&gt;0),SUM(P90,$AN$8)/$AN$2*100,"")</f>
        <v/>
      </c>
      <c r="AO90" s="24" t="str">
        <f>IF(AND(A90&lt;&gt;"",Q90&lt;&gt;0),SUM(Q90,$AO$8)/$AO$2*100,"")</f>
        <v/>
      </c>
      <c r="AP90" s="24">
        <f>IF(AND(A90&lt;&gt;"",R90&lt;&gt;0),SUM(R90,$AP$8)/$AP$2*100,"")</f>
        <v>82.502659574468083</v>
      </c>
      <c r="AQ90" s="24" t="str">
        <f>IF(AND(A90&lt;&gt;"",W90&gt;0),SUM(W90,$AQ$8)/$AQ$2*100,"")</f>
        <v/>
      </c>
      <c r="AR90" s="24">
        <f>IF(AND(A90&lt;&gt;"",T90&gt;0),SUM(T90,$AR$8)/$AR$2*100,"")</f>
        <v>72.363804247460749</v>
      </c>
      <c r="AS90" s="24">
        <f>IF(AND(A90&lt;&gt;"",X90&lt;&gt;0),SUM(X90,$AS$8)/$AS$2*100,"")</f>
        <v>76.419346378263683</v>
      </c>
      <c r="AT90" s="86">
        <f>IF(A90&lt;&gt;"",SUM(W90:X90,$AT$8)/$AT$2*100,"")</f>
        <v>76.419346378263683</v>
      </c>
      <c r="AU90" s="24">
        <f>AA90</f>
        <v>88.009673189131846</v>
      </c>
      <c r="AV90" s="24"/>
      <c r="AW90" s="27">
        <f>IF(A90&lt;&gt;"",AE90-AA90,"")</f>
        <v>-11.590326810868163</v>
      </c>
      <c r="AY90" s="27">
        <f>AR90-AP90</f>
        <v>-10.138855327007334</v>
      </c>
      <c r="AZ90" s="27">
        <f>ABS(AY90)</f>
        <v>10.138855327007334</v>
      </c>
    </row>
    <row r="91" spans="1:54" s="27" customFormat="1" ht="12.75" customHeight="1" x14ac:dyDescent="0.2">
      <c r="A91" s="50">
        <v>213892</v>
      </c>
      <c r="B91" s="2">
        <v>20</v>
      </c>
      <c r="C91" s="50">
        <v>24</v>
      </c>
      <c r="D91" s="10">
        <v>20</v>
      </c>
      <c r="E91" s="10">
        <v>17</v>
      </c>
      <c r="F91" s="10">
        <v>12</v>
      </c>
      <c r="G91" s="10">
        <v>25</v>
      </c>
      <c r="H91" s="10">
        <v>14</v>
      </c>
      <c r="I91" s="10">
        <v>25</v>
      </c>
      <c r="J91" s="2"/>
      <c r="K91" s="10">
        <v>53</v>
      </c>
      <c r="L91" s="10">
        <v>54</v>
      </c>
      <c r="M91" s="10">
        <v>58</v>
      </c>
      <c r="N91" s="51">
        <v>54</v>
      </c>
      <c r="O91" s="11">
        <v>45</v>
      </c>
      <c r="P91" s="10"/>
      <c r="Q91" s="40"/>
      <c r="R91" s="2">
        <v>111</v>
      </c>
      <c r="S91" s="10">
        <f>IF(T91="",R91,MAX((R91+$R$8)/$R$2,(T91+$T$8)/$T$2)*$R$2-$R$8)</f>
        <v>114.38895601265202</v>
      </c>
      <c r="T91" s="62">
        <v>169</v>
      </c>
      <c r="U91" s="10">
        <f>IF(A91&lt;&gt;"",SUM(B91:I91),"")</f>
        <v>157</v>
      </c>
      <c r="V91" s="10">
        <f>IF(A91&lt;&gt;"",SUM(J91:O91),"")</f>
        <v>264</v>
      </c>
      <c r="W91" s="10">
        <f>IF(A91&lt;&gt;"",SUM(P91:Q91),"")</f>
        <v>0</v>
      </c>
      <c r="X91" s="10">
        <f>IF(A91&lt;&gt;"",SUM(S91:T91),"")</f>
        <v>283.38895601265199</v>
      </c>
      <c r="Y91" s="12">
        <v>3</v>
      </c>
      <c r="Z91" s="12">
        <f>IF(A91&lt;&gt;"",SUM(U91:Y91),"")</f>
        <v>707.38895601265199</v>
      </c>
      <c r="AA91" s="27">
        <f>IF(A91&lt;&gt;"",(Z91+Normalize_To_Add)/(Point_Total_So_Far)*100,"")</f>
        <v>78.248568790397044</v>
      </c>
      <c r="AB91" s="10">
        <f>IF(A91&lt;&gt;"",RANK(AA91,All_Student_XC),"")</f>
        <v>239</v>
      </c>
      <c r="AC91" s="31" t="str">
        <f>IF(A91&lt;&gt;"",CHOOSE(10-MIN(9,TRUNC((AA91+0.5)/10)),"A","B","C","D","F","F","F","F","F","F"),"")</f>
        <v>C</v>
      </c>
      <c r="AD91" s="31" t="str">
        <f>IF(A91&lt;&gt;"",IF(OR(AA91+0.5&gt;=93,AA91+0.5&lt;60),"",IF(MOD(AA91+0.5,10)&gt;=7,"+",IF(MOD(AA91+0.5,10)&lt;3,"-",""))),"")</f>
        <v>+</v>
      </c>
      <c r="AE91" s="31">
        <f>IF(A91&lt;&gt;"",SUM(W91:X91,$W$8:$X$8)/SUM($W$2:$X$2)*100,"")</f>
        <v>71.697137580794077</v>
      </c>
      <c r="AF91" s="43" t="str">
        <f>IF(A91&lt;&gt;"",CHOOSE(10-MIN(9,TRUNC((AE91+0.5)/10)),"A","B","C","D","F","F","F","F","F","F"),"")</f>
        <v>C</v>
      </c>
      <c r="AG91" s="43" t="str">
        <f>IF(A91&lt;&gt;"",IF(OR(AE91+0.5&gt;=93,AE91+0.5&lt;60),"",IF(MOD(AE91+0.5,10)&gt;=7,"+",IF(MOD(AE91+0.5,10)&lt;3,"-",""))),"")</f>
        <v>-</v>
      </c>
      <c r="AH91" s="35">
        <f>IF(A91&lt;&gt;"",MIN(MAX(AA91,AE91),AA91+$AH$8,AE91+$AH$8),"")</f>
        <v>78.248568790397044</v>
      </c>
      <c r="AI91" s="31" t="str">
        <f>IF(A91&lt;&gt;"",CHOOSE(10-MIN(9,TRUNC((AH91+0.5)/10)),"A","B","C","D","F","F","F","F","F","F"),"")</f>
        <v>C</v>
      </c>
      <c r="AJ91" s="31" t="str">
        <f>IF(A91&lt;&gt;"",IF(OR(AH91+0.5&gt;=93,AH91+0.5&lt;60),"",IF(MOD(AH91+0.5,10)&gt;=7,"+",IF(MOD(AH91+0.5,10)&lt;3,"-",""))),"")</f>
        <v>+</v>
      </c>
      <c r="AK91" s="31" t="b">
        <f>IF(A91&lt;&gt;"",OR(AI91&lt;&gt;AC91,AJ91&lt;&gt;AD91),"")</f>
        <v>0</v>
      </c>
      <c r="AL91" s="81">
        <f>IF(AND(A91&lt;&gt;"",U91&gt;0),SUM(U91,$AL$8)/$AL$2*100,"")</f>
        <v>78.5</v>
      </c>
      <c r="AM91" s="24">
        <f>IF(AND(A91&lt;&gt;"",V91&gt;0),SUM(V91,$AM$8)/$AM$2*100,"")</f>
        <v>88</v>
      </c>
      <c r="AN91" s="24" t="str">
        <f>IF(AND(A91&lt;&gt;"",P91&lt;&gt;0),SUM(P91,$AN$8)/$AN$2*100,"")</f>
        <v/>
      </c>
      <c r="AO91" s="24" t="str">
        <f>IF(AND(A91&lt;&gt;"",Q91&lt;&gt;0),SUM(Q91,$AO$8)/$AO$2*100,"")</f>
        <v/>
      </c>
      <c r="AP91" s="24">
        <f>IF(AND(A91&lt;&gt;"",R91&lt;&gt;0),SUM(R91,$AP$8)/$AP$2*100,"")</f>
        <v>70.002659574468083</v>
      </c>
      <c r="AQ91" s="24" t="str">
        <f>IF(AND(A91&lt;&gt;"",W91&gt;0),SUM(W91,$AQ$8)/$AQ$2*100,"")</f>
        <v/>
      </c>
      <c r="AR91" s="24">
        <f>IF(AND(A91&lt;&gt;"",T91&gt;0),SUM(T91,$AR$8)/$AR$2*100,"")</f>
        <v>71.697137580794092</v>
      </c>
      <c r="AS91" s="24">
        <f>IF(AND(A91&lt;&gt;"",X91&lt;&gt;0),SUM(X91,$AS$8)/$AS$2*100,"")</f>
        <v>71.697137580794077</v>
      </c>
      <c r="AT91" s="86">
        <f>IF(A91&lt;&gt;"",SUM(W91:X91,$AT$8)/$AT$2*100,"")</f>
        <v>71.697137580794077</v>
      </c>
      <c r="AU91" s="24">
        <f>AA91</f>
        <v>78.248568790397044</v>
      </c>
      <c r="AV91" s="24"/>
      <c r="AW91" s="27">
        <f>IF(A91&lt;&gt;"",AE91-AA91,"")</f>
        <v>-6.551431209602967</v>
      </c>
      <c r="AY91" s="27">
        <f>AR91-AP91</f>
        <v>1.6944780063260083</v>
      </c>
      <c r="AZ91" s="27">
        <f>ABS(AY91)</f>
        <v>1.6944780063260083</v>
      </c>
    </row>
    <row r="92" spans="1:54" s="27" customFormat="1" ht="12.75" customHeight="1" x14ac:dyDescent="0.2">
      <c r="A92" s="50">
        <v>215014</v>
      </c>
      <c r="B92" s="2">
        <v>25</v>
      </c>
      <c r="C92" s="50">
        <v>25</v>
      </c>
      <c r="D92" s="10">
        <v>25</v>
      </c>
      <c r="E92" s="10">
        <v>25</v>
      </c>
      <c r="F92" s="10">
        <v>21</v>
      </c>
      <c r="G92" s="10">
        <v>25</v>
      </c>
      <c r="H92" s="10">
        <v>24</v>
      </c>
      <c r="I92" s="10">
        <v>25</v>
      </c>
      <c r="J92" s="2"/>
      <c r="K92" s="10">
        <v>61</v>
      </c>
      <c r="L92" s="10">
        <v>60</v>
      </c>
      <c r="M92" s="10">
        <v>60</v>
      </c>
      <c r="N92" s="51">
        <v>57</v>
      </c>
      <c r="O92" s="11">
        <v>60</v>
      </c>
      <c r="P92" s="10"/>
      <c r="Q92" s="40"/>
      <c r="R92" s="2">
        <v>150</v>
      </c>
      <c r="S92" s="10">
        <f>IF(T92="",R92,MAX((R92+$R$8)/$R$2,(T92+$T$8)/$T$2)*$R$2-$R$8)</f>
        <v>151.72228934598533</v>
      </c>
      <c r="T92" s="62">
        <v>225</v>
      </c>
      <c r="U92" s="10">
        <f>IF(A92&lt;&gt;"",SUM(B92:I92),"")</f>
        <v>195</v>
      </c>
      <c r="V92" s="10">
        <f>IF(A92&lt;&gt;"",SUM(J92:O92),"")</f>
        <v>298</v>
      </c>
      <c r="W92" s="10">
        <f>IF(A92&lt;&gt;"",SUM(P92:Q92),"")</f>
        <v>0</v>
      </c>
      <c r="X92" s="10">
        <f>IF(A92&lt;&gt;"",SUM(S92:T92),"")</f>
        <v>376.72228934598536</v>
      </c>
      <c r="Y92" s="12" t="s">
        <v>69</v>
      </c>
      <c r="Z92" s="12">
        <f>IF(A92&lt;&gt;"",SUM(U92:Y92),"")</f>
        <v>869.72228934598536</v>
      </c>
      <c r="AA92" s="27">
        <f>IF(A92&lt;&gt;"",(Z92+Normalize_To_Add)/(Point_Total_So_Far)*100,"")</f>
        <v>94.481902123730379</v>
      </c>
      <c r="AB92" s="10">
        <f>IF(A92&lt;&gt;"",RANK(AA92,All_Student_XC),"")</f>
        <v>34</v>
      </c>
      <c r="AC92" s="31" t="str">
        <f>IF(A92&lt;&gt;"",CHOOSE(10-MIN(9,TRUNC((AA92+0.5)/10)),"A","B","C","D","F","F","F","F","F","F"),"")</f>
        <v>A</v>
      </c>
      <c r="AD92" s="31" t="str">
        <f>IF(A92&lt;&gt;"",IF(OR(AA92+0.5&gt;=93,AA92+0.5&lt;60),"",IF(MOD(AA92+0.5,10)&gt;=7,"+",IF(MOD(AA92+0.5,10)&lt;3,"-",""))),"")</f>
        <v/>
      </c>
      <c r="AE92" s="31">
        <f>IF(A92&lt;&gt;"",SUM(W92:X92,$W$8:$X$8)/SUM($W$2:$X$2)*100,"")</f>
        <v>90.363804247460749</v>
      </c>
      <c r="AF92" s="43" t="str">
        <f>IF(A92&lt;&gt;"",CHOOSE(10-MIN(9,TRUNC((AE92+0.5)/10)),"A","B","C","D","F","F","F","F","F","F"),"")</f>
        <v>A</v>
      </c>
      <c r="AG92" s="43" t="str">
        <f>IF(A92&lt;&gt;"",IF(OR(AE92+0.5&gt;=93,AE92+0.5&lt;60),"",IF(MOD(AE92+0.5,10)&gt;=7,"+",IF(MOD(AE92+0.5,10)&lt;3,"-",""))),"")</f>
        <v>-</v>
      </c>
      <c r="AH92" s="35">
        <f>IF(A92&lt;&gt;"",MIN(MAX(AA92,AE92),AA92+$AH$8,AE92+$AH$8),"")</f>
        <v>94.481902123730379</v>
      </c>
      <c r="AI92" s="31" t="str">
        <f>IF(A92&lt;&gt;"",CHOOSE(10-MIN(9,TRUNC((AH92+0.5)/10)),"A","B","C","D","F","F","F","F","F","F"),"")</f>
        <v>A</v>
      </c>
      <c r="AJ92" s="31" t="str">
        <f>IF(A92&lt;&gt;"",IF(OR(AH92+0.5&gt;=93,AH92+0.5&lt;60),"",IF(MOD(AH92+0.5,10)&gt;=7,"+",IF(MOD(AH92+0.5,10)&lt;3,"-",""))),"")</f>
        <v/>
      </c>
      <c r="AK92" s="31" t="b">
        <f>IF(A92&lt;&gt;"",OR(AI92&lt;&gt;AC92,AJ92&lt;&gt;AD92),"")</f>
        <v>0</v>
      </c>
      <c r="AL92" s="81">
        <f>IF(AND(A92&lt;&gt;"",U92&gt;0),SUM(U92,$AL$8)/$AL$2*100,"")</f>
        <v>97.5</v>
      </c>
      <c r="AM92" s="24">
        <f>IF(AND(A92&lt;&gt;"",V92&gt;0),SUM(V92,$AM$8)/$AM$2*100,"")</f>
        <v>99.333333333333329</v>
      </c>
      <c r="AN92" s="24" t="str">
        <f>IF(AND(A92&lt;&gt;"",P92&lt;&gt;0),SUM(P92,$AN$8)/$AN$2*100,"")</f>
        <v/>
      </c>
      <c r="AO92" s="24" t="str">
        <f>IF(AND(A92&lt;&gt;"",Q92&lt;&gt;0),SUM(Q92,$AO$8)/$AO$2*100,"")</f>
        <v/>
      </c>
      <c r="AP92" s="24">
        <f>IF(AND(A92&lt;&gt;"",R92&lt;&gt;0),SUM(R92,$AP$8)/$AP$2*100,"")</f>
        <v>89.502659574468083</v>
      </c>
      <c r="AQ92" s="24" t="str">
        <f>IF(AND(A92&lt;&gt;"",W92&gt;0),SUM(W92,$AQ$8)/$AQ$2*100,"")</f>
        <v/>
      </c>
      <c r="AR92" s="24">
        <f>IF(AND(A92&lt;&gt;"",T92&gt;0),SUM(T92,$AR$8)/$AR$2*100,"")</f>
        <v>90.363804247460749</v>
      </c>
      <c r="AS92" s="24">
        <f>IF(AND(A92&lt;&gt;"",X92&lt;&gt;0),SUM(X92,$AS$8)/$AS$2*100,"")</f>
        <v>90.363804247460749</v>
      </c>
      <c r="AT92" s="86">
        <f>IF(A92&lt;&gt;"",SUM(W92:X92,$AT$8)/$AT$2*100,"")</f>
        <v>90.363804247460749</v>
      </c>
      <c r="AU92" s="24">
        <f>AA92</f>
        <v>94.481902123730379</v>
      </c>
      <c r="AV92" s="24"/>
      <c r="AW92" s="27">
        <f>IF(A92&lt;&gt;"",AE92-AA92,"")</f>
        <v>-4.1180978762696299</v>
      </c>
      <c r="AY92" s="27">
        <f>AR92-AP92</f>
        <v>0.86114467299266551</v>
      </c>
      <c r="AZ92" s="27">
        <f>ABS(AY92)</f>
        <v>0.86114467299266551</v>
      </c>
    </row>
    <row r="93" spans="1:54" s="27" customFormat="1" ht="12.75" customHeight="1" x14ac:dyDescent="0.2">
      <c r="A93" s="50">
        <v>217996</v>
      </c>
      <c r="B93" s="2">
        <v>13</v>
      </c>
      <c r="C93" s="50">
        <v>13</v>
      </c>
      <c r="D93" s="10">
        <v>16</v>
      </c>
      <c r="E93" s="10">
        <v>17</v>
      </c>
      <c r="F93" s="10">
        <v>12</v>
      </c>
      <c r="G93" s="10">
        <v>16</v>
      </c>
      <c r="H93" s="10">
        <v>17</v>
      </c>
      <c r="I93" s="10">
        <v>25</v>
      </c>
      <c r="J93" s="2"/>
      <c r="K93" s="10">
        <v>47</v>
      </c>
      <c r="L93" s="10">
        <v>60</v>
      </c>
      <c r="M93" s="10">
        <v>61</v>
      </c>
      <c r="N93" s="51">
        <v>56</v>
      </c>
      <c r="O93" s="11">
        <v>45</v>
      </c>
      <c r="P93" s="10"/>
      <c r="Q93" s="40"/>
      <c r="R93" s="2">
        <v>78</v>
      </c>
      <c r="S93" s="10">
        <f>IF(T93="",R93,MAX((R93+$R$8)/$R$2,(T93+$T$8)/$T$2)*$R$2-$R$8)</f>
        <v>105.72228934598536</v>
      </c>
      <c r="T93" s="62">
        <v>156</v>
      </c>
      <c r="U93" s="10">
        <f>IF(A93&lt;&gt;"",SUM(B93:I93),"")</f>
        <v>129</v>
      </c>
      <c r="V93" s="10">
        <f>IF(A93&lt;&gt;"",SUM(J93:O93),"")</f>
        <v>269</v>
      </c>
      <c r="W93" s="10">
        <f>IF(A93&lt;&gt;"",SUM(P93:Q93),"")</f>
        <v>0</v>
      </c>
      <c r="X93" s="10">
        <f>IF(A93&lt;&gt;"",SUM(S93:T93),"")</f>
        <v>261.72228934598536</v>
      </c>
      <c r="Y93" s="12" t="s">
        <v>69</v>
      </c>
      <c r="Z93" s="12">
        <f>IF(A93&lt;&gt;"",SUM(U93:Y93),"")</f>
        <v>659.72228934598536</v>
      </c>
      <c r="AA93" s="27">
        <f>IF(A93&lt;&gt;"",(Z93+Normalize_To_Add)/(Point_Total_So_Far)*100,"")</f>
        <v>73.481902123730379</v>
      </c>
      <c r="AB93" s="10">
        <f>IF(A93&lt;&gt;"",RANK(AA93,All_Student_XC),"")</f>
        <v>284</v>
      </c>
      <c r="AC93" s="31" t="str">
        <f>IF(A93&lt;&gt;"",CHOOSE(10-MIN(9,TRUNC((AA93+0.5)/10)),"A","B","C","D","F","F","F","F","F","F"),"")</f>
        <v>C</v>
      </c>
      <c r="AD93" s="31" t="str">
        <f>IF(A93&lt;&gt;"",IF(OR(AA93+0.5&gt;=93,AA93+0.5&lt;60),"",IF(MOD(AA93+0.5,10)&gt;=7,"+",IF(MOD(AA93+0.5,10)&lt;3,"-",""))),"")</f>
        <v/>
      </c>
      <c r="AE93" s="31">
        <f>IF(A93&lt;&gt;"",SUM(W93:X93,$W$8:$X$8)/SUM($W$2:$X$2)*100,"")</f>
        <v>67.363804247460763</v>
      </c>
      <c r="AF93" s="43" t="str">
        <f>IF(A93&lt;&gt;"",CHOOSE(10-MIN(9,TRUNC((AE93+0.5)/10)),"A","B","C","D","F","F","F","F","F","F"),"")</f>
        <v>D</v>
      </c>
      <c r="AG93" s="43" t="str">
        <f>IF(A93&lt;&gt;"",IF(OR(AE93+0.5&gt;=93,AE93+0.5&lt;60),"",IF(MOD(AE93+0.5,10)&gt;=7,"+",IF(MOD(AE93+0.5,10)&lt;3,"-",""))),"")</f>
        <v>+</v>
      </c>
      <c r="AH93" s="35">
        <f>IF(A93&lt;&gt;"",MIN(MAX(AA93,AE93),AA93+$AH$8,AE93+$AH$8),"")</f>
        <v>73.481902123730379</v>
      </c>
      <c r="AI93" s="31" t="str">
        <f>IF(A93&lt;&gt;"",CHOOSE(10-MIN(9,TRUNC((AH93+0.5)/10)),"A","B","C","D","F","F","F","F","F","F"),"")</f>
        <v>C</v>
      </c>
      <c r="AJ93" s="31" t="str">
        <f>IF(A93&lt;&gt;"",IF(OR(AH93+0.5&gt;=93,AH93+0.5&lt;60),"",IF(MOD(AH93+0.5,10)&gt;=7,"+",IF(MOD(AH93+0.5,10)&lt;3,"-",""))),"")</f>
        <v/>
      </c>
      <c r="AK93" s="31" t="b">
        <f>IF(A93&lt;&gt;"",OR(AI93&lt;&gt;AC93,AJ93&lt;&gt;AD93),"")</f>
        <v>0</v>
      </c>
      <c r="AL93" s="81">
        <f>IF(AND(A93&lt;&gt;"",U93&gt;0),SUM(U93,$AL$8)/$AL$2*100,"")</f>
        <v>64.5</v>
      </c>
      <c r="AM93" s="24">
        <f>IF(AND(A93&lt;&gt;"",V93&gt;0),SUM(V93,$AM$8)/$AM$2*100,"")</f>
        <v>89.666666666666657</v>
      </c>
      <c r="AN93" s="24" t="str">
        <f>IF(AND(A93&lt;&gt;"",P93&lt;&gt;0),SUM(P93,$AN$8)/$AN$2*100,"")</f>
        <v/>
      </c>
      <c r="AO93" s="24" t="str">
        <f>IF(AND(A93&lt;&gt;"",Q93&lt;&gt;0),SUM(Q93,$AO$8)/$AO$2*100,"")</f>
        <v/>
      </c>
      <c r="AP93" s="24">
        <f>IF(AND(A93&lt;&gt;"",R93&lt;&gt;0),SUM(R93,$AP$8)/$AP$2*100,"")</f>
        <v>53.502659574468083</v>
      </c>
      <c r="AQ93" s="24" t="str">
        <f>IF(AND(A93&lt;&gt;"",W93&gt;0),SUM(W93,$AQ$8)/$AQ$2*100,"")</f>
        <v/>
      </c>
      <c r="AR93" s="24">
        <f>IF(AND(A93&lt;&gt;"",T93&gt;0),SUM(T93,$AR$8)/$AR$2*100,"")</f>
        <v>67.363804247460763</v>
      </c>
      <c r="AS93" s="24">
        <f>IF(AND(A93&lt;&gt;"",X93&lt;&gt;0),SUM(X93,$AS$8)/$AS$2*100,"")</f>
        <v>67.363804247460763</v>
      </c>
      <c r="AT93" s="86">
        <f>IF(A93&lt;&gt;"",SUM(W93:X93,$AT$8)/$AT$2*100,"")</f>
        <v>67.363804247460763</v>
      </c>
      <c r="AU93" s="24">
        <f>AA93</f>
        <v>73.481902123730379</v>
      </c>
      <c r="AV93" s="24"/>
      <c r="AW93" s="27">
        <f>IF(A93&lt;&gt;"",AE93-AA93,"")</f>
        <v>-6.1180978762696157</v>
      </c>
      <c r="AY93" s="27">
        <f>AR93-AP93</f>
        <v>13.86114467299268</v>
      </c>
      <c r="AZ93" s="27">
        <f>ABS(AY93)</f>
        <v>13.86114467299268</v>
      </c>
    </row>
    <row r="94" spans="1:54" s="27" customFormat="1" ht="12.75" customHeight="1" x14ac:dyDescent="0.2">
      <c r="A94" s="50">
        <v>223214</v>
      </c>
      <c r="B94" s="2">
        <v>25</v>
      </c>
      <c r="C94" s="50">
        <v>25</v>
      </c>
      <c r="D94" s="10">
        <v>19</v>
      </c>
      <c r="E94" s="10">
        <v>18</v>
      </c>
      <c r="F94" s="10">
        <v>23</v>
      </c>
      <c r="G94" s="10">
        <v>25</v>
      </c>
      <c r="H94" s="10">
        <v>24</v>
      </c>
      <c r="I94" s="10">
        <v>23</v>
      </c>
      <c r="J94" s="2"/>
      <c r="K94" s="10">
        <v>54</v>
      </c>
      <c r="L94" s="10">
        <v>58</v>
      </c>
      <c r="M94" s="10">
        <v>42</v>
      </c>
      <c r="N94" s="51">
        <v>45</v>
      </c>
      <c r="O94" s="11">
        <v>62</v>
      </c>
      <c r="P94" s="10"/>
      <c r="Q94" s="40"/>
      <c r="R94" s="2">
        <v>143</v>
      </c>
      <c r="S94" s="10">
        <f>IF(T94="",R94,MAX((R94+$R$8)/$R$2,(T94+$T$8)/$T$2)*$R$2-$R$8)</f>
        <v>143</v>
      </c>
      <c r="T94" s="62">
        <v>210</v>
      </c>
      <c r="U94" s="10">
        <f>IF(A94&lt;&gt;"",SUM(B94:I94),"")</f>
        <v>182</v>
      </c>
      <c r="V94" s="10">
        <f>IF(A94&lt;&gt;"",SUM(J94:O94),"")</f>
        <v>261</v>
      </c>
      <c r="W94" s="10">
        <f>IF(A94&lt;&gt;"",SUM(P94:Q94),"")</f>
        <v>0</v>
      </c>
      <c r="X94" s="10">
        <f>IF(A94&lt;&gt;"",SUM(S94:T94),"")</f>
        <v>353</v>
      </c>
      <c r="Y94" s="12">
        <v>3</v>
      </c>
      <c r="Z94" s="12">
        <f>IF(A94&lt;&gt;"",SUM(U94:Y94),"")</f>
        <v>799</v>
      </c>
      <c r="AA94" s="27">
        <f>IF(A94&lt;&gt;"",(Z94+Normalize_To_Add)/(Point_Total_So_Far)*100,"")</f>
        <v>87.409673189131837</v>
      </c>
      <c r="AB94" s="10">
        <f>IF(A94&lt;&gt;"",RANK(AA94,All_Student_XC),"")</f>
        <v>119</v>
      </c>
      <c r="AC94" s="31" t="str">
        <f>IF(A94&lt;&gt;"",CHOOSE(10-MIN(9,TRUNC((AA94+0.5)/10)),"A","B","C","D","F","F","F","F","F","F"),"")</f>
        <v>B</v>
      </c>
      <c r="AD94" s="31" t="str">
        <f>IF(A94&lt;&gt;"",IF(OR(AA94+0.5&gt;=93,AA94+0.5&lt;60),"",IF(MOD(AA94+0.5,10)&gt;=7,"+",IF(MOD(AA94+0.5,10)&lt;3,"-",""))),"")</f>
        <v>+</v>
      </c>
      <c r="AE94" s="31">
        <f>IF(A94&lt;&gt;"",SUM(W94:X94,$W$8:$X$8)/SUM($W$2:$X$2)*100,"")</f>
        <v>85.619346378263685</v>
      </c>
      <c r="AF94" s="43" t="str">
        <f>IF(A94&lt;&gt;"",CHOOSE(10-MIN(9,TRUNC((AE94+0.5)/10)),"A","B","C","D","F","F","F","F","F","F"),"")</f>
        <v>B</v>
      </c>
      <c r="AG94" s="43" t="str">
        <f>IF(A94&lt;&gt;"",IF(OR(AE94+0.5&gt;=93,AE94+0.5&lt;60),"",IF(MOD(AE94+0.5,10)&gt;=7,"+",IF(MOD(AE94+0.5,10)&lt;3,"-",""))),"")</f>
        <v/>
      </c>
      <c r="AH94" s="35">
        <f>IF(A94&lt;&gt;"",MIN(MAX(AA94,AE94),AA94+$AH$8,AE94+$AH$8),"")</f>
        <v>87.409673189131837</v>
      </c>
      <c r="AI94" s="31" t="str">
        <f>IF(A94&lt;&gt;"",CHOOSE(10-MIN(9,TRUNC((AH94+0.5)/10)),"A","B","C","D","F","F","F","F","F","F"),"")</f>
        <v>B</v>
      </c>
      <c r="AJ94" s="31" t="str">
        <f>IF(A94&lt;&gt;"",IF(OR(AH94+0.5&gt;=93,AH94+0.5&lt;60),"",IF(MOD(AH94+0.5,10)&gt;=7,"+",IF(MOD(AH94+0.5,10)&lt;3,"-",""))),"")</f>
        <v>+</v>
      </c>
      <c r="AK94" s="31" t="b">
        <f>IF(A94&lt;&gt;"",OR(AI94&lt;&gt;AC94,AJ94&lt;&gt;AD94),"")</f>
        <v>0</v>
      </c>
      <c r="AL94" s="81">
        <f>IF(AND(A94&lt;&gt;"",U94&gt;0),SUM(U94,$AL$8)/$AL$2*100,"")</f>
        <v>91</v>
      </c>
      <c r="AM94" s="24">
        <f>IF(AND(A94&lt;&gt;"",V94&gt;0),SUM(V94,$AM$8)/$AM$2*100,"")</f>
        <v>87</v>
      </c>
      <c r="AN94" s="24" t="str">
        <f>IF(AND(A94&lt;&gt;"",P94&lt;&gt;0),SUM(P94,$AN$8)/$AN$2*100,"")</f>
        <v/>
      </c>
      <c r="AO94" s="24" t="str">
        <f>IF(AND(A94&lt;&gt;"",Q94&lt;&gt;0),SUM(Q94,$AO$8)/$AO$2*100,"")</f>
        <v/>
      </c>
      <c r="AP94" s="24">
        <f>IF(AND(A94&lt;&gt;"",R94&lt;&gt;0),SUM(R94,$AP$8)/$AP$2*100,"")</f>
        <v>86.002659574468083</v>
      </c>
      <c r="AQ94" s="24" t="str">
        <f>IF(AND(A94&lt;&gt;"",W94&gt;0),SUM(W94,$AQ$8)/$AQ$2*100,"")</f>
        <v/>
      </c>
      <c r="AR94" s="24">
        <f>IF(AND(A94&lt;&gt;"",T94&gt;0),SUM(T94,$AR$8)/$AR$2*100,"")</f>
        <v>85.363804247460749</v>
      </c>
      <c r="AS94" s="24">
        <f>IF(AND(A94&lt;&gt;"",X94&lt;&gt;0),SUM(X94,$AS$8)/$AS$2*100,"")</f>
        <v>85.619346378263685</v>
      </c>
      <c r="AT94" s="86">
        <f>IF(A94&lt;&gt;"",SUM(W94:X94,$AT$8)/$AT$2*100,"")</f>
        <v>85.619346378263685</v>
      </c>
      <c r="AU94" s="24">
        <f>AA94</f>
        <v>87.409673189131837</v>
      </c>
      <c r="AV94" s="24"/>
      <c r="AW94" s="27">
        <f>IF(A94&lt;&gt;"",AE94-AA94,"")</f>
        <v>-1.7903268108681516</v>
      </c>
      <c r="AY94" s="27">
        <f>AR94-AP94</f>
        <v>-0.63885532700733449</v>
      </c>
      <c r="AZ94" s="27">
        <f>ABS(AY94)</f>
        <v>0.63885532700733449</v>
      </c>
    </row>
    <row r="95" spans="1:54" s="27" customFormat="1" ht="12.75" customHeight="1" x14ac:dyDescent="0.2">
      <c r="A95" s="50">
        <v>227526</v>
      </c>
      <c r="B95" s="2">
        <v>25</v>
      </c>
      <c r="C95" s="50">
        <v>10</v>
      </c>
      <c r="D95" s="10">
        <v>6</v>
      </c>
      <c r="E95" s="10">
        <v>17</v>
      </c>
      <c r="F95" s="10">
        <v>12</v>
      </c>
      <c r="G95" s="10">
        <v>25</v>
      </c>
      <c r="H95" s="10">
        <v>10</v>
      </c>
      <c r="I95" s="10">
        <v>25</v>
      </c>
      <c r="J95" s="2"/>
      <c r="K95" s="10">
        <v>60</v>
      </c>
      <c r="L95" s="10">
        <v>38</v>
      </c>
      <c r="M95" s="10">
        <v>52</v>
      </c>
      <c r="N95" s="51">
        <v>51</v>
      </c>
      <c r="O95" s="11">
        <v>45</v>
      </c>
      <c r="P95" s="10"/>
      <c r="Q95" s="40"/>
      <c r="R95" s="2">
        <v>96</v>
      </c>
      <c r="S95" s="10">
        <f>IF(T95="",R95,MAX((R95+$R$8)/$R$2,(T95+$T$8)/$T$2)*$R$2-$R$8)</f>
        <v>95.999999999999986</v>
      </c>
      <c r="T95" s="62">
        <v>129</v>
      </c>
      <c r="U95" s="10">
        <f>IF(A95&lt;&gt;"",SUM(B95:I95),"")</f>
        <v>130</v>
      </c>
      <c r="V95" s="10">
        <f>IF(A95&lt;&gt;"",SUM(J95:O95),"")</f>
        <v>246</v>
      </c>
      <c r="W95" s="10">
        <f>IF(A95&lt;&gt;"",SUM(P95:Q95),"")</f>
        <v>0</v>
      </c>
      <c r="X95" s="10">
        <f>IF(A95&lt;&gt;"",SUM(S95:T95),"")</f>
        <v>225</v>
      </c>
      <c r="Y95" s="12">
        <v>3</v>
      </c>
      <c r="Z95" s="12">
        <f>IF(A95&lt;&gt;"",SUM(U95:Y95),"")</f>
        <v>604</v>
      </c>
      <c r="AA95" s="27">
        <f>IF(A95&lt;&gt;"",(Z95+Normalize_To_Add)/(Point_Total_So_Far)*100,"")</f>
        <v>67.909673189131851</v>
      </c>
      <c r="AB95" s="10">
        <f>IF(A95&lt;&gt;"",RANK(AA95,All_Student_XC),"")</f>
        <v>329</v>
      </c>
      <c r="AC95" s="31" t="str">
        <f>IF(A95&lt;&gt;"",CHOOSE(10-MIN(9,TRUNC((AA95+0.5)/10)),"A","B","C","D","F","F","F","F","F","F"),"")</f>
        <v>D</v>
      </c>
      <c r="AD95" s="31" t="str">
        <f>IF(A95&lt;&gt;"",IF(OR(AA95+0.5&gt;=93,AA95+0.5&lt;60),"",IF(MOD(AA95+0.5,10)&gt;=7,"+",IF(MOD(AA95+0.5,10)&lt;3,"-",""))),"")</f>
        <v>+</v>
      </c>
      <c r="AE95" s="31">
        <f>IF(A95&lt;&gt;"",SUM(W95:X95,$W$8:$X$8)/SUM($W$2:$X$2)*100,"")</f>
        <v>60.019346378263684</v>
      </c>
      <c r="AF95" s="43" t="str">
        <f>IF(A95&lt;&gt;"",CHOOSE(10-MIN(9,TRUNC((AE95+0.5)/10)),"A","B","C","D","F","F","F","F","F","F"),"")</f>
        <v>D</v>
      </c>
      <c r="AG95" s="43" t="str">
        <f>IF(A95&lt;&gt;"",IF(OR(AE95+0.5&gt;=93,AE95+0.5&lt;60),"",IF(MOD(AE95+0.5,10)&gt;=7,"+",IF(MOD(AE95+0.5,10)&lt;3,"-",""))),"")</f>
        <v>-</v>
      </c>
      <c r="AH95" s="35">
        <f>IF(A95&lt;&gt;"",MIN(MAX(AA95,AE95),AA95+$AH$8,AE95+$AH$8),"")</f>
        <v>67.909673189131851</v>
      </c>
      <c r="AI95" s="31" t="str">
        <f>IF(A95&lt;&gt;"",CHOOSE(10-MIN(9,TRUNC((AH95+0.5)/10)),"A","B","C","D","F","F","F","F","F","F"),"")</f>
        <v>D</v>
      </c>
      <c r="AJ95" s="31" t="str">
        <f>IF(A95&lt;&gt;"",IF(OR(AH95+0.5&gt;=93,AH95+0.5&lt;60),"",IF(MOD(AH95+0.5,10)&gt;=7,"+",IF(MOD(AH95+0.5,10)&lt;3,"-",""))),"")</f>
        <v>+</v>
      </c>
      <c r="AK95" s="31" t="b">
        <f>IF(A95&lt;&gt;"",OR(AI95&lt;&gt;AC95,AJ95&lt;&gt;AD95),"")</f>
        <v>0</v>
      </c>
      <c r="AL95" s="81">
        <f>IF(AND(A95&lt;&gt;"",U95&gt;0),SUM(U95,$AL$8)/$AL$2*100,"")</f>
        <v>65</v>
      </c>
      <c r="AM95" s="24">
        <f>IF(AND(A95&lt;&gt;"",V95&gt;0),SUM(V95,$AM$8)/$AM$2*100,"")</f>
        <v>82</v>
      </c>
      <c r="AN95" s="24" t="str">
        <f>IF(AND(A95&lt;&gt;"",P95&lt;&gt;0),SUM(P95,$AN$8)/$AN$2*100,"")</f>
        <v/>
      </c>
      <c r="AO95" s="24" t="str">
        <f>IF(AND(A95&lt;&gt;"",Q95&lt;&gt;0),SUM(Q95,$AO$8)/$AO$2*100,"")</f>
        <v/>
      </c>
      <c r="AP95" s="24">
        <f>IF(AND(A95&lt;&gt;"",R95&lt;&gt;0),SUM(R95,$AP$8)/$AP$2*100,"")</f>
        <v>62.502659574468076</v>
      </c>
      <c r="AQ95" s="24" t="str">
        <f>IF(AND(A95&lt;&gt;"",W95&gt;0),SUM(W95,$AQ$8)/$AQ$2*100,"")</f>
        <v/>
      </c>
      <c r="AR95" s="24">
        <f>IF(AND(A95&lt;&gt;"",T95&gt;0),SUM(T95,$AR$8)/$AR$2*100,"")</f>
        <v>58.363804247460749</v>
      </c>
      <c r="AS95" s="24">
        <f>IF(AND(A95&lt;&gt;"",X95&lt;&gt;0),SUM(X95,$AS$8)/$AS$2*100,"")</f>
        <v>60.019346378263684</v>
      </c>
      <c r="AT95" s="86">
        <f>IF(A95&lt;&gt;"",SUM(W95:X95,$AT$8)/$AT$2*100,"")</f>
        <v>60.019346378263684</v>
      </c>
      <c r="AU95" s="24">
        <f>AA95</f>
        <v>67.909673189131851</v>
      </c>
      <c r="AV95" s="24"/>
      <c r="AW95" s="27">
        <f>IF(A95&lt;&gt;"",AE95-AA95,"")</f>
        <v>-7.8903268108681672</v>
      </c>
      <c r="AY95" s="27">
        <f>AR95-AP95</f>
        <v>-4.1388553270073274</v>
      </c>
      <c r="AZ95" s="27">
        <f>ABS(AY95)</f>
        <v>4.1388553270073274</v>
      </c>
    </row>
    <row r="96" spans="1:54" s="27" customFormat="1" ht="12.75" customHeight="1" x14ac:dyDescent="0.2">
      <c r="A96" s="10">
        <v>232326</v>
      </c>
      <c r="B96" s="2">
        <v>17</v>
      </c>
      <c r="C96" s="10" t="s">
        <v>69</v>
      </c>
      <c r="D96" s="10">
        <v>21</v>
      </c>
      <c r="E96" s="10">
        <v>21</v>
      </c>
      <c r="F96" s="10">
        <v>18</v>
      </c>
      <c r="G96" s="10">
        <v>10</v>
      </c>
      <c r="H96" s="10">
        <v>10</v>
      </c>
      <c r="I96" s="10">
        <v>24</v>
      </c>
      <c r="J96" s="2"/>
      <c r="K96" s="10" t="s">
        <v>69</v>
      </c>
      <c r="L96" s="10" t="s">
        <v>69</v>
      </c>
      <c r="M96" s="10" t="s">
        <v>69</v>
      </c>
      <c r="N96" s="51">
        <v>0</v>
      </c>
      <c r="O96" s="11">
        <v>37</v>
      </c>
      <c r="P96" s="10"/>
      <c r="Q96" s="40"/>
      <c r="R96" s="2">
        <v>114</v>
      </c>
      <c r="S96" s="10">
        <f>IF(T96="",R96,MAX((R96+$R$8)/$R$2,(T96+$T$8)/$T$2)*$R$2-$R$8)</f>
        <v>125.05562267931867</v>
      </c>
      <c r="T96" s="12">
        <v>185</v>
      </c>
      <c r="U96" s="34">
        <f>IF(A96&lt;&gt;"",SUM(B96:I96),"")</f>
        <v>121</v>
      </c>
      <c r="V96" s="10">
        <f>IF(A96&lt;&gt;"",SUM(J96:O96),"")</f>
        <v>37</v>
      </c>
      <c r="W96" s="10">
        <f>IF(A96&lt;&gt;"",SUM(P96:Q96),"")</f>
        <v>0</v>
      </c>
      <c r="X96" s="10">
        <f>IF(A96&lt;&gt;"",SUM(S96:T96),"")</f>
        <v>310.05562267931867</v>
      </c>
      <c r="Y96" s="12" t="s">
        <v>69</v>
      </c>
      <c r="Z96" s="12">
        <f>IF(A96&lt;&gt;"",SUM(U96:Y96),"")</f>
        <v>468.05562267931867</v>
      </c>
      <c r="AA96" s="27">
        <f>IF(A96&lt;&gt;"",(Z96+Normalize_To_Add)/(Point_Total_So_Far)*100,"")</f>
        <v>54.315235457063707</v>
      </c>
      <c r="AB96" s="10">
        <f>IF(A96&lt;&gt;"",RANK(AA96,All_Student_XC),"")</f>
        <v>353</v>
      </c>
      <c r="AC96" s="31" t="str">
        <f>IF(A96&lt;&gt;"",CHOOSE(10-MIN(9,TRUNC((AA96+0.5)/10)),"A","B","C","D","F","F","F","F","F","F"),"")</f>
        <v>F</v>
      </c>
      <c r="AD96" s="31" t="str">
        <f>IF(A96&lt;&gt;"",IF(OR(AA96+0.5&gt;=93,AA96+0.5&lt;60),"",IF(MOD(AA96+0.5,10)&gt;=7,"+",IF(MOD(AA96+0.5,10)&lt;3,"-",""))),"")</f>
        <v/>
      </c>
      <c r="AE96" s="31">
        <f>IF(A96&lt;&gt;"",SUM(W96:X96,$W$8:$X$8)/SUM($W$2:$X$2)*100,"")</f>
        <v>77.03047091412742</v>
      </c>
      <c r="AF96" s="31" t="str">
        <f>IF(A96&lt;&gt;"",CHOOSE(10-MIN(9,TRUNC((AE96+0.5)/10)),"A","B","C","D","F","F","F","F","F","F"),"")</f>
        <v>C</v>
      </c>
      <c r="AG96" s="31" t="str">
        <f>IF(A96&lt;&gt;"",IF(OR(AE96+0.5&gt;=93,AE96+0.5&lt;60),"",IF(MOD(AE96+0.5,10)&gt;=7,"+",IF(MOD(AE96+0.5,10)&lt;3,"-",""))),"")</f>
        <v>+</v>
      </c>
      <c r="AH96" s="35">
        <f>IF(A96&lt;&gt;"",MIN(MAX(AA96,AE96),AA96+$AH$8,AE96+$AH$8),"")</f>
        <v>77.03047091412742</v>
      </c>
      <c r="AI96" s="31" t="str">
        <f>IF(A96&lt;&gt;"",CHOOSE(10-MIN(9,TRUNC((AH96+0.5)/10)),"A","B","C","D","F","F","F","F","F","F"),"")</f>
        <v>C</v>
      </c>
      <c r="AJ96" s="31" t="str">
        <f>IF(A96&lt;&gt;"",IF(OR(AH96+0.5&gt;=93,AH96+0.5&lt;60),"",IF(MOD(AH96+0.5,10)&gt;=7,"+",IF(MOD(AH96+0.5,10)&lt;3,"-",""))),"")</f>
        <v>+</v>
      </c>
      <c r="AK96" s="31" t="b">
        <f>IF(A96&lt;&gt;"",OR(AI96&lt;&gt;AC96,AJ96&lt;&gt;AD96),"")</f>
        <v>1</v>
      </c>
      <c r="AL96" s="81">
        <f>IF(AND(A96&lt;&gt;"",U96&gt;0),SUM(U96,$AL$8)/$AL$2*100,"")</f>
        <v>60.5</v>
      </c>
      <c r="AM96" s="24">
        <f>IF(AND(A96&lt;&gt;"",V96&gt;0),SUM(V96,$AM$8)/$AM$2*100,"")</f>
        <v>12.333333333333334</v>
      </c>
      <c r="AN96" s="24" t="str">
        <f>IF(AND(A96&lt;&gt;"",P96&lt;&gt;0),SUM(P96,$AN$8)/$AN$2*100,"")</f>
        <v/>
      </c>
      <c r="AO96" s="24" t="str">
        <f>IF(AND(A96&lt;&gt;"",Q96&lt;&gt;0),SUM(Q96,$AO$8)/$AO$2*100,"")</f>
        <v/>
      </c>
      <c r="AP96" s="24">
        <f>IF(AND(A96&lt;&gt;"",R96&lt;&gt;0),SUM(R96,$AP$8)/$AP$2*100,"")</f>
        <v>71.502659574468083</v>
      </c>
      <c r="AQ96" s="24" t="str">
        <f>IF(AND(A96&lt;&gt;"",W96&gt;0),SUM(W96,$AQ$8)/$AQ$2*100,"")</f>
        <v/>
      </c>
      <c r="AR96" s="24">
        <f>IF(AND(A96&lt;&gt;"",T96&gt;0),SUM(T96,$AR$8)/$AR$2*100,"")</f>
        <v>77.03047091412742</v>
      </c>
      <c r="AS96" s="24">
        <f>IF(AND(A96&lt;&gt;"",X96&lt;&gt;0),SUM(X96,$AS$8)/$AS$2*100,"")</f>
        <v>77.03047091412742</v>
      </c>
      <c r="AT96" s="86">
        <f>IF(A96&lt;&gt;"",SUM(W96:X96,$AT$8)/$AT$2*100,"")</f>
        <v>77.03047091412742</v>
      </c>
      <c r="AU96" s="24">
        <f>AA96</f>
        <v>54.315235457063707</v>
      </c>
      <c r="AV96" s="24"/>
      <c r="AW96" s="27">
        <f>IF(A96&lt;&gt;"",AE96-AA96,"")</f>
        <v>22.715235457063713</v>
      </c>
      <c r="AY96" s="27">
        <f>AR96-AP96</f>
        <v>5.5278113396593369</v>
      </c>
      <c r="AZ96" s="27">
        <f>ABS(AY96)</f>
        <v>5.5278113396593369</v>
      </c>
    </row>
    <row r="97" spans="1:52" s="27" customFormat="1" ht="12.75" customHeight="1" x14ac:dyDescent="0.2">
      <c r="A97" s="50">
        <v>234314</v>
      </c>
      <c r="B97" s="2">
        <v>25</v>
      </c>
      <c r="C97" s="50">
        <v>18</v>
      </c>
      <c r="D97" s="10">
        <v>23</v>
      </c>
      <c r="E97" s="10">
        <v>22</v>
      </c>
      <c r="F97" s="10">
        <v>22</v>
      </c>
      <c r="G97" s="10">
        <v>16</v>
      </c>
      <c r="H97" s="10">
        <v>21</v>
      </c>
      <c r="I97" s="10">
        <v>25</v>
      </c>
      <c r="J97" s="2"/>
      <c r="K97" s="10">
        <v>57</v>
      </c>
      <c r="L97" s="10">
        <v>62</v>
      </c>
      <c r="M97" s="10">
        <v>57</v>
      </c>
      <c r="N97" s="51">
        <v>62</v>
      </c>
      <c r="O97" s="11">
        <v>55</v>
      </c>
      <c r="P97" s="10"/>
      <c r="Q97" s="40"/>
      <c r="R97" s="2">
        <v>84</v>
      </c>
      <c r="S97" s="10">
        <f>IF(T97="",R97,MAX((R97+$R$8)/$R$2,(T97+$T$8)/$T$2)*$R$2-$R$8)</f>
        <v>109.72228934598536</v>
      </c>
      <c r="T97" s="62">
        <v>162</v>
      </c>
      <c r="U97" s="10">
        <f>IF(A97&lt;&gt;"",SUM(B97:I97),"")</f>
        <v>172</v>
      </c>
      <c r="V97" s="10">
        <f>IF(A97&lt;&gt;"",SUM(J97:O97),"")</f>
        <v>293</v>
      </c>
      <c r="W97" s="10">
        <f>IF(A97&lt;&gt;"",SUM(P97:Q97),"")</f>
        <v>0</v>
      </c>
      <c r="X97" s="10">
        <f>IF(A97&lt;&gt;"",SUM(S97:T97),"")</f>
        <v>271.72228934598536</v>
      </c>
      <c r="Y97" s="12">
        <v>3</v>
      </c>
      <c r="Z97" s="12">
        <f>IF(A97&lt;&gt;"",SUM(U97:Y97),"")</f>
        <v>739.72228934598536</v>
      </c>
      <c r="AA97" s="27">
        <f>IF(A97&lt;&gt;"",(Z97+Normalize_To_Add)/(Point_Total_So_Far)*100,"")</f>
        <v>81.481902123730379</v>
      </c>
      <c r="AB97" s="10">
        <f>IF(A97&lt;&gt;"",RANK(AA97,All_Student_XC),"")</f>
        <v>190</v>
      </c>
      <c r="AC97" s="31" t="str">
        <f>IF(A97&lt;&gt;"",CHOOSE(10-MIN(9,TRUNC((AA97+0.5)/10)),"A","B","C","D","F","F","F","F","F","F"),"")</f>
        <v>B</v>
      </c>
      <c r="AD97" s="31" t="str">
        <f>IF(A97&lt;&gt;"",IF(OR(AA97+0.5&gt;=93,AA97+0.5&lt;60),"",IF(MOD(AA97+0.5,10)&gt;=7,"+",IF(MOD(AA97+0.5,10)&lt;3,"-",""))),"")</f>
        <v>-</v>
      </c>
      <c r="AE97" s="31">
        <f>IF(A97&lt;&gt;"",SUM(W97:X97,$W$8:$X$8)/SUM($W$2:$X$2)*100,"")</f>
        <v>69.363804247460763</v>
      </c>
      <c r="AF97" s="43" t="str">
        <f>IF(A97&lt;&gt;"",CHOOSE(10-MIN(9,TRUNC((AE97+0.5)/10)),"A","B","C","D","F","F","F","F","F","F"),"")</f>
        <v>D</v>
      </c>
      <c r="AG97" s="43" t="str">
        <f>IF(A97&lt;&gt;"",IF(OR(AE97+0.5&gt;=93,AE97+0.5&lt;60),"",IF(MOD(AE97+0.5,10)&gt;=7,"+",IF(MOD(AE97+0.5,10)&lt;3,"-",""))),"")</f>
        <v>+</v>
      </c>
      <c r="AH97" s="35">
        <f>IF(A97&lt;&gt;"",MIN(MAX(AA97,AE97),AA97+$AH$8,AE97+$AH$8),"")</f>
        <v>81.481902123730379</v>
      </c>
      <c r="AI97" s="31" t="str">
        <f>IF(A97&lt;&gt;"",CHOOSE(10-MIN(9,TRUNC((AH97+0.5)/10)),"A","B","C","D","F","F","F","F","F","F"),"")</f>
        <v>B</v>
      </c>
      <c r="AJ97" s="31" t="str">
        <f>IF(A97&lt;&gt;"",IF(OR(AH97+0.5&gt;=93,AH97+0.5&lt;60),"",IF(MOD(AH97+0.5,10)&gt;=7,"+",IF(MOD(AH97+0.5,10)&lt;3,"-",""))),"")</f>
        <v>-</v>
      </c>
      <c r="AK97" s="31" t="b">
        <f>IF(A97&lt;&gt;"",OR(AI97&lt;&gt;AC97,AJ97&lt;&gt;AD97),"")</f>
        <v>0</v>
      </c>
      <c r="AL97" s="81">
        <f>IF(AND(A97&lt;&gt;"",U97&gt;0),SUM(U97,$AL$8)/$AL$2*100,"")</f>
        <v>86</v>
      </c>
      <c r="AM97" s="24">
        <f>IF(AND(A97&lt;&gt;"",V97&gt;0),SUM(V97,$AM$8)/$AM$2*100,"")</f>
        <v>97.666666666666671</v>
      </c>
      <c r="AN97" s="24" t="str">
        <f>IF(AND(A97&lt;&gt;"",P97&lt;&gt;0),SUM(P97,$AN$8)/$AN$2*100,"")</f>
        <v/>
      </c>
      <c r="AO97" s="24" t="str">
        <f>IF(AND(A97&lt;&gt;"",Q97&lt;&gt;0),SUM(Q97,$AO$8)/$AO$2*100,"")</f>
        <v/>
      </c>
      <c r="AP97" s="24">
        <f>IF(AND(A97&lt;&gt;"",R97&lt;&gt;0),SUM(R97,$AP$8)/$AP$2*100,"")</f>
        <v>56.502659574468083</v>
      </c>
      <c r="AQ97" s="24" t="str">
        <f>IF(AND(A97&lt;&gt;"",W97&gt;0),SUM(W97,$AQ$8)/$AQ$2*100,"")</f>
        <v/>
      </c>
      <c r="AR97" s="24">
        <f>IF(AND(A97&lt;&gt;"",T97&gt;0),SUM(T97,$AR$8)/$AR$2*100,"")</f>
        <v>69.363804247460763</v>
      </c>
      <c r="AS97" s="24">
        <f>IF(AND(A97&lt;&gt;"",X97&lt;&gt;0),SUM(X97,$AS$8)/$AS$2*100,"")</f>
        <v>69.363804247460763</v>
      </c>
      <c r="AT97" s="86">
        <f>IF(A97&lt;&gt;"",SUM(W97:X97,$AT$8)/$AT$2*100,"")</f>
        <v>69.363804247460763</v>
      </c>
      <c r="AU97" s="24">
        <f>AA97</f>
        <v>81.481902123730379</v>
      </c>
      <c r="AV97" s="24"/>
      <c r="AW97" s="27">
        <f>IF(A97&lt;&gt;"",AE97-AA97,"")</f>
        <v>-12.118097876269616</v>
      </c>
      <c r="AY97" s="27">
        <f>AR97-AP97</f>
        <v>12.86114467299268</v>
      </c>
      <c r="AZ97" s="27">
        <f>ABS(AY97)</f>
        <v>12.86114467299268</v>
      </c>
    </row>
    <row r="98" spans="1:52" s="27" customFormat="1" ht="12.75" customHeight="1" x14ac:dyDescent="0.2">
      <c r="A98" s="50">
        <v>240740</v>
      </c>
      <c r="B98" s="2">
        <v>25</v>
      </c>
      <c r="C98" s="50">
        <v>23</v>
      </c>
      <c r="D98" s="10">
        <v>22</v>
      </c>
      <c r="E98" s="10">
        <v>23</v>
      </c>
      <c r="F98" s="10">
        <v>12</v>
      </c>
      <c r="G98" s="10">
        <v>25</v>
      </c>
      <c r="H98" s="10">
        <v>24</v>
      </c>
      <c r="I98" s="10">
        <v>21</v>
      </c>
      <c r="J98" s="2"/>
      <c r="K98" s="10">
        <v>62</v>
      </c>
      <c r="L98" s="10">
        <v>57</v>
      </c>
      <c r="M98" s="10">
        <v>30</v>
      </c>
      <c r="N98" s="51">
        <v>27</v>
      </c>
      <c r="O98" s="11">
        <v>60</v>
      </c>
      <c r="P98" s="10"/>
      <c r="Q98" s="40"/>
      <c r="R98" s="2">
        <v>133</v>
      </c>
      <c r="S98" s="10">
        <f>IF(T98="",R98,MAX((R98+$R$8)/$R$2,(T98+$T$8)/$T$2)*$R$2-$R$8)</f>
        <v>133</v>
      </c>
      <c r="T98" s="62">
        <v>182</v>
      </c>
      <c r="U98" s="10">
        <f>IF(A98&lt;&gt;"",SUM(B98:I98),"")</f>
        <v>175</v>
      </c>
      <c r="V98" s="10">
        <f>IF(A98&lt;&gt;"",SUM(J98:O98),"")</f>
        <v>236</v>
      </c>
      <c r="W98" s="10">
        <f>IF(A98&lt;&gt;"",SUM(P98:Q98),"")</f>
        <v>0</v>
      </c>
      <c r="X98" s="10">
        <f>IF(A98&lt;&gt;"",SUM(S98:T98),"")</f>
        <v>315</v>
      </c>
      <c r="Y98" s="12" t="s">
        <v>69</v>
      </c>
      <c r="Z98" s="12">
        <f>IF(A98&lt;&gt;"",SUM(U98:Y98),"")</f>
        <v>726</v>
      </c>
      <c r="AA98" s="27">
        <f>IF(A98&lt;&gt;"",(Z98+Normalize_To_Add)/(Point_Total_So_Far)*100,"")</f>
        <v>80.109673189131854</v>
      </c>
      <c r="AB98" s="10">
        <f>IF(A98&lt;&gt;"",RANK(AA98,All_Student_XC),"")</f>
        <v>207</v>
      </c>
      <c r="AC98" s="31" t="str">
        <f>IF(A98&lt;&gt;"",CHOOSE(10-MIN(9,TRUNC((AA98+0.5)/10)),"A","B","C","D","F","F","F","F","F","F"),"")</f>
        <v>B</v>
      </c>
      <c r="AD98" s="31" t="str">
        <f>IF(A98&lt;&gt;"",IF(OR(AA98+0.5&gt;=93,AA98+0.5&lt;60),"",IF(MOD(AA98+0.5,10)&gt;=7,"+",IF(MOD(AA98+0.5,10)&lt;3,"-",""))),"")</f>
        <v>-</v>
      </c>
      <c r="AE98" s="31">
        <f>IF(A98&lt;&gt;"",SUM(W98:X98,$W$8:$X$8)/SUM($W$2:$X$2)*100,"")</f>
        <v>78.019346378263691</v>
      </c>
      <c r="AF98" s="43" t="str">
        <f>IF(A98&lt;&gt;"",CHOOSE(10-MIN(9,TRUNC((AE98+0.5)/10)),"A","B","C","D","F","F","F","F","F","F"),"")</f>
        <v>C</v>
      </c>
      <c r="AG98" s="43" t="str">
        <f>IF(A98&lt;&gt;"",IF(OR(AE98+0.5&gt;=93,AE98+0.5&lt;60),"",IF(MOD(AE98+0.5,10)&gt;=7,"+",IF(MOD(AE98+0.5,10)&lt;3,"-",""))),"")</f>
        <v>+</v>
      </c>
      <c r="AH98" s="35">
        <f>IF(A98&lt;&gt;"",MIN(MAX(AA98,AE98),AA98+$AH$8,AE98+$AH$8),"")</f>
        <v>80.109673189131854</v>
      </c>
      <c r="AI98" s="31" t="str">
        <f>IF(A98&lt;&gt;"",CHOOSE(10-MIN(9,TRUNC((AH98+0.5)/10)),"A","B","C","D","F","F","F","F","F","F"),"")</f>
        <v>B</v>
      </c>
      <c r="AJ98" s="31" t="str">
        <f>IF(A98&lt;&gt;"",IF(OR(AH98+0.5&gt;=93,AH98+0.5&lt;60),"",IF(MOD(AH98+0.5,10)&gt;=7,"+",IF(MOD(AH98+0.5,10)&lt;3,"-",""))),"")</f>
        <v>-</v>
      </c>
      <c r="AK98" s="31" t="b">
        <f>IF(A98&lt;&gt;"",OR(AI98&lt;&gt;AC98,AJ98&lt;&gt;AD98),"")</f>
        <v>0</v>
      </c>
      <c r="AL98" s="81">
        <f>IF(AND(A98&lt;&gt;"",U98&gt;0),SUM(U98,$AL$8)/$AL$2*100,"")</f>
        <v>87.5</v>
      </c>
      <c r="AM98" s="24">
        <f>IF(AND(A98&lt;&gt;"",V98&gt;0),SUM(V98,$AM$8)/$AM$2*100,"")</f>
        <v>78.666666666666657</v>
      </c>
      <c r="AN98" s="24" t="str">
        <f>IF(AND(A98&lt;&gt;"",P98&lt;&gt;0),SUM(P98,$AN$8)/$AN$2*100,"")</f>
        <v/>
      </c>
      <c r="AO98" s="24" t="str">
        <f>IF(AND(A98&lt;&gt;"",Q98&lt;&gt;0),SUM(Q98,$AO$8)/$AO$2*100,"")</f>
        <v/>
      </c>
      <c r="AP98" s="24">
        <f>IF(AND(A98&lt;&gt;"",R98&lt;&gt;0),SUM(R98,$AP$8)/$AP$2*100,"")</f>
        <v>81.002659574468083</v>
      </c>
      <c r="AQ98" s="24" t="str">
        <f>IF(AND(A98&lt;&gt;"",W98&gt;0),SUM(W98,$AQ$8)/$AQ$2*100,"")</f>
        <v/>
      </c>
      <c r="AR98" s="24">
        <f>IF(AND(A98&lt;&gt;"",T98&gt;0),SUM(T98,$AR$8)/$AR$2*100,"")</f>
        <v>76.03047091412742</v>
      </c>
      <c r="AS98" s="24">
        <f>IF(AND(A98&lt;&gt;"",X98&lt;&gt;0),SUM(X98,$AS$8)/$AS$2*100,"")</f>
        <v>78.019346378263691</v>
      </c>
      <c r="AT98" s="86">
        <f>IF(A98&lt;&gt;"",SUM(W98:X98,$AT$8)/$AT$2*100,"")</f>
        <v>78.019346378263691</v>
      </c>
      <c r="AU98" s="24">
        <f>AA98</f>
        <v>80.109673189131854</v>
      </c>
      <c r="AV98" s="24"/>
      <c r="AW98" s="27">
        <f>IF(A98&lt;&gt;"",AE98-AA98,"")</f>
        <v>-2.090326810868163</v>
      </c>
      <c r="AY98" s="27">
        <f>AR98-AP98</f>
        <v>-4.9721886603406631</v>
      </c>
      <c r="AZ98" s="27">
        <f>ABS(AY98)</f>
        <v>4.9721886603406631</v>
      </c>
    </row>
    <row r="99" spans="1:52" s="27" customFormat="1" ht="12.75" customHeight="1" x14ac:dyDescent="0.2">
      <c r="A99" s="10">
        <v>242476</v>
      </c>
      <c r="B99" s="2">
        <v>25</v>
      </c>
      <c r="C99" s="10">
        <v>21</v>
      </c>
      <c r="D99" s="10">
        <v>23</v>
      </c>
      <c r="E99" s="10">
        <v>25</v>
      </c>
      <c r="F99" s="10">
        <v>23</v>
      </c>
      <c r="G99" s="10">
        <v>25</v>
      </c>
      <c r="H99" s="10">
        <v>25</v>
      </c>
      <c r="I99" s="10">
        <v>18</v>
      </c>
      <c r="J99" s="2"/>
      <c r="K99" s="10">
        <v>62</v>
      </c>
      <c r="L99" s="10">
        <v>59</v>
      </c>
      <c r="M99" s="10">
        <v>61</v>
      </c>
      <c r="N99" s="51">
        <v>60</v>
      </c>
      <c r="O99" s="11">
        <v>62</v>
      </c>
      <c r="P99" s="10"/>
      <c r="Q99" s="40"/>
      <c r="R99" s="2">
        <v>130</v>
      </c>
      <c r="S99" s="10">
        <f>IF(T99="",R99,MAX((R99+$R$8)/$R$2,(T99+$T$8)/$T$2)*$R$2-$R$8)</f>
        <v>169.05562267931867</v>
      </c>
      <c r="T99" s="12">
        <v>251</v>
      </c>
      <c r="U99" s="34">
        <f>IF(A99&lt;&gt;"",SUM(B99:I99),"")</f>
        <v>185</v>
      </c>
      <c r="V99" s="10">
        <f>IF(A99&lt;&gt;"",SUM(J99:O99),"")</f>
        <v>304</v>
      </c>
      <c r="W99" s="10">
        <f>IF(A99&lt;&gt;"",SUM(P99:Q99),"")</f>
        <v>0</v>
      </c>
      <c r="X99" s="10">
        <f>IF(A99&lt;&gt;"",SUM(S99:T99),"")</f>
        <v>420.05562267931867</v>
      </c>
      <c r="Y99" s="12">
        <v>3</v>
      </c>
      <c r="Z99" s="12">
        <f>IF(A99&lt;&gt;"",SUM(U99:Y99),"")</f>
        <v>912.05562267931873</v>
      </c>
      <c r="AA99" s="27">
        <f>IF(A99&lt;&gt;"",(Z99+Normalize_To_Add)/(Point_Total_So_Far)*100,"")</f>
        <v>98.715235457063713</v>
      </c>
      <c r="AB99" s="10">
        <f>IF(A99&lt;&gt;"",RANK(AA99,All_Student_XC),"")</f>
        <v>11</v>
      </c>
      <c r="AC99" s="31" t="str">
        <f>IF(A99&lt;&gt;"",CHOOSE(10-MIN(9,TRUNC((AA99+0.5)/10)),"A","B","C","D","F","F","F","F","F","F"),"")</f>
        <v>A</v>
      </c>
      <c r="AD99" s="31" t="str">
        <f>IF(A99&lt;&gt;"",IF(OR(AA99+0.5&gt;=93,AA99+0.5&lt;60),"",IF(MOD(AA99+0.5,10)&gt;=7,"+",IF(MOD(AA99+0.5,10)&lt;3,"-",""))),"")</f>
        <v/>
      </c>
      <c r="AE99" s="31">
        <f>IF(A99&lt;&gt;"",SUM(W99:X99,$W$8:$X$8)/SUM($W$2:$X$2)*100,"")</f>
        <v>99.03047091412742</v>
      </c>
      <c r="AF99" s="31" t="str">
        <f>IF(A99&lt;&gt;"",CHOOSE(10-MIN(9,TRUNC((AE99+0.5)/10)),"A","B","C","D","F","F","F","F","F","F"),"")</f>
        <v>A</v>
      </c>
      <c r="AG99" s="31" t="str">
        <f>IF(A99&lt;&gt;"",IF(OR(AE99+0.5&gt;=93,AE99+0.5&lt;60),"",IF(MOD(AE99+0.5,10)&gt;=7,"+",IF(MOD(AE99+0.5,10)&lt;3,"-",""))),"")</f>
        <v/>
      </c>
      <c r="AH99" s="35">
        <f>IF(A99&lt;&gt;"",MIN(MAX(AA99,AE99),AA99+$AH$8,AE99+$AH$8),"")</f>
        <v>99.03047091412742</v>
      </c>
      <c r="AI99" s="31" t="str">
        <f>IF(A99&lt;&gt;"",CHOOSE(10-MIN(9,TRUNC((AH99+0.5)/10)),"A","B","C","D","F","F","F","F","F","F"),"")</f>
        <v>A</v>
      </c>
      <c r="AJ99" s="31" t="str">
        <f>IF(A99&lt;&gt;"",IF(OR(AH99+0.5&gt;=93,AH99+0.5&lt;60),"",IF(MOD(AH99+0.5,10)&gt;=7,"+",IF(MOD(AH99+0.5,10)&lt;3,"-",""))),"")</f>
        <v/>
      </c>
      <c r="AK99" s="31" t="b">
        <f>IF(A99&lt;&gt;"",OR(AI99&lt;&gt;AC99,AJ99&lt;&gt;AD99),"")</f>
        <v>0</v>
      </c>
      <c r="AL99" s="81">
        <f>IF(AND(A99&lt;&gt;"",U99&gt;0),SUM(U99,$AL$8)/$AL$2*100,"")</f>
        <v>92.5</v>
      </c>
      <c r="AM99" s="24">
        <f>IF(AND(A99&lt;&gt;"",V99&gt;0),SUM(V99,$AM$8)/$AM$2*100,"")</f>
        <v>101.33333333333334</v>
      </c>
      <c r="AN99" s="24" t="str">
        <f>IF(AND(A99&lt;&gt;"",P99&lt;&gt;0),SUM(P99,$AN$8)/$AN$2*100,"")</f>
        <v/>
      </c>
      <c r="AO99" s="24" t="str">
        <f>IF(AND(A99&lt;&gt;"",Q99&lt;&gt;0),SUM(Q99,$AO$8)/$AO$2*100,"")</f>
        <v/>
      </c>
      <c r="AP99" s="24">
        <f>IF(AND(A99&lt;&gt;"",R99&lt;&gt;0),SUM(R99,$AP$8)/$AP$2*100,"")</f>
        <v>79.502659574468083</v>
      </c>
      <c r="AQ99" s="24" t="str">
        <f>IF(AND(A99&lt;&gt;"",W99&gt;0),SUM(W99,$AQ$8)/$AQ$2*100,"")</f>
        <v/>
      </c>
      <c r="AR99" s="24">
        <f>IF(AND(A99&lt;&gt;"",T99&gt;0),SUM(T99,$AR$8)/$AR$2*100,"")</f>
        <v>99.03047091412742</v>
      </c>
      <c r="AS99" s="24">
        <f>IF(AND(A99&lt;&gt;"",X99&lt;&gt;0),SUM(X99,$AS$8)/$AS$2*100,"")</f>
        <v>99.03047091412742</v>
      </c>
      <c r="AT99" s="86">
        <f>IF(A99&lt;&gt;"",SUM(W99:X99,$AT$8)/$AT$2*100,"")</f>
        <v>99.03047091412742</v>
      </c>
      <c r="AU99" s="24">
        <f>AA99</f>
        <v>98.715235457063713</v>
      </c>
      <c r="AV99" s="24"/>
      <c r="AW99" s="27">
        <f>IF(A99&lt;&gt;"",AE99-AA99,"")</f>
        <v>0.31523545706370726</v>
      </c>
      <c r="AY99" s="27">
        <f>AR99-AP99</f>
        <v>19.527811339659337</v>
      </c>
      <c r="AZ99" s="27">
        <f>ABS(AY99)</f>
        <v>19.527811339659337</v>
      </c>
    </row>
    <row r="100" spans="1:52" s="27" customFormat="1" ht="12.75" customHeight="1" x14ac:dyDescent="0.2">
      <c r="A100" s="10">
        <v>243724</v>
      </c>
      <c r="B100" s="2">
        <v>25</v>
      </c>
      <c r="C100" s="10">
        <v>25</v>
      </c>
      <c r="D100" s="10">
        <v>20</v>
      </c>
      <c r="E100" s="10">
        <v>24</v>
      </c>
      <c r="F100" s="10">
        <v>8</v>
      </c>
      <c r="G100" s="10">
        <v>25</v>
      </c>
      <c r="H100" s="10">
        <v>14</v>
      </c>
      <c r="I100" s="10">
        <v>23</v>
      </c>
      <c r="J100" s="2"/>
      <c r="K100" s="10">
        <v>49</v>
      </c>
      <c r="L100" s="10">
        <v>15</v>
      </c>
      <c r="M100" s="10">
        <v>37</v>
      </c>
      <c r="N100" s="51">
        <v>36</v>
      </c>
      <c r="O100" s="11">
        <v>14</v>
      </c>
      <c r="P100" s="10"/>
      <c r="Q100" s="40"/>
      <c r="R100" s="2">
        <v>136</v>
      </c>
      <c r="S100" s="10">
        <f>IF(T100="",R100,MAX((R100+$R$8)/$R$2,(T100+$T$8)/$T$2)*$R$2-$R$8)</f>
        <v>136</v>
      </c>
      <c r="T100" s="12">
        <v>155</v>
      </c>
      <c r="U100" s="7">
        <f>IF(A100&lt;&gt;"",SUM(B100:I100),"")</f>
        <v>164</v>
      </c>
      <c r="V100" s="10">
        <f>IF(A100&lt;&gt;"",SUM(J100:O100),"")</f>
        <v>151</v>
      </c>
      <c r="W100" s="10">
        <f>IF(A100&lt;&gt;"",SUM(P100:Q100),"")</f>
        <v>0</v>
      </c>
      <c r="X100" s="10">
        <f>IF(A100&lt;&gt;"",SUM(S100:T100),"")</f>
        <v>291</v>
      </c>
      <c r="Y100" s="12">
        <v>3</v>
      </c>
      <c r="Z100" s="12">
        <f>IF(A100&lt;&gt;"",SUM(U100:Y100),"")</f>
        <v>609</v>
      </c>
      <c r="AA100" s="27">
        <f>IF(A100&lt;&gt;"",(Z100+Normalize_To_Add)/(Point_Total_So_Far)*100,"")</f>
        <v>68.409673189131851</v>
      </c>
      <c r="AB100" s="10">
        <f>IF(A100&lt;&gt;"",RANK(AA100,All_Student_XC),"")</f>
        <v>327</v>
      </c>
      <c r="AC100" s="31" t="str">
        <f>IF(A100&lt;&gt;"",CHOOSE(10-MIN(9,TRUNC((AA100+0.5)/10)),"A","B","C","D","F","F","F","F","F","F"),"")</f>
        <v>D</v>
      </c>
      <c r="AD100" s="31" t="str">
        <f>IF(A100&lt;&gt;"",IF(OR(AA100+0.5&gt;=93,AA100+0.5&lt;60),"",IF(MOD(AA100+0.5,10)&gt;=7,"+",IF(MOD(AA100+0.5,10)&lt;3,"-",""))),"")</f>
        <v>+</v>
      </c>
      <c r="AE100" s="31">
        <f>IF(A100&lt;&gt;"",SUM(W100:X100,$W$8:$X$8)/SUM($W$2:$X$2)*100,"")</f>
        <v>73.21934637826368</v>
      </c>
      <c r="AF100" s="43" t="str">
        <f>IF(A100&lt;&gt;"",CHOOSE(10-MIN(9,TRUNC((AE100+0.5)/10)),"A","B","C","D","F","F","F","F","F","F"),"")</f>
        <v>C</v>
      </c>
      <c r="AG100" s="43" t="str">
        <f>IF(A100&lt;&gt;"",IF(OR(AE100+0.5&gt;=93,AE100+0.5&lt;60),"",IF(MOD(AE100+0.5,10)&gt;=7,"+",IF(MOD(AE100+0.5,10)&lt;3,"-",""))),"")</f>
        <v/>
      </c>
      <c r="AH100" s="35">
        <f>IF(A100&lt;&gt;"",MIN(MAX(AA100,AE100),AA100+$AH$8,AE100+$AH$8),"")</f>
        <v>73.21934637826368</v>
      </c>
      <c r="AI100" s="31" t="str">
        <f>IF(A100&lt;&gt;"",CHOOSE(10-MIN(9,TRUNC((AH100+0.5)/10)),"A","B","C","D","F","F","F","F","F","F"),"")</f>
        <v>C</v>
      </c>
      <c r="AJ100" s="31" t="str">
        <f>IF(A100&lt;&gt;"",IF(OR(AH100+0.5&gt;=93,AH100+0.5&lt;60),"",IF(MOD(AH100+0.5,10)&gt;=7,"+",IF(MOD(AH100+0.5,10)&lt;3,"-",""))),"")</f>
        <v/>
      </c>
      <c r="AK100" s="31" t="b">
        <f>IF(A100&lt;&gt;"",OR(AI100&lt;&gt;AC100,AJ100&lt;&gt;AD100),"")</f>
        <v>1</v>
      </c>
      <c r="AL100" s="81">
        <f>IF(AND(A100&lt;&gt;"",U100&gt;0),SUM(U100,$AL$8)/$AL$2*100,"")</f>
        <v>82</v>
      </c>
      <c r="AM100" s="24">
        <f>IF(AND(A100&lt;&gt;"",V100&gt;0),SUM(V100,$AM$8)/$AM$2*100,"")</f>
        <v>50.333333333333329</v>
      </c>
      <c r="AN100" s="24" t="str">
        <f>IF(AND(A100&lt;&gt;"",P100&lt;&gt;0),SUM(P100,$AN$8)/$AN$2*100,"")</f>
        <v/>
      </c>
      <c r="AO100" s="24" t="str">
        <f>IF(AND(A100&lt;&gt;"",Q100&lt;&gt;0),SUM(Q100,$AO$8)/$AO$2*100,"")</f>
        <v/>
      </c>
      <c r="AP100" s="24">
        <f>IF(AND(A100&lt;&gt;"",R100&lt;&gt;0),SUM(R100,$AP$8)/$AP$2*100,"")</f>
        <v>82.502659574468083</v>
      </c>
      <c r="AQ100" s="24" t="str">
        <f>IF(AND(A100&lt;&gt;"",W100&gt;0),SUM(W100,$AQ$8)/$AQ$2*100,"")</f>
        <v/>
      </c>
      <c r="AR100" s="24">
        <f>IF(AND(A100&lt;&gt;"",T100&gt;0),SUM(T100,$AR$8)/$AR$2*100,"")</f>
        <v>67.03047091412742</v>
      </c>
      <c r="AS100" s="24">
        <f>IF(AND(A100&lt;&gt;"",X100&lt;&gt;0),SUM(X100,$AS$8)/$AS$2*100,"")</f>
        <v>73.21934637826368</v>
      </c>
      <c r="AT100" s="86">
        <f>IF(A100&lt;&gt;"",SUM(W100:X100,$AT$8)/$AT$2*100,"")</f>
        <v>73.21934637826368</v>
      </c>
      <c r="AU100" s="24">
        <f>AA100</f>
        <v>68.409673189131851</v>
      </c>
      <c r="AV100" s="24"/>
      <c r="AW100" s="27">
        <f>IF(A100&lt;&gt;"",AE100-AA100,"")</f>
        <v>4.8096731891318285</v>
      </c>
      <c r="AY100" s="27">
        <f>AR100-AP100</f>
        <v>-15.472188660340663</v>
      </c>
      <c r="AZ100" s="27">
        <f>ABS(AY100)</f>
        <v>15.472188660340663</v>
      </c>
    </row>
    <row r="101" spans="1:52" s="27" customFormat="1" ht="12.75" customHeight="1" x14ac:dyDescent="0.2">
      <c r="A101" s="10">
        <v>247280</v>
      </c>
      <c r="B101" s="2">
        <v>23</v>
      </c>
      <c r="C101" s="10">
        <v>25</v>
      </c>
      <c r="D101" s="10">
        <v>24</v>
      </c>
      <c r="E101" s="10">
        <v>20</v>
      </c>
      <c r="F101" s="10">
        <v>24</v>
      </c>
      <c r="G101" s="10">
        <v>25</v>
      </c>
      <c r="H101" s="10">
        <v>14</v>
      </c>
      <c r="I101" s="10">
        <v>25</v>
      </c>
      <c r="J101" s="2"/>
      <c r="K101" s="10">
        <v>52</v>
      </c>
      <c r="L101" s="10">
        <v>58</v>
      </c>
      <c r="M101" s="10">
        <v>62</v>
      </c>
      <c r="N101" s="51">
        <v>58</v>
      </c>
      <c r="O101" s="11">
        <v>62</v>
      </c>
      <c r="P101" s="10"/>
      <c r="Q101" s="40"/>
      <c r="R101" s="2">
        <v>163</v>
      </c>
      <c r="S101" s="10">
        <f>IF(T101="",R101,MAX((R101+$R$8)/$R$2,(T101+$T$8)/$T$2)*$R$2-$R$8)</f>
        <v>163</v>
      </c>
      <c r="T101" s="12">
        <v>226</v>
      </c>
      <c r="U101" s="7">
        <f>IF(A101&lt;&gt;"",SUM(B101:I101),"")</f>
        <v>180</v>
      </c>
      <c r="V101" s="10">
        <f>IF(A101&lt;&gt;"",SUM(J101:O101),"")</f>
        <v>292</v>
      </c>
      <c r="W101" s="10">
        <f>IF(A101&lt;&gt;"",SUM(P101:Q101),"")</f>
        <v>0</v>
      </c>
      <c r="X101" s="10">
        <f>IF(A101&lt;&gt;"",SUM(S101:T101),"")</f>
        <v>389</v>
      </c>
      <c r="Y101" s="12">
        <v>3</v>
      </c>
      <c r="Z101" s="12">
        <f>IF(A101&lt;&gt;"",SUM(U101:Y101),"")</f>
        <v>864</v>
      </c>
      <c r="AA101" s="27">
        <f>IF(A101&lt;&gt;"",(Z101+Normalize_To_Add)/(Point_Total_So_Far)*100,"")</f>
        <v>93.909673189131851</v>
      </c>
      <c r="AB101" s="10">
        <f>IF(A101&lt;&gt;"",RANK(AA101,All_Student_XC),"")</f>
        <v>43</v>
      </c>
      <c r="AC101" s="31" t="str">
        <f>IF(A101&lt;&gt;"",CHOOSE(10-MIN(9,TRUNC((AA101+0.5)/10)),"A","B","C","D","F","F","F","F","F","F"),"")</f>
        <v>A</v>
      </c>
      <c r="AD101" s="31" t="str">
        <f>IF(A101&lt;&gt;"",IF(OR(AA101+0.5&gt;=93,AA101+0.5&lt;60),"",IF(MOD(AA101+0.5,10)&gt;=7,"+",IF(MOD(AA101+0.5,10)&lt;3,"-",""))),"")</f>
        <v/>
      </c>
      <c r="AE101" s="31">
        <f>IF(A101&lt;&gt;"",SUM(W101:X101,$W$8:$X$8)/SUM($W$2:$X$2)*100,"")</f>
        <v>92.819346378263688</v>
      </c>
      <c r="AF101" s="31" t="str">
        <f>IF(A101&lt;&gt;"",CHOOSE(10-MIN(9,TRUNC((AE101+0.5)/10)),"A","B","C","D","F","F","F","F","F","F"),"")</f>
        <v>A</v>
      </c>
      <c r="AG101" s="31" t="str">
        <f>IF(A101&lt;&gt;"",IF(OR(AE101+0.5&gt;=93,AE101+0.5&lt;60),"",IF(MOD(AE101+0.5,10)&gt;=7,"+",IF(MOD(AE101+0.5,10)&lt;3,"-",""))),"")</f>
        <v/>
      </c>
      <c r="AH101" s="35">
        <f>IF(A101&lt;&gt;"",MIN(MAX(AA101,AE101),AA101+$AH$8,AE101+$AH$8),"")</f>
        <v>93.909673189131851</v>
      </c>
      <c r="AI101" s="31" t="str">
        <f>IF(A101&lt;&gt;"",CHOOSE(10-MIN(9,TRUNC((AH101+0.5)/10)),"A","B","C","D","F","F","F","F","F","F"),"")</f>
        <v>A</v>
      </c>
      <c r="AJ101" s="31" t="str">
        <f>IF(A101&lt;&gt;"",IF(OR(AH101+0.5&gt;=93,AH101+0.5&lt;60),"",IF(MOD(AH101+0.5,10)&gt;=7,"+",IF(MOD(AH101+0.5,10)&lt;3,"-",""))),"")</f>
        <v/>
      </c>
      <c r="AK101" s="31" t="b">
        <f>IF(A101&lt;&gt;"",OR(AI101&lt;&gt;AC101,AJ101&lt;&gt;AD101),"")</f>
        <v>0</v>
      </c>
      <c r="AL101" s="81">
        <f>IF(AND(A101&lt;&gt;"",U101&gt;0),SUM(U101,$AL$8)/$AL$2*100,"")</f>
        <v>90</v>
      </c>
      <c r="AM101" s="24">
        <f>IF(AND(A101&lt;&gt;"",V101&gt;0),SUM(V101,$AM$8)/$AM$2*100,"")</f>
        <v>97.333333333333343</v>
      </c>
      <c r="AN101" s="24" t="str">
        <f>IF(AND(A101&lt;&gt;"",P101&lt;&gt;0),SUM(P101,$AN$8)/$AN$2*100,"")</f>
        <v/>
      </c>
      <c r="AO101" s="24" t="str">
        <f>IF(AND(A101&lt;&gt;"",Q101&lt;&gt;0),SUM(Q101,$AO$8)/$AO$2*100,"")</f>
        <v/>
      </c>
      <c r="AP101" s="24">
        <f>IF(AND(A101&lt;&gt;"",R101&lt;&gt;0),SUM(R101,$AP$8)/$AP$2*100,"")</f>
        <v>96.002659574468083</v>
      </c>
      <c r="AQ101" s="24" t="str">
        <f>IF(AND(A101&lt;&gt;"",W101&gt;0),SUM(W101,$AQ$8)/$AQ$2*100,"")</f>
        <v/>
      </c>
      <c r="AR101" s="24">
        <f>IF(AND(A101&lt;&gt;"",T101&gt;0),SUM(T101,$AR$8)/$AR$2*100,"")</f>
        <v>90.697137580794092</v>
      </c>
      <c r="AS101" s="24">
        <f>IF(AND(A101&lt;&gt;"",X101&lt;&gt;0),SUM(X101,$AS$8)/$AS$2*100,"")</f>
        <v>92.819346378263688</v>
      </c>
      <c r="AT101" s="86">
        <f>IF(A101&lt;&gt;"",SUM(W101:X101,$AT$8)/$AT$2*100,"")</f>
        <v>92.819346378263688</v>
      </c>
      <c r="AU101" s="24">
        <f>AA101</f>
        <v>93.909673189131851</v>
      </c>
      <c r="AV101" s="24"/>
      <c r="AW101" s="27">
        <f>IF(A101&lt;&gt;"",AE101-AA101,"")</f>
        <v>-1.090326810868163</v>
      </c>
      <c r="AY101" s="27">
        <f>AR101-AP101</f>
        <v>-5.3055219936739917</v>
      </c>
      <c r="AZ101" s="27">
        <f>ABS(AY101)</f>
        <v>5.3055219936739917</v>
      </c>
    </row>
    <row r="102" spans="1:52" s="27" customFormat="1" ht="12.75" customHeight="1" x14ac:dyDescent="0.2">
      <c r="A102" s="10">
        <v>247382</v>
      </c>
      <c r="B102" s="2">
        <v>25</v>
      </c>
      <c r="C102" s="10">
        <v>23</v>
      </c>
      <c r="D102" s="10">
        <v>20</v>
      </c>
      <c r="E102" s="10">
        <v>24</v>
      </c>
      <c r="F102" s="10">
        <v>20</v>
      </c>
      <c r="G102" s="10">
        <v>25</v>
      </c>
      <c r="H102" s="10">
        <v>20</v>
      </c>
      <c r="I102" s="10">
        <v>25</v>
      </c>
      <c r="J102" s="2"/>
      <c r="K102" s="10">
        <v>48</v>
      </c>
      <c r="L102" s="10">
        <v>44</v>
      </c>
      <c r="M102" s="10">
        <v>36</v>
      </c>
      <c r="N102" s="51">
        <v>13</v>
      </c>
      <c r="O102" s="11">
        <v>45</v>
      </c>
      <c r="P102" s="10"/>
      <c r="Q102" s="40"/>
      <c r="R102" s="2">
        <v>138</v>
      </c>
      <c r="S102" s="10">
        <f>IF(T102="",R102,MAX((R102+$R$8)/$R$2,(T102+$T$8)/$T$2)*$R$2-$R$8)</f>
        <v>138</v>
      </c>
      <c r="T102" s="12">
        <v>147</v>
      </c>
      <c r="U102" s="34">
        <f>IF(A102&lt;&gt;"",SUM(B102:I102),"")</f>
        <v>182</v>
      </c>
      <c r="V102" s="10">
        <f>IF(A102&lt;&gt;"",SUM(J102:O102),"")</f>
        <v>186</v>
      </c>
      <c r="W102" s="10">
        <f>IF(A102&lt;&gt;"",SUM(P102:Q102),"")</f>
        <v>0</v>
      </c>
      <c r="X102" s="10">
        <f>IF(A102&lt;&gt;"",SUM(S102:T102),"")</f>
        <v>285</v>
      </c>
      <c r="Y102" s="12" t="s">
        <v>69</v>
      </c>
      <c r="Z102" s="12">
        <f>IF(A102&lt;&gt;"",SUM(U102:Y102),"")</f>
        <v>653</v>
      </c>
      <c r="AA102" s="27">
        <f>IF(A102&lt;&gt;"",(Z102+Normalize_To_Add)/(Point_Total_So_Far)*100,"")</f>
        <v>72.809673189131843</v>
      </c>
      <c r="AB102" s="10">
        <f>IF(A102&lt;&gt;"",RANK(AA102,All_Student_XC),"")</f>
        <v>289</v>
      </c>
      <c r="AC102" s="31" t="str">
        <f>IF(A102&lt;&gt;"",CHOOSE(10-MIN(9,TRUNC((AA102+0.5)/10)),"A","B","C","D","F","F","F","F","F","F"),"")</f>
        <v>C</v>
      </c>
      <c r="AD102" s="31" t="str">
        <f>IF(A102&lt;&gt;"",IF(OR(AA102+0.5&gt;=93,AA102+0.5&lt;60),"",IF(MOD(AA102+0.5,10)&gt;=7,"+",IF(MOD(AA102+0.5,10)&lt;3,"-",""))),"")</f>
        <v/>
      </c>
      <c r="AE102" s="31">
        <f>IF(A102&lt;&gt;"",SUM(W102:X102,$W$8:$X$8)/SUM($W$2:$X$2)*100,"")</f>
        <v>72.019346378263677</v>
      </c>
      <c r="AF102" s="31" t="str">
        <f>IF(A102&lt;&gt;"",CHOOSE(10-MIN(9,TRUNC((AE102+0.5)/10)),"A","B","C","D","F","F","F","F","F","F"),"")</f>
        <v>C</v>
      </c>
      <c r="AG102" s="31" t="str">
        <f>IF(A102&lt;&gt;"",IF(OR(AE102+0.5&gt;=93,AE102+0.5&lt;60),"",IF(MOD(AE102+0.5,10)&gt;=7,"+",IF(MOD(AE102+0.5,10)&lt;3,"-",""))),"")</f>
        <v>-</v>
      </c>
      <c r="AH102" s="35">
        <f>IF(A102&lt;&gt;"",MIN(MAX(AA102,AE102),AA102+$AH$8,AE102+$AH$8),"")</f>
        <v>72.809673189131843</v>
      </c>
      <c r="AI102" s="31" t="str">
        <f>IF(A102&lt;&gt;"",CHOOSE(10-MIN(9,TRUNC((AH102+0.5)/10)),"A","B","C","D","F","F","F","F","F","F"),"")</f>
        <v>C</v>
      </c>
      <c r="AJ102" s="31" t="str">
        <f>IF(A102&lt;&gt;"",IF(OR(AH102+0.5&gt;=93,AH102+0.5&lt;60),"",IF(MOD(AH102+0.5,10)&gt;=7,"+",IF(MOD(AH102+0.5,10)&lt;3,"-",""))),"")</f>
        <v/>
      </c>
      <c r="AK102" s="31" t="b">
        <f>IF(A102&lt;&gt;"",OR(AI102&lt;&gt;AC102,AJ102&lt;&gt;AD102),"")</f>
        <v>0</v>
      </c>
      <c r="AL102" s="81">
        <f>IF(AND(A102&lt;&gt;"",U102&gt;0),SUM(U102,$AL$8)/$AL$2*100,"")</f>
        <v>91</v>
      </c>
      <c r="AM102" s="24">
        <f>IF(AND(A102&lt;&gt;"",V102&gt;0),SUM(V102,$AM$8)/$AM$2*100,"")</f>
        <v>62</v>
      </c>
      <c r="AN102" s="24" t="str">
        <f>IF(AND(A102&lt;&gt;"",P102&lt;&gt;0),SUM(P102,$AN$8)/$AN$2*100,"")</f>
        <v/>
      </c>
      <c r="AO102" s="24" t="str">
        <f>IF(AND(A102&lt;&gt;"",Q102&lt;&gt;0),SUM(Q102,$AO$8)/$AO$2*100,"")</f>
        <v/>
      </c>
      <c r="AP102" s="24">
        <f>IF(AND(A102&lt;&gt;"",R102&lt;&gt;0),SUM(R102,$AP$8)/$AP$2*100,"")</f>
        <v>83.502659574468083</v>
      </c>
      <c r="AQ102" s="24" t="str">
        <f>IF(AND(A102&lt;&gt;"",W102&gt;0),SUM(W102,$AQ$8)/$AQ$2*100,"")</f>
        <v/>
      </c>
      <c r="AR102" s="24">
        <f>IF(AND(A102&lt;&gt;"",T102&gt;0),SUM(T102,$AR$8)/$AR$2*100,"")</f>
        <v>64.363804247460749</v>
      </c>
      <c r="AS102" s="24">
        <f>IF(AND(A102&lt;&gt;"",X102&lt;&gt;0),SUM(X102,$AS$8)/$AS$2*100,"")</f>
        <v>72.019346378263677</v>
      </c>
      <c r="AT102" s="86">
        <f>IF(A102&lt;&gt;"",SUM(W102:X102,$AT$8)/$AT$2*100,"")</f>
        <v>72.019346378263677</v>
      </c>
      <c r="AU102" s="24">
        <f>AA102</f>
        <v>72.809673189131843</v>
      </c>
      <c r="AV102" s="24"/>
      <c r="AW102" s="27">
        <f>IF(A102&lt;&gt;"",AE102-AA102,"")</f>
        <v>-0.79032681086816581</v>
      </c>
      <c r="AY102" s="27">
        <f>AR102-AP102</f>
        <v>-19.138855327007334</v>
      </c>
      <c r="AZ102" s="27">
        <f>ABS(AY102)</f>
        <v>19.138855327007334</v>
      </c>
    </row>
    <row r="103" spans="1:52" s="27" customFormat="1" ht="12.75" customHeight="1" x14ac:dyDescent="0.2">
      <c r="A103" s="50">
        <v>247406</v>
      </c>
      <c r="B103" s="2">
        <v>25</v>
      </c>
      <c r="C103" s="50">
        <v>25</v>
      </c>
      <c r="D103" s="10">
        <v>24</v>
      </c>
      <c r="E103" s="10">
        <v>23</v>
      </c>
      <c r="F103" s="10">
        <v>21</v>
      </c>
      <c r="G103" s="10">
        <v>25</v>
      </c>
      <c r="H103" s="10">
        <v>24</v>
      </c>
      <c r="I103" s="10">
        <v>25</v>
      </c>
      <c r="J103" s="2"/>
      <c r="K103" s="10">
        <v>60</v>
      </c>
      <c r="L103" s="10">
        <v>34</v>
      </c>
      <c r="M103" s="10">
        <v>60</v>
      </c>
      <c r="N103" s="51">
        <v>60</v>
      </c>
      <c r="O103" s="11">
        <v>60</v>
      </c>
      <c r="P103" s="10"/>
      <c r="Q103" s="40"/>
      <c r="R103" s="2">
        <v>106</v>
      </c>
      <c r="S103" s="10">
        <f>IF(T103="",R103,MAX((R103+$R$8)/$R$2,(T103+$T$8)/$T$2)*$R$2-$R$8)</f>
        <v>134.38895601265202</v>
      </c>
      <c r="T103" s="62">
        <v>199</v>
      </c>
      <c r="U103" s="10">
        <f>IF(A103&lt;&gt;"",SUM(B103:I103),"")</f>
        <v>192</v>
      </c>
      <c r="V103" s="10">
        <f>IF(A103&lt;&gt;"",SUM(J103:O103),"")</f>
        <v>274</v>
      </c>
      <c r="W103" s="10">
        <f>IF(A103&lt;&gt;"",SUM(P103:Q103),"")</f>
        <v>0</v>
      </c>
      <c r="X103" s="10">
        <f>IF(A103&lt;&gt;"",SUM(S103:T103),"")</f>
        <v>333.38895601265199</v>
      </c>
      <c r="Y103" s="12" t="s">
        <v>69</v>
      </c>
      <c r="Z103" s="12">
        <f>IF(A103&lt;&gt;"",SUM(U103:Y103),"")</f>
        <v>799.38895601265199</v>
      </c>
      <c r="AA103" s="27">
        <f>IF(A103&lt;&gt;"",(Z103+Normalize_To_Add)/(Point_Total_So_Far)*100,"")</f>
        <v>87.448568790397047</v>
      </c>
      <c r="AB103" s="10">
        <f>IF(A103&lt;&gt;"",RANK(AA103,All_Student_XC),"")</f>
        <v>117</v>
      </c>
      <c r="AC103" s="31" t="str">
        <f>IF(A103&lt;&gt;"",CHOOSE(10-MIN(9,TRUNC((AA103+0.5)/10)),"A","B","C","D","F","F","F","F","F","F"),"")</f>
        <v>B</v>
      </c>
      <c r="AD103" s="31" t="str">
        <f>IF(A103&lt;&gt;"",IF(OR(AA103+0.5&gt;=93,AA103+0.5&lt;60),"",IF(MOD(AA103+0.5,10)&gt;=7,"+",IF(MOD(AA103+0.5,10)&lt;3,"-",""))),"")</f>
        <v>+</v>
      </c>
      <c r="AE103" s="31">
        <f>IF(A103&lt;&gt;"",SUM(W103:X103,$W$8:$X$8)/SUM($W$2:$X$2)*100,"")</f>
        <v>81.697137580794092</v>
      </c>
      <c r="AF103" s="43" t="str">
        <f>IF(A103&lt;&gt;"",CHOOSE(10-MIN(9,TRUNC((AE103+0.5)/10)),"A","B","C","D","F","F","F","F","F","F"),"")</f>
        <v>B</v>
      </c>
      <c r="AG103" s="43" t="str">
        <f>IF(A103&lt;&gt;"",IF(OR(AE103+0.5&gt;=93,AE103+0.5&lt;60),"",IF(MOD(AE103+0.5,10)&gt;=7,"+",IF(MOD(AE103+0.5,10)&lt;3,"-",""))),"")</f>
        <v>-</v>
      </c>
      <c r="AH103" s="35">
        <f>IF(A103&lt;&gt;"",MIN(MAX(AA103,AE103),AA103+$AH$8,AE103+$AH$8),"")</f>
        <v>87.448568790397047</v>
      </c>
      <c r="AI103" s="31" t="str">
        <f>IF(A103&lt;&gt;"",CHOOSE(10-MIN(9,TRUNC((AH103+0.5)/10)),"A","B","C","D","F","F","F","F","F","F"),"")</f>
        <v>B</v>
      </c>
      <c r="AJ103" s="31" t="str">
        <f>IF(A103&lt;&gt;"",IF(OR(AH103+0.5&gt;=93,AH103+0.5&lt;60),"",IF(MOD(AH103+0.5,10)&gt;=7,"+",IF(MOD(AH103+0.5,10)&lt;3,"-",""))),"")</f>
        <v>+</v>
      </c>
      <c r="AK103" s="31" t="b">
        <f>IF(A103&lt;&gt;"",OR(AI103&lt;&gt;AC103,AJ103&lt;&gt;AD103),"")</f>
        <v>0</v>
      </c>
      <c r="AL103" s="81">
        <f>IF(AND(A103&lt;&gt;"",U103&gt;0),SUM(U103,$AL$8)/$AL$2*100,"")</f>
        <v>96</v>
      </c>
      <c r="AM103" s="24">
        <f>IF(AND(A103&lt;&gt;"",V103&gt;0),SUM(V103,$AM$8)/$AM$2*100,"")</f>
        <v>91.333333333333329</v>
      </c>
      <c r="AN103" s="24" t="str">
        <f>IF(AND(A103&lt;&gt;"",P103&lt;&gt;0),SUM(P103,$AN$8)/$AN$2*100,"")</f>
        <v/>
      </c>
      <c r="AO103" s="24" t="str">
        <f>IF(AND(A103&lt;&gt;"",Q103&lt;&gt;0),SUM(Q103,$AO$8)/$AO$2*100,"")</f>
        <v/>
      </c>
      <c r="AP103" s="24">
        <f>IF(AND(A103&lt;&gt;"",R103&lt;&gt;0),SUM(R103,$AP$8)/$AP$2*100,"")</f>
        <v>67.502659574468083</v>
      </c>
      <c r="AQ103" s="24" t="str">
        <f>IF(AND(A103&lt;&gt;"",W103&gt;0),SUM(W103,$AQ$8)/$AQ$2*100,"")</f>
        <v/>
      </c>
      <c r="AR103" s="24">
        <f>IF(AND(A103&lt;&gt;"",T103&gt;0),SUM(T103,$AR$8)/$AR$2*100,"")</f>
        <v>81.697137580794092</v>
      </c>
      <c r="AS103" s="24">
        <f>IF(AND(A103&lt;&gt;"",X103&lt;&gt;0),SUM(X103,$AS$8)/$AS$2*100,"")</f>
        <v>81.697137580794092</v>
      </c>
      <c r="AT103" s="86">
        <f>IF(A103&lt;&gt;"",SUM(W103:X103,$AT$8)/$AT$2*100,"")</f>
        <v>81.697137580794092</v>
      </c>
      <c r="AU103" s="24">
        <f>AA103</f>
        <v>87.448568790397047</v>
      </c>
      <c r="AV103" s="24"/>
      <c r="AW103" s="27">
        <f>IF(A103&lt;&gt;"",AE103-AA103,"")</f>
        <v>-5.7514312096029556</v>
      </c>
      <c r="AY103" s="27">
        <f>AR103-AP103</f>
        <v>14.194478006326008</v>
      </c>
      <c r="AZ103" s="27">
        <f>ABS(AY103)</f>
        <v>14.194478006326008</v>
      </c>
    </row>
    <row r="104" spans="1:52" s="27" customFormat="1" ht="12.75" customHeight="1" x14ac:dyDescent="0.2">
      <c r="A104" s="50">
        <v>252868</v>
      </c>
      <c r="B104" s="2">
        <v>25</v>
      </c>
      <c r="C104" s="50">
        <v>24</v>
      </c>
      <c r="D104" s="10">
        <v>24</v>
      </c>
      <c r="E104" s="10">
        <v>24</v>
      </c>
      <c r="F104" s="10">
        <v>25</v>
      </c>
      <c r="G104" s="10">
        <v>25</v>
      </c>
      <c r="H104" s="10">
        <v>14</v>
      </c>
      <c r="I104" s="10">
        <v>25</v>
      </c>
      <c r="J104" s="2"/>
      <c r="K104" s="10">
        <v>54</v>
      </c>
      <c r="L104" s="10">
        <v>60</v>
      </c>
      <c r="M104" s="10">
        <v>59</v>
      </c>
      <c r="N104" s="51">
        <v>57</v>
      </c>
      <c r="O104" s="11">
        <v>60</v>
      </c>
      <c r="P104" s="10"/>
      <c r="Q104" s="40"/>
      <c r="R104" s="2">
        <v>157</v>
      </c>
      <c r="S104" s="10">
        <f>IF(T104="",R104,MAX((R104+$R$8)/$R$2,(T104+$T$8)/$T$2)*$R$2-$R$8)</f>
        <v>157</v>
      </c>
      <c r="T104" s="62">
        <v>191</v>
      </c>
      <c r="U104" s="10">
        <f>IF(A104&lt;&gt;"",SUM(B104:I104),"")</f>
        <v>186</v>
      </c>
      <c r="V104" s="10">
        <f>IF(A104&lt;&gt;"",SUM(J104:O104),"")</f>
        <v>290</v>
      </c>
      <c r="W104" s="10">
        <f>IF(A104&lt;&gt;"",SUM(P104:Q104),"")</f>
        <v>0</v>
      </c>
      <c r="X104" s="10">
        <f>IF(A104&lt;&gt;"",SUM(S104:T104),"")</f>
        <v>348</v>
      </c>
      <c r="Y104" s="12">
        <v>3</v>
      </c>
      <c r="Z104" s="12">
        <f>IF(A104&lt;&gt;"",SUM(U104:Y104),"")</f>
        <v>827</v>
      </c>
      <c r="AA104" s="27">
        <f>IF(A104&lt;&gt;"",(Z104+Normalize_To_Add)/(Point_Total_So_Far)*100,"")</f>
        <v>90.209673189131848</v>
      </c>
      <c r="AB104" s="10">
        <f>IF(A104&lt;&gt;"",RANK(AA104,All_Student_XC),"")</f>
        <v>72</v>
      </c>
      <c r="AC104" s="31" t="str">
        <f>IF(A104&lt;&gt;"",CHOOSE(10-MIN(9,TRUNC((AA104+0.5)/10)),"A","B","C","D","F","F","F","F","F","F"),"")</f>
        <v>A</v>
      </c>
      <c r="AD104" s="31" t="str">
        <f>IF(A104&lt;&gt;"",IF(OR(AA104+0.5&gt;=93,AA104+0.5&lt;60),"",IF(MOD(AA104+0.5,10)&gt;=7,"+",IF(MOD(AA104+0.5,10)&lt;3,"-",""))),"")</f>
        <v>-</v>
      </c>
      <c r="AE104" s="31">
        <f>IF(A104&lt;&gt;"",SUM(W104:X104,$W$8:$X$8)/SUM($W$2:$X$2)*100,"")</f>
        <v>84.619346378263685</v>
      </c>
      <c r="AF104" s="43" t="str">
        <f>IF(A104&lt;&gt;"",CHOOSE(10-MIN(9,TRUNC((AE104+0.5)/10)),"A","B","C","D","F","F","F","F","F","F"),"")</f>
        <v>B</v>
      </c>
      <c r="AG104" s="43" t="str">
        <f>IF(A104&lt;&gt;"",IF(OR(AE104+0.5&gt;=93,AE104+0.5&lt;60),"",IF(MOD(AE104+0.5,10)&gt;=7,"+",IF(MOD(AE104+0.5,10)&lt;3,"-",""))),"")</f>
        <v/>
      </c>
      <c r="AH104" s="35">
        <f>IF(A104&lt;&gt;"",MIN(MAX(AA104,AE104),AA104+$AH$8,AE104+$AH$8),"")</f>
        <v>90.209673189131848</v>
      </c>
      <c r="AI104" s="31" t="str">
        <f>IF(A104&lt;&gt;"",CHOOSE(10-MIN(9,TRUNC((AH104+0.5)/10)),"A","B","C","D","F","F","F","F","F","F"),"")</f>
        <v>A</v>
      </c>
      <c r="AJ104" s="31" t="str">
        <f>IF(A104&lt;&gt;"",IF(OR(AH104+0.5&gt;=93,AH104+0.5&lt;60),"",IF(MOD(AH104+0.5,10)&gt;=7,"+",IF(MOD(AH104+0.5,10)&lt;3,"-",""))),"")</f>
        <v>-</v>
      </c>
      <c r="AK104" s="31" t="b">
        <f>IF(A104&lt;&gt;"",OR(AI104&lt;&gt;AC104,AJ104&lt;&gt;AD104),"")</f>
        <v>0</v>
      </c>
      <c r="AL104" s="81">
        <f>IF(AND(A104&lt;&gt;"",U104&gt;0),SUM(U104,$AL$8)/$AL$2*100,"")</f>
        <v>93</v>
      </c>
      <c r="AM104" s="24">
        <f>IF(AND(A104&lt;&gt;"",V104&gt;0),SUM(V104,$AM$8)/$AM$2*100,"")</f>
        <v>96.666666666666671</v>
      </c>
      <c r="AN104" s="24" t="str">
        <f>IF(AND(A104&lt;&gt;"",P104&lt;&gt;0),SUM(P104,$AN$8)/$AN$2*100,"")</f>
        <v/>
      </c>
      <c r="AO104" s="24" t="str">
        <f>IF(AND(A104&lt;&gt;"",Q104&lt;&gt;0),SUM(Q104,$AO$8)/$AO$2*100,"")</f>
        <v/>
      </c>
      <c r="AP104" s="24">
        <f>IF(AND(A104&lt;&gt;"",R104&lt;&gt;0),SUM(R104,$AP$8)/$AP$2*100,"")</f>
        <v>93.002659574468083</v>
      </c>
      <c r="AQ104" s="24" t="str">
        <f>IF(AND(A104&lt;&gt;"",W104&gt;0),SUM(W104,$AQ$8)/$AQ$2*100,"")</f>
        <v/>
      </c>
      <c r="AR104" s="24">
        <f>IF(AND(A104&lt;&gt;"",T104&gt;0),SUM(T104,$AR$8)/$AR$2*100,"")</f>
        <v>79.03047091412742</v>
      </c>
      <c r="AS104" s="24">
        <f>IF(AND(A104&lt;&gt;"",X104&lt;&gt;0),SUM(X104,$AS$8)/$AS$2*100,"")</f>
        <v>84.619346378263685</v>
      </c>
      <c r="AT104" s="86">
        <f>IF(A104&lt;&gt;"",SUM(W104:X104,$AT$8)/$AT$2*100,"")</f>
        <v>84.619346378263685</v>
      </c>
      <c r="AU104" s="24">
        <f>AA104</f>
        <v>90.209673189131848</v>
      </c>
      <c r="AV104" s="24"/>
      <c r="AW104" s="27">
        <f>IF(A104&lt;&gt;"",AE104-AA104,"")</f>
        <v>-5.590326810868163</v>
      </c>
      <c r="AY104" s="27">
        <f>AR104-AP104</f>
        <v>-13.972188660340663</v>
      </c>
      <c r="AZ104" s="27">
        <f>ABS(AY104)</f>
        <v>13.972188660340663</v>
      </c>
    </row>
    <row r="105" spans="1:52" s="27" customFormat="1" ht="12.75" customHeight="1" x14ac:dyDescent="0.2">
      <c r="A105" s="50">
        <v>253120</v>
      </c>
      <c r="B105" s="2">
        <v>25</v>
      </c>
      <c r="C105" s="50">
        <v>22</v>
      </c>
      <c r="D105" s="10">
        <v>19</v>
      </c>
      <c r="E105" s="10">
        <v>16</v>
      </c>
      <c r="F105" s="10">
        <v>13</v>
      </c>
      <c r="G105" s="10">
        <v>17</v>
      </c>
      <c r="H105" s="10">
        <v>14</v>
      </c>
      <c r="I105" s="10">
        <v>25</v>
      </c>
      <c r="J105" s="2"/>
      <c r="K105" s="10">
        <v>53</v>
      </c>
      <c r="L105" s="10">
        <v>60</v>
      </c>
      <c r="M105" s="10">
        <v>51</v>
      </c>
      <c r="N105" s="51">
        <v>60</v>
      </c>
      <c r="O105" s="11">
        <v>60</v>
      </c>
      <c r="P105" s="10"/>
      <c r="Q105" s="40"/>
      <c r="R105" s="2">
        <v>134</v>
      </c>
      <c r="S105" s="10">
        <f>IF(T105="",R105,MAX((R105+$R$8)/$R$2,(T105+$T$8)/$T$2)*$R$2-$R$8)</f>
        <v>134</v>
      </c>
      <c r="T105" s="62">
        <v>172</v>
      </c>
      <c r="U105" s="10">
        <f>IF(A105&lt;&gt;"",SUM(B105:I105),"")</f>
        <v>151</v>
      </c>
      <c r="V105" s="10">
        <f>IF(A105&lt;&gt;"",SUM(J105:O105),"")</f>
        <v>284</v>
      </c>
      <c r="W105" s="10">
        <f>IF(A105&lt;&gt;"",SUM(P105:Q105),"")</f>
        <v>0</v>
      </c>
      <c r="X105" s="10">
        <f>IF(A105&lt;&gt;"",SUM(S105:T105),"")</f>
        <v>306</v>
      </c>
      <c r="Y105" s="12">
        <v>3</v>
      </c>
      <c r="Z105" s="12">
        <f>IF(A105&lt;&gt;"",SUM(U105:Y105),"")</f>
        <v>744</v>
      </c>
      <c r="AA105" s="27">
        <f>IF(A105&lt;&gt;"",(Z105+Normalize_To_Add)/(Point_Total_So_Far)*100,"")</f>
        <v>81.909673189131837</v>
      </c>
      <c r="AB105" s="10">
        <f>IF(A105&lt;&gt;"",RANK(AA105,All_Student_XC),"")</f>
        <v>183</v>
      </c>
      <c r="AC105" s="31" t="str">
        <f>IF(A105&lt;&gt;"",CHOOSE(10-MIN(9,TRUNC((AA105+0.5)/10)),"A","B","C","D","F","F","F","F","F","F"),"")</f>
        <v>B</v>
      </c>
      <c r="AD105" s="31" t="str">
        <f>IF(A105&lt;&gt;"",IF(OR(AA105+0.5&gt;=93,AA105+0.5&lt;60),"",IF(MOD(AA105+0.5,10)&gt;=7,"+",IF(MOD(AA105+0.5,10)&lt;3,"-",""))),"")</f>
        <v>-</v>
      </c>
      <c r="AE105" s="31">
        <f>IF(A105&lt;&gt;"",SUM(W105:X105,$W$8:$X$8)/SUM($W$2:$X$2)*100,"")</f>
        <v>76.21934637826368</v>
      </c>
      <c r="AF105" s="43" t="str">
        <f>IF(A105&lt;&gt;"",CHOOSE(10-MIN(9,TRUNC((AE105+0.5)/10)),"A","B","C","D","F","F","F","F","F","F"),"")</f>
        <v>C</v>
      </c>
      <c r="AG105" s="43" t="str">
        <f>IF(A105&lt;&gt;"",IF(OR(AE105+0.5&gt;=93,AE105+0.5&lt;60),"",IF(MOD(AE105+0.5,10)&gt;=7,"+",IF(MOD(AE105+0.5,10)&lt;3,"-",""))),"")</f>
        <v/>
      </c>
      <c r="AH105" s="35">
        <f>IF(A105&lt;&gt;"",MIN(MAX(AA105,AE105),AA105+$AH$8,AE105+$AH$8),"")</f>
        <v>81.909673189131837</v>
      </c>
      <c r="AI105" s="31" t="str">
        <f>IF(A105&lt;&gt;"",CHOOSE(10-MIN(9,TRUNC((AH105+0.5)/10)),"A","B","C","D","F","F","F","F","F","F"),"")</f>
        <v>B</v>
      </c>
      <c r="AJ105" s="31" t="str">
        <f>IF(A105&lt;&gt;"",IF(OR(AH105+0.5&gt;=93,AH105+0.5&lt;60),"",IF(MOD(AH105+0.5,10)&gt;=7,"+",IF(MOD(AH105+0.5,10)&lt;3,"-",""))),"")</f>
        <v>-</v>
      </c>
      <c r="AK105" s="31" t="b">
        <f>IF(A105&lt;&gt;"",OR(AI105&lt;&gt;AC105,AJ105&lt;&gt;AD105),"")</f>
        <v>0</v>
      </c>
      <c r="AL105" s="81">
        <f>IF(AND(A105&lt;&gt;"",U105&gt;0),SUM(U105,$AL$8)/$AL$2*100,"")</f>
        <v>75.5</v>
      </c>
      <c r="AM105" s="24">
        <f>IF(AND(A105&lt;&gt;"",V105&gt;0),SUM(V105,$AM$8)/$AM$2*100,"")</f>
        <v>94.666666666666671</v>
      </c>
      <c r="AN105" s="24" t="str">
        <f>IF(AND(A105&lt;&gt;"",P105&lt;&gt;0),SUM(P105,$AN$8)/$AN$2*100,"")</f>
        <v/>
      </c>
      <c r="AO105" s="24" t="str">
        <f>IF(AND(A105&lt;&gt;"",Q105&lt;&gt;0),SUM(Q105,$AO$8)/$AO$2*100,"")</f>
        <v/>
      </c>
      <c r="AP105" s="24">
        <f>IF(AND(A105&lt;&gt;"",R105&lt;&gt;0),SUM(R105,$AP$8)/$AP$2*100,"")</f>
        <v>81.502659574468083</v>
      </c>
      <c r="AQ105" s="24" t="str">
        <f>IF(AND(A105&lt;&gt;"",W105&gt;0),SUM(W105,$AQ$8)/$AQ$2*100,"")</f>
        <v/>
      </c>
      <c r="AR105" s="24">
        <f>IF(AND(A105&lt;&gt;"",T105&gt;0),SUM(T105,$AR$8)/$AR$2*100,"")</f>
        <v>72.697137580794092</v>
      </c>
      <c r="AS105" s="24">
        <f>IF(AND(A105&lt;&gt;"",X105&lt;&gt;0),SUM(X105,$AS$8)/$AS$2*100,"")</f>
        <v>76.21934637826368</v>
      </c>
      <c r="AT105" s="86">
        <f>IF(A105&lt;&gt;"",SUM(W105:X105,$AT$8)/$AT$2*100,"")</f>
        <v>76.21934637826368</v>
      </c>
      <c r="AU105" s="24">
        <f>AA105</f>
        <v>81.909673189131837</v>
      </c>
      <c r="AV105" s="24"/>
      <c r="AW105" s="27">
        <f>IF(A105&lt;&gt;"",AE105-AA105,"")</f>
        <v>-5.6903268108681573</v>
      </c>
      <c r="AY105" s="27">
        <f>AR105-AP105</f>
        <v>-8.8055219936739917</v>
      </c>
      <c r="AZ105" s="27">
        <f>ABS(AY105)</f>
        <v>8.8055219936739917</v>
      </c>
    </row>
    <row r="106" spans="1:52" s="27" customFormat="1" ht="12.75" customHeight="1" x14ac:dyDescent="0.2">
      <c r="A106" s="50">
        <v>256792</v>
      </c>
      <c r="B106" s="2" t="s">
        <v>69</v>
      </c>
      <c r="C106" s="50">
        <v>18</v>
      </c>
      <c r="D106" s="10">
        <v>18</v>
      </c>
      <c r="E106" s="10">
        <v>24</v>
      </c>
      <c r="F106" s="10">
        <v>23</v>
      </c>
      <c r="G106" s="10">
        <v>25</v>
      </c>
      <c r="H106" s="10">
        <v>24</v>
      </c>
      <c r="I106" s="10">
        <v>21</v>
      </c>
      <c r="J106" s="2"/>
      <c r="K106" s="10">
        <v>14</v>
      </c>
      <c r="L106" s="10">
        <v>35</v>
      </c>
      <c r="M106" s="10">
        <v>56</v>
      </c>
      <c r="N106" s="51">
        <v>47</v>
      </c>
      <c r="O106" s="11">
        <v>60</v>
      </c>
      <c r="P106" s="10"/>
      <c r="Q106" s="40"/>
      <c r="R106" s="2">
        <v>88</v>
      </c>
      <c r="S106" s="10">
        <f>IF(T106="",R106,MAX((R106+$R$8)/$R$2,(T106+$T$8)/$T$2)*$R$2-$R$8)</f>
        <v>107.72228934598536</v>
      </c>
      <c r="T106" s="62">
        <v>159</v>
      </c>
      <c r="U106" s="10">
        <f>IF(A106&lt;&gt;"",SUM(B106:I106),"")</f>
        <v>153</v>
      </c>
      <c r="V106" s="10">
        <f>IF(A106&lt;&gt;"",SUM(J106:O106),"")</f>
        <v>212</v>
      </c>
      <c r="W106" s="10">
        <f>IF(A106&lt;&gt;"",SUM(P106:Q106),"")</f>
        <v>0</v>
      </c>
      <c r="X106" s="10">
        <f>IF(A106&lt;&gt;"",SUM(S106:T106),"")</f>
        <v>266.72228934598536</v>
      </c>
      <c r="Y106" s="12">
        <v>3</v>
      </c>
      <c r="Z106" s="12">
        <f>IF(A106&lt;&gt;"",SUM(U106:Y106),"")</f>
        <v>634.72228934598536</v>
      </c>
      <c r="AA106" s="27">
        <f>IF(A106&lt;&gt;"",(Z106+Normalize_To_Add)/(Point_Total_So_Far)*100,"")</f>
        <v>70.981902123730379</v>
      </c>
      <c r="AB106" s="10">
        <f>IF(A106&lt;&gt;"",RANK(AA106,All_Student_XC),"")</f>
        <v>303</v>
      </c>
      <c r="AC106" s="31" t="str">
        <f>IF(A106&lt;&gt;"",CHOOSE(10-MIN(9,TRUNC((AA106+0.5)/10)),"A","B","C","D","F","F","F","F","F","F"),"")</f>
        <v>C</v>
      </c>
      <c r="AD106" s="31" t="str">
        <f>IF(A106&lt;&gt;"",IF(OR(AA106+0.5&gt;=93,AA106+0.5&lt;60),"",IF(MOD(AA106+0.5,10)&gt;=7,"+",IF(MOD(AA106+0.5,10)&lt;3,"-",""))),"")</f>
        <v>-</v>
      </c>
      <c r="AE106" s="31">
        <f>IF(A106&lt;&gt;"",SUM(W106:X106,$W$8:$X$8)/SUM($W$2:$X$2)*100,"")</f>
        <v>68.363804247460763</v>
      </c>
      <c r="AF106" s="43" t="str">
        <f>IF(A106&lt;&gt;"",CHOOSE(10-MIN(9,TRUNC((AE106+0.5)/10)),"A","B","C","D","F","F","F","F","F","F"),"")</f>
        <v>D</v>
      </c>
      <c r="AG106" s="43" t="str">
        <f>IF(A106&lt;&gt;"",IF(OR(AE106+0.5&gt;=93,AE106+0.5&lt;60),"",IF(MOD(AE106+0.5,10)&gt;=7,"+",IF(MOD(AE106+0.5,10)&lt;3,"-",""))),"")</f>
        <v>+</v>
      </c>
      <c r="AH106" s="35">
        <f>IF(A106&lt;&gt;"",MIN(MAX(AA106,AE106),AA106+$AH$8,AE106+$AH$8),"")</f>
        <v>70.981902123730379</v>
      </c>
      <c r="AI106" s="31" t="str">
        <f>IF(A106&lt;&gt;"",CHOOSE(10-MIN(9,TRUNC((AH106+0.5)/10)),"A","B","C","D","F","F","F","F","F","F"),"")</f>
        <v>C</v>
      </c>
      <c r="AJ106" s="31" t="str">
        <f>IF(A106&lt;&gt;"",IF(OR(AH106+0.5&gt;=93,AH106+0.5&lt;60),"",IF(MOD(AH106+0.5,10)&gt;=7,"+",IF(MOD(AH106+0.5,10)&lt;3,"-",""))),"")</f>
        <v>-</v>
      </c>
      <c r="AK106" s="31" t="b">
        <f>IF(A106&lt;&gt;"",OR(AI106&lt;&gt;AC106,AJ106&lt;&gt;AD106),"")</f>
        <v>0</v>
      </c>
      <c r="AL106" s="81">
        <f>IF(AND(A106&lt;&gt;"",U106&gt;0),SUM(U106,$AL$8)/$AL$2*100,"")</f>
        <v>76.5</v>
      </c>
      <c r="AM106" s="24">
        <f>IF(AND(A106&lt;&gt;"",V106&gt;0),SUM(V106,$AM$8)/$AM$2*100,"")</f>
        <v>70.666666666666671</v>
      </c>
      <c r="AN106" s="24" t="str">
        <f>IF(AND(A106&lt;&gt;"",P106&lt;&gt;0),SUM(P106,$AN$8)/$AN$2*100,"")</f>
        <v/>
      </c>
      <c r="AO106" s="24" t="str">
        <f>IF(AND(A106&lt;&gt;"",Q106&lt;&gt;0),SUM(Q106,$AO$8)/$AO$2*100,"")</f>
        <v/>
      </c>
      <c r="AP106" s="24">
        <f>IF(AND(A106&lt;&gt;"",R106&lt;&gt;0),SUM(R106,$AP$8)/$AP$2*100,"")</f>
        <v>58.502659574468083</v>
      </c>
      <c r="AQ106" s="24" t="str">
        <f>IF(AND(A106&lt;&gt;"",W106&gt;0),SUM(W106,$AQ$8)/$AQ$2*100,"")</f>
        <v/>
      </c>
      <c r="AR106" s="24">
        <f>IF(AND(A106&lt;&gt;"",T106&gt;0),SUM(T106,$AR$8)/$AR$2*100,"")</f>
        <v>68.363804247460763</v>
      </c>
      <c r="AS106" s="24">
        <f>IF(AND(A106&lt;&gt;"",X106&lt;&gt;0),SUM(X106,$AS$8)/$AS$2*100,"")</f>
        <v>68.363804247460763</v>
      </c>
      <c r="AT106" s="86">
        <f>IF(A106&lt;&gt;"",SUM(W106:X106,$AT$8)/$AT$2*100,"")</f>
        <v>68.363804247460763</v>
      </c>
      <c r="AU106" s="24">
        <f>AA106</f>
        <v>70.981902123730379</v>
      </c>
      <c r="AV106" s="24"/>
      <c r="AW106" s="27">
        <f>IF(A106&lt;&gt;"",AE106-AA106,"")</f>
        <v>-2.6180978762696157</v>
      </c>
      <c r="AY106" s="27">
        <f>AR106-AP106</f>
        <v>9.8611446729926797</v>
      </c>
      <c r="AZ106" s="27">
        <f>ABS(AY106)</f>
        <v>9.8611446729926797</v>
      </c>
    </row>
    <row r="107" spans="1:52" s="27" customFormat="1" ht="12.75" customHeight="1" x14ac:dyDescent="0.2">
      <c r="A107" s="50">
        <v>262366</v>
      </c>
      <c r="B107" s="2">
        <v>20</v>
      </c>
      <c r="C107" s="50">
        <v>25</v>
      </c>
      <c r="D107" s="10">
        <v>21</v>
      </c>
      <c r="E107" s="10">
        <v>24</v>
      </c>
      <c r="F107" s="10">
        <v>19</v>
      </c>
      <c r="G107" s="10">
        <v>25</v>
      </c>
      <c r="H107" s="10">
        <v>14</v>
      </c>
      <c r="I107" s="10">
        <v>22</v>
      </c>
      <c r="J107" s="2"/>
      <c r="K107" s="10">
        <v>45</v>
      </c>
      <c r="L107" s="10">
        <v>60</v>
      </c>
      <c r="M107" s="10">
        <v>60</v>
      </c>
      <c r="N107" s="51">
        <v>55</v>
      </c>
      <c r="O107" s="11">
        <v>60</v>
      </c>
      <c r="P107" s="10"/>
      <c r="Q107" s="40"/>
      <c r="R107" s="2">
        <v>74</v>
      </c>
      <c r="S107" s="10">
        <f>IF(T107="",R107,MAX((R107+$R$8)/$R$2,(T107+$T$8)/$T$2)*$R$2-$R$8)</f>
        <v>73.999999999999986</v>
      </c>
      <c r="T107" s="62">
        <v>95</v>
      </c>
      <c r="U107" s="10">
        <f>IF(A107&lt;&gt;"",SUM(B107:I107),"")</f>
        <v>170</v>
      </c>
      <c r="V107" s="10">
        <f>IF(A107&lt;&gt;"",SUM(J107:O107),"")</f>
        <v>280</v>
      </c>
      <c r="W107" s="10">
        <f>IF(A107&lt;&gt;"",SUM(P107:Q107),"")</f>
        <v>0</v>
      </c>
      <c r="X107" s="10">
        <f>IF(A107&lt;&gt;"",SUM(S107:T107),"")</f>
        <v>169</v>
      </c>
      <c r="Y107" s="12">
        <v>3</v>
      </c>
      <c r="Z107" s="12">
        <f>IF(A107&lt;&gt;"",SUM(U107:Y107),"")</f>
        <v>622</v>
      </c>
      <c r="AA107" s="27">
        <f>IF(A107&lt;&gt;"",(Z107+Normalize_To_Add)/(Point_Total_So_Far)*100,"")</f>
        <v>69.709673189131834</v>
      </c>
      <c r="AB107" s="10">
        <f>IF(A107&lt;&gt;"",RANK(AA107,All_Student_XC),"")</f>
        <v>315</v>
      </c>
      <c r="AC107" s="31" t="str">
        <f>IF(A107&lt;&gt;"",CHOOSE(10-MIN(9,TRUNC((AA107+0.5)/10)),"A","B","C","D","F","F","F","F","F","F"),"")</f>
        <v>C</v>
      </c>
      <c r="AD107" s="31" t="str">
        <f>IF(A107&lt;&gt;"",IF(OR(AA107+0.5&gt;=93,AA107+0.5&lt;60),"",IF(MOD(AA107+0.5,10)&gt;=7,"+",IF(MOD(AA107+0.5,10)&lt;3,"-",""))),"")</f>
        <v>-</v>
      </c>
      <c r="AE107" s="31">
        <f>IF(A107&lt;&gt;"",SUM(W107:X107,$W$8:$X$8)/SUM($W$2:$X$2)*100,"")</f>
        <v>48.819346378263681</v>
      </c>
      <c r="AF107" s="43" t="str">
        <f>IF(A107&lt;&gt;"",CHOOSE(10-MIN(9,TRUNC((AE107+0.5)/10)),"A","B","C","D","F","F","F","F","F","F"),"")</f>
        <v>F</v>
      </c>
      <c r="AG107" s="43" t="str">
        <f>IF(A107&lt;&gt;"",IF(OR(AE107+0.5&gt;=93,AE107+0.5&lt;60),"",IF(MOD(AE107+0.5,10)&gt;=7,"+",IF(MOD(AE107+0.5,10)&lt;3,"-",""))),"")</f>
        <v/>
      </c>
      <c r="AH107" s="35">
        <f>IF(A107&lt;&gt;"",MIN(MAX(AA107,AE107),AA107+$AH$8,AE107+$AH$8),"")</f>
        <v>69.709673189131834</v>
      </c>
      <c r="AI107" s="31" t="str">
        <f>IF(A107&lt;&gt;"",CHOOSE(10-MIN(9,TRUNC((AH107+0.5)/10)),"A","B","C","D","F","F","F","F","F","F"),"")</f>
        <v>C</v>
      </c>
      <c r="AJ107" s="31" t="str">
        <f>IF(A107&lt;&gt;"",IF(OR(AH107+0.5&gt;=93,AH107+0.5&lt;60),"",IF(MOD(AH107+0.5,10)&gt;=7,"+",IF(MOD(AH107+0.5,10)&lt;3,"-",""))),"")</f>
        <v>-</v>
      </c>
      <c r="AK107" s="31" t="b">
        <f>IF(A107&lt;&gt;"",OR(AI107&lt;&gt;AC107,AJ107&lt;&gt;AD107),"")</f>
        <v>0</v>
      </c>
      <c r="AL107" s="81">
        <f>IF(AND(A107&lt;&gt;"",U107&gt;0),SUM(U107,$AL$8)/$AL$2*100,"")</f>
        <v>85</v>
      </c>
      <c r="AM107" s="24">
        <f>IF(AND(A107&lt;&gt;"",V107&gt;0),SUM(V107,$AM$8)/$AM$2*100,"")</f>
        <v>93.333333333333329</v>
      </c>
      <c r="AN107" s="24" t="str">
        <f>IF(AND(A107&lt;&gt;"",P107&lt;&gt;0),SUM(P107,$AN$8)/$AN$2*100,"")</f>
        <v/>
      </c>
      <c r="AO107" s="24" t="str">
        <f>IF(AND(A107&lt;&gt;"",Q107&lt;&gt;0),SUM(Q107,$AO$8)/$AO$2*100,"")</f>
        <v/>
      </c>
      <c r="AP107" s="24">
        <f>IF(AND(A107&lt;&gt;"",R107&lt;&gt;0),SUM(R107,$AP$8)/$AP$2*100,"")</f>
        <v>51.502659574468076</v>
      </c>
      <c r="AQ107" s="24" t="str">
        <f>IF(AND(A107&lt;&gt;"",W107&gt;0),SUM(W107,$AQ$8)/$AQ$2*100,"")</f>
        <v/>
      </c>
      <c r="AR107" s="24">
        <f>IF(AND(A107&lt;&gt;"",T107&gt;0),SUM(T107,$AR$8)/$AR$2*100,"")</f>
        <v>47.03047091412742</v>
      </c>
      <c r="AS107" s="24">
        <f>IF(AND(A107&lt;&gt;"",X107&lt;&gt;0),SUM(X107,$AS$8)/$AS$2*100,"")</f>
        <v>48.819346378263681</v>
      </c>
      <c r="AT107" s="86">
        <f>IF(A107&lt;&gt;"",SUM(W107:X107,$AT$8)/$AT$2*100,"")</f>
        <v>48.819346378263681</v>
      </c>
      <c r="AU107" s="24">
        <f>AA107</f>
        <v>69.709673189131834</v>
      </c>
      <c r="AV107" s="24"/>
      <c r="AW107" s="27">
        <f>IF(A107&lt;&gt;"",AE107-AA107,"")</f>
        <v>-20.890326810868153</v>
      </c>
      <c r="AY107" s="27">
        <f>AR107-AP107</f>
        <v>-4.472188660340656</v>
      </c>
      <c r="AZ107" s="27">
        <f>ABS(AY107)</f>
        <v>4.472188660340656</v>
      </c>
    </row>
    <row r="108" spans="1:52" s="27" customFormat="1" ht="12.75" customHeight="1" x14ac:dyDescent="0.2">
      <c r="A108" s="50">
        <v>267416</v>
      </c>
      <c r="B108" s="2">
        <v>1</v>
      </c>
      <c r="C108" s="50">
        <v>21</v>
      </c>
      <c r="D108" s="10">
        <v>15</v>
      </c>
      <c r="E108" s="10">
        <v>21</v>
      </c>
      <c r="F108" s="10">
        <v>7</v>
      </c>
      <c r="G108" s="10">
        <v>0</v>
      </c>
      <c r="H108" s="10">
        <v>8</v>
      </c>
      <c r="I108" s="10">
        <v>11</v>
      </c>
      <c r="J108" s="2"/>
      <c r="K108" s="10">
        <v>1</v>
      </c>
      <c r="L108" s="10">
        <v>8</v>
      </c>
      <c r="M108" s="10">
        <v>0</v>
      </c>
      <c r="N108" s="51">
        <v>0</v>
      </c>
      <c r="O108" s="11">
        <v>12</v>
      </c>
      <c r="P108" s="10"/>
      <c r="Q108" s="40"/>
      <c r="R108" s="2">
        <v>156</v>
      </c>
      <c r="S108" s="10">
        <f>IF(T108="",R108,MAX((R108+$R$8)/$R$2,(T108+$T$8)/$T$2)*$R$2-$R$8)</f>
        <v>156</v>
      </c>
      <c r="T108" s="62">
        <v>149</v>
      </c>
      <c r="U108" s="10">
        <f>IF(A108&lt;&gt;"",SUM(B108:I108),"")</f>
        <v>84</v>
      </c>
      <c r="V108" s="10">
        <f>IF(A108&lt;&gt;"",SUM(J108:O108),"")</f>
        <v>21</v>
      </c>
      <c r="W108" s="10">
        <f>IF(A108&lt;&gt;"",SUM(P108:Q108),"")</f>
        <v>0</v>
      </c>
      <c r="X108" s="10">
        <f>IF(A108&lt;&gt;"",SUM(S108:T108),"")</f>
        <v>305</v>
      </c>
      <c r="Y108" s="12">
        <v>3</v>
      </c>
      <c r="Z108" s="12">
        <f>IF(A108&lt;&gt;"",SUM(U108:Y108),"")</f>
        <v>413</v>
      </c>
      <c r="AA108" s="27">
        <f>IF(A108&lt;&gt;"",(Z108+Normalize_To_Add)/(Point_Total_So_Far)*100,"")</f>
        <v>48.809673189131843</v>
      </c>
      <c r="AB108" s="10">
        <f>IF(A108&lt;&gt;"",RANK(AA108,All_Student_XC),"")</f>
        <v>358</v>
      </c>
      <c r="AC108" s="31" t="str">
        <f>IF(A108&lt;&gt;"",CHOOSE(10-MIN(9,TRUNC((AA108+0.5)/10)),"A","B","C","D","F","F","F","F","F","F"),"")</f>
        <v>F</v>
      </c>
      <c r="AD108" s="31" t="str">
        <f>IF(A108&lt;&gt;"",IF(OR(AA108+0.5&gt;=93,AA108+0.5&lt;60),"",IF(MOD(AA108+0.5,10)&gt;=7,"+",IF(MOD(AA108+0.5,10)&lt;3,"-",""))),"")</f>
        <v/>
      </c>
      <c r="AE108" s="31">
        <f>IF(A108&lt;&gt;"",SUM(W108:X108,$W$8:$X$8)/SUM($W$2:$X$2)*100,"")</f>
        <v>76.019346378263691</v>
      </c>
      <c r="AF108" s="43" t="str">
        <f>IF(A108&lt;&gt;"",CHOOSE(10-MIN(9,TRUNC((AE108+0.5)/10)),"A","B","C","D","F","F","F","F","F","F"),"")</f>
        <v>C</v>
      </c>
      <c r="AG108" s="43" t="str">
        <f>IF(A108&lt;&gt;"",IF(OR(AE108+0.5&gt;=93,AE108+0.5&lt;60),"",IF(MOD(AE108+0.5,10)&gt;=7,"+",IF(MOD(AE108+0.5,10)&lt;3,"-",""))),"")</f>
        <v/>
      </c>
      <c r="AH108" s="35">
        <f>IF(A108&lt;&gt;"",MIN(MAX(AA108,AE108),AA108+$AH$8,AE108+$AH$8),"")</f>
        <v>76.019346378263691</v>
      </c>
      <c r="AI108" s="31" t="str">
        <f>IF(A108&lt;&gt;"",CHOOSE(10-MIN(9,TRUNC((AH108+0.5)/10)),"A","B","C","D","F","F","F","F","F","F"),"")</f>
        <v>C</v>
      </c>
      <c r="AJ108" s="31" t="str">
        <f>IF(A108&lt;&gt;"",IF(OR(AH108+0.5&gt;=93,AH108+0.5&lt;60),"",IF(MOD(AH108+0.5,10)&gt;=7,"+",IF(MOD(AH108+0.5,10)&lt;3,"-",""))),"")</f>
        <v/>
      </c>
      <c r="AK108" s="31" t="b">
        <f>IF(A108&lt;&gt;"",OR(AI108&lt;&gt;AC108,AJ108&lt;&gt;AD108),"")</f>
        <v>1</v>
      </c>
      <c r="AL108" s="81">
        <f>IF(AND(A108&lt;&gt;"",U108&gt;0),SUM(U108,$AL$8)/$AL$2*100,"")</f>
        <v>42</v>
      </c>
      <c r="AM108" s="24">
        <f>IF(AND(A108&lt;&gt;"",V108&gt;0),SUM(V108,$AM$8)/$AM$2*100,"")</f>
        <v>7.0000000000000009</v>
      </c>
      <c r="AN108" s="24" t="str">
        <f>IF(AND(A108&lt;&gt;"",P108&lt;&gt;0),SUM(P108,$AN$8)/$AN$2*100,"")</f>
        <v/>
      </c>
      <c r="AO108" s="24" t="str">
        <f>IF(AND(A108&lt;&gt;"",Q108&lt;&gt;0),SUM(Q108,$AO$8)/$AO$2*100,"")</f>
        <v/>
      </c>
      <c r="AP108" s="24">
        <f>IF(AND(A108&lt;&gt;"",R108&lt;&gt;0),SUM(R108,$AP$8)/$AP$2*100,"")</f>
        <v>92.502659574468083</v>
      </c>
      <c r="AQ108" s="24" t="str">
        <f>IF(AND(A108&lt;&gt;"",W108&gt;0),SUM(W108,$AQ$8)/$AQ$2*100,"")</f>
        <v/>
      </c>
      <c r="AR108" s="24">
        <f>IF(AND(A108&lt;&gt;"",T108&gt;0),SUM(T108,$AR$8)/$AR$2*100,"")</f>
        <v>65.03047091412742</v>
      </c>
      <c r="AS108" s="24">
        <f>IF(AND(A108&lt;&gt;"",X108&lt;&gt;0),SUM(X108,$AS$8)/$AS$2*100,"")</f>
        <v>76.019346378263691</v>
      </c>
      <c r="AT108" s="86">
        <f>IF(A108&lt;&gt;"",SUM(W108:X108,$AT$8)/$AT$2*100,"")</f>
        <v>76.019346378263691</v>
      </c>
      <c r="AU108" s="24">
        <f>AA108</f>
        <v>48.809673189131843</v>
      </c>
      <c r="AV108" s="24"/>
      <c r="AW108" s="27">
        <f>IF(A108&lt;&gt;"",AE108-AA108,"")</f>
        <v>27.209673189131848</v>
      </c>
      <c r="AY108" s="27">
        <f>AR108-AP108</f>
        <v>-27.472188660340663</v>
      </c>
      <c r="AZ108" s="27">
        <f>ABS(AY108)</f>
        <v>27.472188660340663</v>
      </c>
    </row>
    <row r="109" spans="1:52" s="27" customFormat="1" ht="12.75" customHeight="1" x14ac:dyDescent="0.2">
      <c r="A109" s="50">
        <v>269678</v>
      </c>
      <c r="B109" s="2">
        <v>25</v>
      </c>
      <c r="C109" s="50">
        <v>25</v>
      </c>
      <c r="D109" s="10">
        <v>23</v>
      </c>
      <c r="E109" s="10">
        <v>23</v>
      </c>
      <c r="F109" s="10">
        <v>23</v>
      </c>
      <c r="G109" s="10">
        <v>25</v>
      </c>
      <c r="H109" s="10">
        <v>14</v>
      </c>
      <c r="I109" s="10">
        <v>23</v>
      </c>
      <c r="J109" s="2"/>
      <c r="K109" s="10">
        <v>51</v>
      </c>
      <c r="L109" s="10">
        <v>58</v>
      </c>
      <c r="M109" s="10">
        <v>56</v>
      </c>
      <c r="N109" s="51">
        <v>47</v>
      </c>
      <c r="O109" s="11">
        <v>60</v>
      </c>
      <c r="P109" s="10"/>
      <c r="Q109" s="40"/>
      <c r="R109" s="2">
        <v>137</v>
      </c>
      <c r="S109" s="10">
        <f>IF(T109="",R109,MAX((R109+$R$8)/$R$2,(T109+$T$8)/$T$2)*$R$2-$R$8)</f>
        <v>137</v>
      </c>
      <c r="T109" s="62">
        <v>190</v>
      </c>
      <c r="U109" s="10">
        <f>IF(A109&lt;&gt;"",SUM(B109:I109),"")</f>
        <v>181</v>
      </c>
      <c r="V109" s="10">
        <f>IF(A109&lt;&gt;"",SUM(J109:O109),"")</f>
        <v>272</v>
      </c>
      <c r="W109" s="10">
        <f>IF(A109&lt;&gt;"",SUM(P109:Q109),"")</f>
        <v>0</v>
      </c>
      <c r="X109" s="10">
        <f>IF(A109&lt;&gt;"",SUM(S109:T109),"")</f>
        <v>327</v>
      </c>
      <c r="Y109" s="12">
        <v>3</v>
      </c>
      <c r="Z109" s="12">
        <f>IF(A109&lt;&gt;"",SUM(U109:Y109),"")</f>
        <v>783</v>
      </c>
      <c r="AA109" s="27">
        <f>IF(A109&lt;&gt;"",(Z109+Normalize_To_Add)/(Point_Total_So_Far)*100,"")</f>
        <v>85.809673189131843</v>
      </c>
      <c r="AB109" s="10">
        <f>IF(A109&lt;&gt;"",RANK(AA109,All_Student_XC),"")</f>
        <v>145</v>
      </c>
      <c r="AC109" s="31" t="str">
        <f>IF(A109&lt;&gt;"",CHOOSE(10-MIN(9,TRUNC((AA109+0.5)/10)),"A","B","C","D","F","F","F","F","F","F"),"")</f>
        <v>B</v>
      </c>
      <c r="AD109" s="31" t="str">
        <f>IF(A109&lt;&gt;"",IF(OR(AA109+0.5&gt;=93,AA109+0.5&lt;60),"",IF(MOD(AA109+0.5,10)&gt;=7,"+",IF(MOD(AA109+0.5,10)&lt;3,"-",""))),"")</f>
        <v/>
      </c>
      <c r="AE109" s="31">
        <f>IF(A109&lt;&gt;"",SUM(W109:X109,$W$8:$X$8)/SUM($W$2:$X$2)*100,"")</f>
        <v>80.419346378263697</v>
      </c>
      <c r="AF109" s="43" t="str">
        <f>IF(A109&lt;&gt;"",CHOOSE(10-MIN(9,TRUNC((AE109+0.5)/10)),"A","B","C","D","F","F","F","F","F","F"),"")</f>
        <v>B</v>
      </c>
      <c r="AG109" s="43" t="str">
        <f>IF(A109&lt;&gt;"",IF(OR(AE109+0.5&gt;=93,AE109+0.5&lt;60),"",IF(MOD(AE109+0.5,10)&gt;=7,"+",IF(MOD(AE109+0.5,10)&lt;3,"-",""))),"")</f>
        <v>-</v>
      </c>
      <c r="AH109" s="35">
        <f>IF(A109&lt;&gt;"",MIN(MAX(AA109,AE109),AA109+$AH$8,AE109+$AH$8),"")</f>
        <v>85.809673189131843</v>
      </c>
      <c r="AI109" s="31" t="str">
        <f>IF(A109&lt;&gt;"",CHOOSE(10-MIN(9,TRUNC((AH109+0.5)/10)),"A","B","C","D","F","F","F","F","F","F"),"")</f>
        <v>B</v>
      </c>
      <c r="AJ109" s="31" t="str">
        <f>IF(A109&lt;&gt;"",IF(OR(AH109+0.5&gt;=93,AH109+0.5&lt;60),"",IF(MOD(AH109+0.5,10)&gt;=7,"+",IF(MOD(AH109+0.5,10)&lt;3,"-",""))),"")</f>
        <v/>
      </c>
      <c r="AK109" s="31" t="b">
        <f>IF(A109&lt;&gt;"",OR(AI109&lt;&gt;AC109,AJ109&lt;&gt;AD109),"")</f>
        <v>0</v>
      </c>
      <c r="AL109" s="81">
        <f>IF(AND(A109&lt;&gt;"",U109&gt;0),SUM(U109,$AL$8)/$AL$2*100,"")</f>
        <v>90.5</v>
      </c>
      <c r="AM109" s="24">
        <f>IF(AND(A109&lt;&gt;"",V109&gt;0),SUM(V109,$AM$8)/$AM$2*100,"")</f>
        <v>90.666666666666657</v>
      </c>
      <c r="AN109" s="24" t="str">
        <f>IF(AND(A109&lt;&gt;"",P109&lt;&gt;0),SUM(P109,$AN$8)/$AN$2*100,"")</f>
        <v/>
      </c>
      <c r="AO109" s="24" t="str">
        <f>IF(AND(A109&lt;&gt;"",Q109&lt;&gt;0),SUM(Q109,$AO$8)/$AO$2*100,"")</f>
        <v/>
      </c>
      <c r="AP109" s="24">
        <f>IF(AND(A109&lt;&gt;"",R109&lt;&gt;0),SUM(R109,$AP$8)/$AP$2*100,"")</f>
        <v>83.002659574468083</v>
      </c>
      <c r="AQ109" s="24" t="str">
        <f>IF(AND(A109&lt;&gt;"",W109&gt;0),SUM(W109,$AQ$8)/$AQ$2*100,"")</f>
        <v/>
      </c>
      <c r="AR109" s="24">
        <f>IF(AND(A109&lt;&gt;"",T109&gt;0),SUM(T109,$AR$8)/$AR$2*100,"")</f>
        <v>78.697137580794092</v>
      </c>
      <c r="AS109" s="24">
        <f>IF(AND(A109&lt;&gt;"",X109&lt;&gt;0),SUM(X109,$AS$8)/$AS$2*100,"")</f>
        <v>80.419346378263697</v>
      </c>
      <c r="AT109" s="86">
        <f>IF(A109&lt;&gt;"",SUM(W109:X109,$AT$8)/$AT$2*100,"")</f>
        <v>80.419346378263697</v>
      </c>
      <c r="AU109" s="24">
        <f>AA109</f>
        <v>85.809673189131843</v>
      </c>
      <c r="AV109" s="24"/>
      <c r="AW109" s="27">
        <f>IF(A109&lt;&gt;"",AE109-AA109,"")</f>
        <v>-5.3903268108681459</v>
      </c>
      <c r="AY109" s="27">
        <f>AR109-AP109</f>
        <v>-4.3055219936739917</v>
      </c>
      <c r="AZ109" s="27">
        <f>ABS(AY109)</f>
        <v>4.3055219936739917</v>
      </c>
    </row>
    <row r="110" spans="1:52" s="27" customFormat="1" ht="12.75" customHeight="1" x14ac:dyDescent="0.2">
      <c r="A110" s="10">
        <v>273816</v>
      </c>
      <c r="B110" s="2">
        <v>24</v>
      </c>
      <c r="C110" s="10">
        <v>22</v>
      </c>
      <c r="D110" s="10">
        <v>21</v>
      </c>
      <c r="E110" s="10">
        <v>22</v>
      </c>
      <c r="F110" s="10">
        <v>25</v>
      </c>
      <c r="G110" s="10">
        <v>25</v>
      </c>
      <c r="H110" s="10">
        <v>14</v>
      </c>
      <c r="I110" s="10">
        <v>22</v>
      </c>
      <c r="J110" s="2"/>
      <c r="K110" s="10">
        <v>51</v>
      </c>
      <c r="L110" s="10">
        <v>59</v>
      </c>
      <c r="M110" s="10">
        <v>30</v>
      </c>
      <c r="N110" s="51">
        <v>59</v>
      </c>
      <c r="O110" s="11">
        <v>45</v>
      </c>
      <c r="P110" s="10"/>
      <c r="Q110" s="40"/>
      <c r="R110" s="2">
        <v>75</v>
      </c>
      <c r="S110" s="10">
        <f>IF(T110="",R110,MAX((R110+$R$8)/$R$2,(T110+$T$8)/$T$2)*$R$2-$R$8)</f>
        <v>97.055622679318674</v>
      </c>
      <c r="T110" s="12">
        <v>143</v>
      </c>
      <c r="U110" s="34">
        <f>IF(A110&lt;&gt;"",SUM(B110:I110),"")</f>
        <v>175</v>
      </c>
      <c r="V110" s="10">
        <f>IF(A110&lt;&gt;"",SUM(J110:O110),"")</f>
        <v>244</v>
      </c>
      <c r="W110" s="10">
        <f>IF(A110&lt;&gt;"",SUM(P110:Q110),"")</f>
        <v>0</v>
      </c>
      <c r="X110" s="10">
        <f>IF(A110&lt;&gt;"",SUM(S110:T110),"")</f>
        <v>240.05562267931867</v>
      </c>
      <c r="Y110" s="12" t="s">
        <v>69</v>
      </c>
      <c r="Z110" s="12">
        <f>IF(A110&lt;&gt;"",SUM(U110:Y110),"")</f>
        <v>659.05562267931873</v>
      </c>
      <c r="AA110" s="27">
        <f>IF(A110&lt;&gt;"",(Z110+Normalize_To_Add)/(Point_Total_So_Far)*100,"")</f>
        <v>73.415235457063716</v>
      </c>
      <c r="AB110" s="10">
        <f>IF(A110&lt;&gt;"",RANK(AA110,All_Student_XC),"")</f>
        <v>286</v>
      </c>
      <c r="AC110" s="31" t="str">
        <f>IF(A110&lt;&gt;"",CHOOSE(10-MIN(9,TRUNC((AA110+0.5)/10)),"A","B","C","D","F","F","F","F","F","F"),"")</f>
        <v>C</v>
      </c>
      <c r="AD110" s="31" t="str">
        <f>IF(A110&lt;&gt;"",IF(OR(AA110+0.5&gt;=93,AA110+0.5&lt;60),"",IF(MOD(AA110+0.5,10)&gt;=7,"+",IF(MOD(AA110+0.5,10)&lt;3,"-",""))),"")</f>
        <v/>
      </c>
      <c r="AE110" s="31">
        <f>IF(A110&lt;&gt;"",SUM(W110:X110,$W$8:$X$8)/SUM($W$2:$X$2)*100,"")</f>
        <v>63.03047091412742</v>
      </c>
      <c r="AF110" s="31" t="str">
        <f>IF(A110&lt;&gt;"",CHOOSE(10-MIN(9,TRUNC((AE110+0.5)/10)),"A","B","C","D","F","F","F","F","F","F"),"")</f>
        <v>D</v>
      </c>
      <c r="AG110" s="31" t="str">
        <f>IF(A110&lt;&gt;"",IF(OR(AE110+0.5&gt;=93,AE110+0.5&lt;60),"",IF(MOD(AE110+0.5,10)&gt;=7,"+",IF(MOD(AE110+0.5,10)&lt;3,"-",""))),"")</f>
        <v/>
      </c>
      <c r="AH110" s="35">
        <f>IF(A110&lt;&gt;"",MIN(MAX(AA110,AE110),AA110+$AH$8,AE110+$AH$8),"")</f>
        <v>73.415235457063716</v>
      </c>
      <c r="AI110" s="31" t="str">
        <f>IF(A110&lt;&gt;"",CHOOSE(10-MIN(9,TRUNC((AH110+0.5)/10)),"A","B","C","D","F","F","F","F","F","F"),"")</f>
        <v>C</v>
      </c>
      <c r="AJ110" s="31" t="str">
        <f>IF(A110&lt;&gt;"",IF(OR(AH110+0.5&gt;=93,AH110+0.5&lt;60),"",IF(MOD(AH110+0.5,10)&gt;=7,"+",IF(MOD(AH110+0.5,10)&lt;3,"-",""))),"")</f>
        <v/>
      </c>
      <c r="AK110" s="31" t="b">
        <f>IF(A110&lt;&gt;"",OR(AI110&lt;&gt;AC110,AJ110&lt;&gt;AD110),"")</f>
        <v>0</v>
      </c>
      <c r="AL110" s="81">
        <f>IF(AND(A110&lt;&gt;"",U110&gt;0),SUM(U110,$AL$8)/$AL$2*100,"")</f>
        <v>87.5</v>
      </c>
      <c r="AM110" s="24">
        <f>IF(AND(A110&lt;&gt;"",V110&gt;0),SUM(V110,$AM$8)/$AM$2*100,"")</f>
        <v>81.333333333333329</v>
      </c>
      <c r="AN110" s="24" t="str">
        <f>IF(AND(A110&lt;&gt;"",P110&lt;&gt;0),SUM(P110,$AN$8)/$AN$2*100,"")</f>
        <v/>
      </c>
      <c r="AO110" s="24" t="str">
        <f>IF(AND(A110&lt;&gt;"",Q110&lt;&gt;0),SUM(Q110,$AO$8)/$AO$2*100,"")</f>
        <v/>
      </c>
      <c r="AP110" s="24">
        <f>IF(AND(A110&lt;&gt;"",R110&lt;&gt;0),SUM(R110,$AP$8)/$AP$2*100,"")</f>
        <v>52.002659574468083</v>
      </c>
      <c r="AQ110" s="24" t="str">
        <f>IF(AND(A110&lt;&gt;"",W110&gt;0),SUM(W110,$AQ$8)/$AQ$2*100,"")</f>
        <v/>
      </c>
      <c r="AR110" s="24">
        <f>IF(AND(A110&lt;&gt;"",T110&gt;0),SUM(T110,$AR$8)/$AR$2*100,"")</f>
        <v>63.03047091412742</v>
      </c>
      <c r="AS110" s="24">
        <f>IF(AND(A110&lt;&gt;"",X110&lt;&gt;0),SUM(X110,$AS$8)/$AS$2*100,"")</f>
        <v>63.03047091412742</v>
      </c>
      <c r="AT110" s="86">
        <f>IF(A110&lt;&gt;"",SUM(W110:X110,$AT$8)/$AT$2*100,"")</f>
        <v>63.03047091412742</v>
      </c>
      <c r="AU110" s="24">
        <f>AA110</f>
        <v>73.415235457063716</v>
      </c>
      <c r="AV110" s="24"/>
      <c r="AW110" s="27">
        <f>IF(A110&lt;&gt;"",AE110-AA110,"")</f>
        <v>-10.384764542936296</v>
      </c>
      <c r="AY110" s="27">
        <f>AR110-AP110</f>
        <v>11.027811339659337</v>
      </c>
      <c r="AZ110" s="27">
        <f>ABS(AY110)</f>
        <v>11.027811339659337</v>
      </c>
    </row>
    <row r="111" spans="1:52" s="27" customFormat="1" ht="12.75" customHeight="1" x14ac:dyDescent="0.2">
      <c r="A111" s="50">
        <v>275470</v>
      </c>
      <c r="B111" s="2">
        <v>24</v>
      </c>
      <c r="C111" s="50">
        <v>22</v>
      </c>
      <c r="D111" s="10">
        <v>23</v>
      </c>
      <c r="E111" s="10">
        <v>23</v>
      </c>
      <c r="F111" s="10">
        <v>23</v>
      </c>
      <c r="G111" s="10">
        <v>25</v>
      </c>
      <c r="H111" s="10">
        <v>7</v>
      </c>
      <c r="I111" s="10">
        <v>17</v>
      </c>
      <c r="J111" s="2"/>
      <c r="K111" s="10">
        <v>56</v>
      </c>
      <c r="L111" s="10">
        <v>60</v>
      </c>
      <c r="M111" s="10">
        <v>60</v>
      </c>
      <c r="N111" s="51">
        <v>60</v>
      </c>
      <c r="O111" s="11">
        <v>45</v>
      </c>
      <c r="P111" s="10"/>
      <c r="Q111" s="40"/>
      <c r="R111" s="2">
        <v>140</v>
      </c>
      <c r="S111" s="10">
        <f>IF(T111="",R111,MAX((R111+$R$8)/$R$2,(T111+$T$8)/$T$2)*$R$2-$R$8)</f>
        <v>140</v>
      </c>
      <c r="T111" s="62">
        <v>205</v>
      </c>
      <c r="U111" s="10">
        <f>IF(A111&lt;&gt;"",SUM(B111:I111),"")</f>
        <v>164</v>
      </c>
      <c r="V111" s="10">
        <f>IF(A111&lt;&gt;"",SUM(J111:O111),"")</f>
        <v>281</v>
      </c>
      <c r="W111" s="10">
        <f>IF(A111&lt;&gt;"",SUM(P111:Q111),"")</f>
        <v>0</v>
      </c>
      <c r="X111" s="10">
        <f>IF(A111&lt;&gt;"",SUM(S111:T111),"")</f>
        <v>345</v>
      </c>
      <c r="Y111" s="12">
        <v>3</v>
      </c>
      <c r="Z111" s="12">
        <f>IF(A111&lt;&gt;"",SUM(U111:Y111),"")</f>
        <v>793</v>
      </c>
      <c r="AA111" s="27">
        <f>IF(A111&lt;&gt;"",(Z111+Normalize_To_Add)/(Point_Total_So_Far)*100,"")</f>
        <v>86.809673189131843</v>
      </c>
      <c r="AB111" s="10">
        <f>IF(A111&lt;&gt;"",RANK(AA111,All_Student_XC),"")</f>
        <v>128</v>
      </c>
      <c r="AC111" s="31" t="str">
        <f>IF(A111&lt;&gt;"",CHOOSE(10-MIN(9,TRUNC((AA111+0.5)/10)),"A","B","C","D","F","F","F","F","F","F"),"")</f>
        <v>B</v>
      </c>
      <c r="AD111" s="31" t="str">
        <f>IF(A111&lt;&gt;"",IF(OR(AA111+0.5&gt;=93,AA111+0.5&lt;60),"",IF(MOD(AA111+0.5,10)&gt;=7,"+",IF(MOD(AA111+0.5,10)&lt;3,"-",""))),"")</f>
        <v>+</v>
      </c>
      <c r="AE111" s="31">
        <f>IF(A111&lt;&gt;"",SUM(W111:X111,$W$8:$X$8)/SUM($W$2:$X$2)*100,"")</f>
        <v>84.019346378263677</v>
      </c>
      <c r="AF111" s="43" t="str">
        <f>IF(A111&lt;&gt;"",CHOOSE(10-MIN(9,TRUNC((AE111+0.5)/10)),"A","B","C","D","F","F","F","F","F","F"),"")</f>
        <v>B</v>
      </c>
      <c r="AG111" s="43" t="str">
        <f>IF(A111&lt;&gt;"",IF(OR(AE111+0.5&gt;=93,AE111+0.5&lt;60),"",IF(MOD(AE111+0.5,10)&gt;=7,"+",IF(MOD(AE111+0.5,10)&lt;3,"-",""))),"")</f>
        <v/>
      </c>
      <c r="AH111" s="35">
        <f>IF(A111&lt;&gt;"",MIN(MAX(AA111,AE111),AA111+$AH$8,AE111+$AH$8),"")</f>
        <v>86.809673189131843</v>
      </c>
      <c r="AI111" s="31" t="str">
        <f>IF(A111&lt;&gt;"",CHOOSE(10-MIN(9,TRUNC((AH111+0.5)/10)),"A","B","C","D","F","F","F","F","F","F"),"")</f>
        <v>B</v>
      </c>
      <c r="AJ111" s="31" t="str">
        <f>IF(A111&lt;&gt;"",IF(OR(AH111+0.5&gt;=93,AH111+0.5&lt;60),"",IF(MOD(AH111+0.5,10)&gt;=7,"+",IF(MOD(AH111+0.5,10)&lt;3,"-",""))),"")</f>
        <v>+</v>
      </c>
      <c r="AK111" s="31" t="b">
        <f>IF(A111&lt;&gt;"",OR(AI111&lt;&gt;AC111,AJ111&lt;&gt;AD111),"")</f>
        <v>0</v>
      </c>
      <c r="AL111" s="81">
        <f>IF(AND(A111&lt;&gt;"",U111&gt;0),SUM(U111,$AL$8)/$AL$2*100,"")</f>
        <v>82</v>
      </c>
      <c r="AM111" s="24">
        <f>IF(AND(A111&lt;&gt;"",V111&gt;0),SUM(V111,$AM$8)/$AM$2*100,"")</f>
        <v>93.666666666666671</v>
      </c>
      <c r="AN111" s="24" t="str">
        <f>IF(AND(A111&lt;&gt;"",P111&lt;&gt;0),SUM(P111,$AN$8)/$AN$2*100,"")</f>
        <v/>
      </c>
      <c r="AO111" s="24" t="str">
        <f>IF(AND(A111&lt;&gt;"",Q111&lt;&gt;0),SUM(Q111,$AO$8)/$AO$2*100,"")</f>
        <v/>
      </c>
      <c r="AP111" s="24">
        <f>IF(AND(A111&lt;&gt;"",R111&lt;&gt;0),SUM(R111,$AP$8)/$AP$2*100,"")</f>
        <v>84.502659574468083</v>
      </c>
      <c r="AQ111" s="24" t="str">
        <f>IF(AND(A111&lt;&gt;"",W111&gt;0),SUM(W111,$AQ$8)/$AQ$2*100,"")</f>
        <v/>
      </c>
      <c r="AR111" s="24">
        <f>IF(AND(A111&lt;&gt;"",T111&gt;0),SUM(T111,$AR$8)/$AR$2*100,"")</f>
        <v>83.697137580794092</v>
      </c>
      <c r="AS111" s="24">
        <f>IF(AND(A111&lt;&gt;"",X111&lt;&gt;0),SUM(X111,$AS$8)/$AS$2*100,"")</f>
        <v>84.019346378263677</v>
      </c>
      <c r="AT111" s="86">
        <f>IF(A111&lt;&gt;"",SUM(W111:X111,$AT$8)/$AT$2*100,"")</f>
        <v>84.019346378263677</v>
      </c>
      <c r="AU111" s="24">
        <f>AA111</f>
        <v>86.809673189131843</v>
      </c>
      <c r="AV111" s="24"/>
      <c r="AW111" s="27">
        <f>IF(A111&lt;&gt;"",AE111-AA111,"")</f>
        <v>-2.7903268108681658</v>
      </c>
      <c r="AY111" s="27">
        <f>AR111-AP111</f>
        <v>-0.80552199367399169</v>
      </c>
      <c r="AZ111" s="27">
        <f>ABS(AY111)</f>
        <v>0.80552199367399169</v>
      </c>
    </row>
    <row r="112" spans="1:52" s="27" customFormat="1" ht="12.75" customHeight="1" x14ac:dyDescent="0.2">
      <c r="A112" s="50">
        <v>275800</v>
      </c>
      <c r="B112" s="2">
        <v>18</v>
      </c>
      <c r="C112" s="50">
        <v>20</v>
      </c>
      <c r="D112" s="10">
        <v>19</v>
      </c>
      <c r="E112" s="10">
        <v>15</v>
      </c>
      <c r="F112" s="10">
        <v>19</v>
      </c>
      <c r="G112" s="10">
        <v>19</v>
      </c>
      <c r="H112" s="10">
        <v>9</v>
      </c>
      <c r="I112" s="10">
        <v>25</v>
      </c>
      <c r="J112" s="2"/>
      <c r="K112" s="10">
        <v>54</v>
      </c>
      <c r="L112" s="10">
        <v>44</v>
      </c>
      <c r="M112" s="10">
        <v>55</v>
      </c>
      <c r="N112" s="51">
        <v>13</v>
      </c>
      <c r="O112" s="11">
        <v>58</v>
      </c>
      <c r="P112" s="10"/>
      <c r="Q112" s="40"/>
      <c r="R112" s="2">
        <v>83</v>
      </c>
      <c r="S112" s="10">
        <f>IF(T112="",R112,MAX((R112+$R$8)/$R$2,(T112+$T$8)/$T$2)*$R$2-$R$8)</f>
        <v>145.05562267931867</v>
      </c>
      <c r="T112" s="62">
        <v>215</v>
      </c>
      <c r="U112" s="10">
        <f>IF(A112&lt;&gt;"",SUM(B112:I112),"")</f>
        <v>144</v>
      </c>
      <c r="V112" s="10">
        <f>IF(A112&lt;&gt;"",SUM(J112:O112),"")</f>
        <v>224</v>
      </c>
      <c r="W112" s="10">
        <f>IF(A112&lt;&gt;"",SUM(P112:Q112),"")</f>
        <v>0</v>
      </c>
      <c r="X112" s="10">
        <f>IF(A112&lt;&gt;"",SUM(S112:T112),"")</f>
        <v>360.05562267931867</v>
      </c>
      <c r="Y112" s="12" t="s">
        <v>69</v>
      </c>
      <c r="Z112" s="12">
        <f>IF(A112&lt;&gt;"",SUM(U112:Y112),"")</f>
        <v>728.05562267931873</v>
      </c>
      <c r="AA112" s="27">
        <f>IF(A112&lt;&gt;"",(Z112+Normalize_To_Add)/(Point_Total_So_Far)*100,"")</f>
        <v>80.315235457063721</v>
      </c>
      <c r="AB112" s="10">
        <f>IF(A112&lt;&gt;"",RANK(AA112,All_Student_XC),"")</f>
        <v>205</v>
      </c>
      <c r="AC112" s="31" t="str">
        <f>IF(A112&lt;&gt;"",CHOOSE(10-MIN(9,TRUNC((AA112+0.5)/10)),"A","B","C","D","F","F","F","F","F","F"),"")</f>
        <v>B</v>
      </c>
      <c r="AD112" s="31" t="str">
        <f>IF(A112&lt;&gt;"",IF(OR(AA112+0.5&gt;=93,AA112+0.5&lt;60),"",IF(MOD(AA112+0.5,10)&gt;=7,"+",IF(MOD(AA112+0.5,10)&lt;3,"-",""))),"")</f>
        <v>-</v>
      </c>
      <c r="AE112" s="31">
        <f>IF(A112&lt;&gt;"",SUM(W112:X112,$W$8:$X$8)/SUM($W$2:$X$2)*100,"")</f>
        <v>87.03047091412742</v>
      </c>
      <c r="AF112" s="43" t="str">
        <f>IF(A112&lt;&gt;"",CHOOSE(10-MIN(9,TRUNC((AE112+0.5)/10)),"A","B","C","D","F","F","F","F","F","F"),"")</f>
        <v>B</v>
      </c>
      <c r="AG112" s="43" t="str">
        <f>IF(A112&lt;&gt;"",IF(OR(AE112+0.5&gt;=93,AE112+0.5&lt;60),"",IF(MOD(AE112+0.5,10)&gt;=7,"+",IF(MOD(AE112+0.5,10)&lt;3,"-",""))),"")</f>
        <v>+</v>
      </c>
      <c r="AH112" s="35">
        <f>IF(A112&lt;&gt;"",MIN(MAX(AA112,AE112),AA112+$AH$8,AE112+$AH$8),"")</f>
        <v>87.03047091412742</v>
      </c>
      <c r="AI112" s="31" t="str">
        <f>IF(A112&lt;&gt;"",CHOOSE(10-MIN(9,TRUNC((AH112+0.5)/10)),"A","B","C","D","F","F","F","F","F","F"),"")</f>
        <v>B</v>
      </c>
      <c r="AJ112" s="31" t="str">
        <f>IF(A112&lt;&gt;"",IF(OR(AH112+0.5&gt;=93,AH112+0.5&lt;60),"",IF(MOD(AH112+0.5,10)&gt;=7,"+",IF(MOD(AH112+0.5,10)&lt;3,"-",""))),"")</f>
        <v>+</v>
      </c>
      <c r="AK112" s="31" t="b">
        <f>IF(A112&lt;&gt;"",OR(AI112&lt;&gt;AC112,AJ112&lt;&gt;AD112),"")</f>
        <v>1</v>
      </c>
      <c r="AL112" s="81">
        <f>IF(AND(A112&lt;&gt;"",U112&gt;0),SUM(U112,$AL$8)/$AL$2*100,"")</f>
        <v>72</v>
      </c>
      <c r="AM112" s="24">
        <f>IF(AND(A112&lt;&gt;"",V112&gt;0),SUM(V112,$AM$8)/$AM$2*100,"")</f>
        <v>74.666666666666671</v>
      </c>
      <c r="AN112" s="24" t="str">
        <f>IF(AND(A112&lt;&gt;"",P112&lt;&gt;0),SUM(P112,$AN$8)/$AN$2*100,"")</f>
        <v/>
      </c>
      <c r="AO112" s="24" t="str">
        <f>IF(AND(A112&lt;&gt;"",Q112&lt;&gt;0),SUM(Q112,$AO$8)/$AO$2*100,"")</f>
        <v/>
      </c>
      <c r="AP112" s="24">
        <f>IF(AND(A112&lt;&gt;"",R112&lt;&gt;0),SUM(R112,$AP$8)/$AP$2*100,"")</f>
        <v>56.002659574468083</v>
      </c>
      <c r="AQ112" s="24" t="str">
        <f>IF(AND(A112&lt;&gt;"",W112&gt;0),SUM(W112,$AQ$8)/$AQ$2*100,"")</f>
        <v/>
      </c>
      <c r="AR112" s="24">
        <f>IF(AND(A112&lt;&gt;"",T112&gt;0),SUM(T112,$AR$8)/$AR$2*100,"")</f>
        <v>87.03047091412742</v>
      </c>
      <c r="AS112" s="24">
        <f>IF(AND(A112&lt;&gt;"",X112&lt;&gt;0),SUM(X112,$AS$8)/$AS$2*100,"")</f>
        <v>87.03047091412742</v>
      </c>
      <c r="AT112" s="86">
        <f>IF(A112&lt;&gt;"",SUM(W112:X112,$AT$8)/$AT$2*100,"")</f>
        <v>87.03047091412742</v>
      </c>
      <c r="AU112" s="24">
        <f>AA112</f>
        <v>80.315235457063721</v>
      </c>
      <c r="AV112" s="24"/>
      <c r="AW112" s="27">
        <f>IF(A112&lt;&gt;"",AE112-AA112,"")</f>
        <v>6.7152354570636987</v>
      </c>
      <c r="AY112" s="27">
        <f>AR112-AP112</f>
        <v>31.027811339659337</v>
      </c>
      <c r="AZ112" s="27">
        <f>ABS(AY112)</f>
        <v>31.027811339659337</v>
      </c>
    </row>
    <row r="113" spans="1:52" s="27" customFormat="1" ht="12.75" customHeight="1" x14ac:dyDescent="0.2">
      <c r="A113" s="50">
        <v>282608</v>
      </c>
      <c r="B113" s="2">
        <v>25</v>
      </c>
      <c r="C113" s="50">
        <v>13</v>
      </c>
      <c r="D113" s="10">
        <v>20</v>
      </c>
      <c r="E113" s="10">
        <v>23</v>
      </c>
      <c r="F113" s="10">
        <v>22</v>
      </c>
      <c r="G113" s="10">
        <v>25</v>
      </c>
      <c r="H113" s="10">
        <v>10</v>
      </c>
      <c r="I113" s="10">
        <v>21</v>
      </c>
      <c r="J113" s="2"/>
      <c r="K113" s="10">
        <v>62</v>
      </c>
      <c r="L113" s="10">
        <v>62</v>
      </c>
      <c r="M113" s="10">
        <v>55</v>
      </c>
      <c r="N113" s="51">
        <v>51</v>
      </c>
      <c r="O113" s="11">
        <v>56</v>
      </c>
      <c r="P113" s="10"/>
      <c r="Q113" s="40"/>
      <c r="R113" s="2">
        <v>144</v>
      </c>
      <c r="S113" s="10">
        <f>IF(T113="",R113,MAX((R113+$R$8)/$R$2,(T113+$T$8)/$T$2)*$R$2-$R$8)</f>
        <v>144</v>
      </c>
      <c r="T113" s="62">
        <v>144</v>
      </c>
      <c r="U113" s="10">
        <f>IF(A113&lt;&gt;"",SUM(B113:I113),"")</f>
        <v>159</v>
      </c>
      <c r="V113" s="10">
        <f>IF(A113&lt;&gt;"",SUM(J113:O113),"")</f>
        <v>286</v>
      </c>
      <c r="W113" s="10">
        <f>IF(A113&lt;&gt;"",SUM(P113:Q113),"")</f>
        <v>0</v>
      </c>
      <c r="X113" s="10">
        <f>IF(A113&lt;&gt;"",SUM(S113:T113),"")</f>
        <v>288</v>
      </c>
      <c r="Y113" s="12">
        <v>3</v>
      </c>
      <c r="Z113" s="12">
        <f>IF(A113&lt;&gt;"",SUM(U113:Y113),"")</f>
        <v>736</v>
      </c>
      <c r="AA113" s="27">
        <f>IF(A113&lt;&gt;"",(Z113+Normalize_To_Add)/(Point_Total_So_Far)*100,"")</f>
        <v>81.109673189131854</v>
      </c>
      <c r="AB113" s="10">
        <f>IF(A113&lt;&gt;"",RANK(AA113,All_Student_XC),"")</f>
        <v>195</v>
      </c>
      <c r="AC113" s="31" t="str">
        <f>IF(A113&lt;&gt;"",CHOOSE(10-MIN(9,TRUNC((AA113+0.5)/10)),"A","B","C","D","F","F","F","F","F","F"),"")</f>
        <v>B</v>
      </c>
      <c r="AD113" s="31" t="str">
        <f>IF(A113&lt;&gt;"",IF(OR(AA113+0.5&gt;=93,AA113+0.5&lt;60),"",IF(MOD(AA113+0.5,10)&gt;=7,"+",IF(MOD(AA113+0.5,10)&lt;3,"-",""))),"")</f>
        <v>-</v>
      </c>
      <c r="AE113" s="31">
        <f>IF(A113&lt;&gt;"",SUM(W113:X113,$W$8:$X$8)/SUM($W$2:$X$2)*100,"")</f>
        <v>72.619346378263685</v>
      </c>
      <c r="AF113" s="43" t="str">
        <f>IF(A113&lt;&gt;"",CHOOSE(10-MIN(9,TRUNC((AE113+0.5)/10)),"A","B","C","D","F","F","F","F","F","F"),"")</f>
        <v>C</v>
      </c>
      <c r="AG113" s="43" t="str">
        <f>IF(A113&lt;&gt;"",IF(OR(AE113+0.5&gt;=93,AE113+0.5&lt;60),"",IF(MOD(AE113+0.5,10)&gt;=7,"+",IF(MOD(AE113+0.5,10)&lt;3,"-",""))),"")</f>
        <v/>
      </c>
      <c r="AH113" s="35">
        <f>IF(A113&lt;&gt;"",MIN(MAX(AA113,AE113),AA113+$AH$8,AE113+$AH$8),"")</f>
        <v>81.109673189131854</v>
      </c>
      <c r="AI113" s="31" t="str">
        <f>IF(A113&lt;&gt;"",CHOOSE(10-MIN(9,TRUNC((AH113+0.5)/10)),"A","B","C","D","F","F","F","F","F","F"),"")</f>
        <v>B</v>
      </c>
      <c r="AJ113" s="31" t="str">
        <f>IF(A113&lt;&gt;"",IF(OR(AH113+0.5&gt;=93,AH113+0.5&lt;60),"",IF(MOD(AH113+0.5,10)&gt;=7,"+",IF(MOD(AH113+0.5,10)&lt;3,"-",""))),"")</f>
        <v>-</v>
      </c>
      <c r="AK113" s="31" t="b">
        <f>IF(A113&lt;&gt;"",OR(AI113&lt;&gt;AC113,AJ113&lt;&gt;AD113),"")</f>
        <v>0</v>
      </c>
      <c r="AL113" s="81">
        <f>IF(AND(A113&lt;&gt;"",U113&gt;0),SUM(U113,$AL$8)/$AL$2*100,"")</f>
        <v>79.5</v>
      </c>
      <c r="AM113" s="24">
        <f>IF(AND(A113&lt;&gt;"",V113&gt;0),SUM(V113,$AM$8)/$AM$2*100,"")</f>
        <v>95.333333333333343</v>
      </c>
      <c r="AN113" s="24" t="str">
        <f>IF(AND(A113&lt;&gt;"",P113&lt;&gt;0),SUM(P113,$AN$8)/$AN$2*100,"")</f>
        <v/>
      </c>
      <c r="AO113" s="24" t="str">
        <f>IF(AND(A113&lt;&gt;"",Q113&lt;&gt;0),SUM(Q113,$AO$8)/$AO$2*100,"")</f>
        <v/>
      </c>
      <c r="AP113" s="24">
        <f>IF(AND(A113&lt;&gt;"",R113&lt;&gt;0),SUM(R113,$AP$8)/$AP$2*100,"")</f>
        <v>86.502659574468083</v>
      </c>
      <c r="AQ113" s="24" t="str">
        <f>IF(AND(A113&lt;&gt;"",W113&gt;0),SUM(W113,$AQ$8)/$AQ$2*100,"")</f>
        <v/>
      </c>
      <c r="AR113" s="24">
        <f>IF(AND(A113&lt;&gt;"",T113&gt;0),SUM(T113,$AR$8)/$AR$2*100,"")</f>
        <v>63.363804247460756</v>
      </c>
      <c r="AS113" s="24">
        <f>IF(AND(A113&lt;&gt;"",X113&lt;&gt;0),SUM(X113,$AS$8)/$AS$2*100,"")</f>
        <v>72.619346378263685</v>
      </c>
      <c r="AT113" s="86">
        <f>IF(A113&lt;&gt;"",SUM(W113:X113,$AT$8)/$AT$2*100,"")</f>
        <v>72.619346378263685</v>
      </c>
      <c r="AU113" s="24">
        <f>AA113</f>
        <v>81.109673189131854</v>
      </c>
      <c r="AV113" s="24"/>
      <c r="AW113" s="27">
        <f>IF(A113&lt;&gt;"",AE113-AA113,"")</f>
        <v>-8.4903268108681686</v>
      </c>
      <c r="AY113" s="27">
        <f>AR113-AP113</f>
        <v>-23.138855327007327</v>
      </c>
      <c r="AZ113" s="27">
        <f>ABS(AY113)</f>
        <v>23.138855327007327</v>
      </c>
    </row>
    <row r="114" spans="1:52" s="27" customFormat="1" ht="12.75" customHeight="1" x14ac:dyDescent="0.2">
      <c r="A114" s="10">
        <v>283368</v>
      </c>
      <c r="B114" s="2">
        <v>3</v>
      </c>
      <c r="C114" s="10">
        <v>12</v>
      </c>
      <c r="D114" s="10">
        <v>13</v>
      </c>
      <c r="E114" s="10">
        <v>21</v>
      </c>
      <c r="F114" s="10">
        <v>21</v>
      </c>
      <c r="G114" s="10" t="s">
        <v>69</v>
      </c>
      <c r="H114" s="10">
        <v>14</v>
      </c>
      <c r="I114" s="10">
        <v>25</v>
      </c>
      <c r="J114" s="2"/>
      <c r="K114" s="10">
        <v>43</v>
      </c>
      <c r="L114" s="10">
        <v>62</v>
      </c>
      <c r="M114" s="10">
        <v>55</v>
      </c>
      <c r="N114" s="51">
        <v>13</v>
      </c>
      <c r="O114" s="11">
        <v>60</v>
      </c>
      <c r="P114" s="10"/>
      <c r="Q114" s="40"/>
      <c r="R114" s="2">
        <v>94</v>
      </c>
      <c r="S114" s="10">
        <f>IF(T114="",R114,MAX((R114+$R$8)/$R$2,(T114+$T$8)/$T$2)*$R$2-$R$8)</f>
        <v>94.000000000000014</v>
      </c>
      <c r="T114" s="12">
        <v>125</v>
      </c>
      <c r="U114" s="34">
        <f>IF(A114&lt;&gt;"",SUM(B114:I114),"")</f>
        <v>109</v>
      </c>
      <c r="V114" s="10">
        <f>IF(A114&lt;&gt;"",SUM(J114:O114),"")</f>
        <v>233</v>
      </c>
      <c r="W114" s="10">
        <f>IF(A114&lt;&gt;"",SUM(P114:Q114),"")</f>
        <v>0</v>
      </c>
      <c r="X114" s="10">
        <f>IF(A114&lt;&gt;"",SUM(S114:T114),"")</f>
        <v>219</v>
      </c>
      <c r="Y114" s="12" t="s">
        <v>69</v>
      </c>
      <c r="Z114" s="12">
        <f>IF(A114&lt;&gt;"",SUM(U114:Y114),"")</f>
        <v>561</v>
      </c>
      <c r="AA114" s="27">
        <f>IF(A114&lt;&gt;"",(Z114+Normalize_To_Add)/(Point_Total_So_Far)*100,"")</f>
        <v>63.60967318913184</v>
      </c>
      <c r="AB114" s="10">
        <f>IF(A114&lt;&gt;"",RANK(AA114,All_Student_XC),"")</f>
        <v>338</v>
      </c>
      <c r="AC114" s="31" t="str">
        <f>IF(A114&lt;&gt;"",CHOOSE(10-MIN(9,TRUNC((AA114+0.5)/10)),"A","B","C","D","F","F","F","F","F","F"),"")</f>
        <v>D</v>
      </c>
      <c r="AD114" s="31" t="str">
        <f>IF(A114&lt;&gt;"",IF(OR(AA114+0.5&gt;=93,AA114+0.5&lt;60),"",IF(MOD(AA114+0.5,10)&gt;=7,"+",IF(MOD(AA114+0.5,10)&lt;3,"-",""))),"")</f>
        <v/>
      </c>
      <c r="AE114" s="31">
        <f>IF(A114&lt;&gt;"",SUM(W114:X114,$W$8:$X$8)/SUM($W$2:$X$2)*100,"")</f>
        <v>58.819346378263681</v>
      </c>
      <c r="AF114" s="31" t="str">
        <f>IF(A114&lt;&gt;"",CHOOSE(10-MIN(9,TRUNC((AE114+0.5)/10)),"A","B","C","D","F","F","F","F","F","F"),"")</f>
        <v>F</v>
      </c>
      <c r="AG114" s="31" t="str">
        <f>IF(A114&lt;&gt;"",IF(OR(AE114+0.5&gt;=93,AE114+0.5&lt;60),"",IF(MOD(AE114+0.5,10)&gt;=7,"+",IF(MOD(AE114+0.5,10)&lt;3,"-",""))),"")</f>
        <v/>
      </c>
      <c r="AH114" s="35">
        <f>IF(A114&lt;&gt;"",MIN(MAX(AA114,AE114),AA114+$AH$8,AE114+$AH$8),"")</f>
        <v>63.60967318913184</v>
      </c>
      <c r="AI114" s="31" t="str">
        <f>IF(A114&lt;&gt;"",CHOOSE(10-MIN(9,TRUNC((AH114+0.5)/10)),"A","B","C","D","F","F","F","F","F","F"),"")</f>
        <v>D</v>
      </c>
      <c r="AJ114" s="31" t="str">
        <f>IF(A114&lt;&gt;"",IF(OR(AH114+0.5&gt;=93,AH114+0.5&lt;60),"",IF(MOD(AH114+0.5,10)&gt;=7,"+",IF(MOD(AH114+0.5,10)&lt;3,"-",""))),"")</f>
        <v/>
      </c>
      <c r="AK114" s="31" t="b">
        <f>IF(A114&lt;&gt;"",OR(AI114&lt;&gt;AC114,AJ114&lt;&gt;AD114),"")</f>
        <v>0</v>
      </c>
      <c r="AL114" s="81">
        <f>IF(AND(A114&lt;&gt;"",U114&gt;0),SUM(U114,$AL$8)/$AL$2*100,"")</f>
        <v>54.500000000000007</v>
      </c>
      <c r="AM114" s="24">
        <f>IF(AND(A114&lt;&gt;"",V114&gt;0),SUM(V114,$AM$8)/$AM$2*100,"")</f>
        <v>77.666666666666657</v>
      </c>
      <c r="AN114" s="24" t="str">
        <f>IF(AND(A114&lt;&gt;"",P114&lt;&gt;0),SUM(P114,$AN$8)/$AN$2*100,"")</f>
        <v/>
      </c>
      <c r="AO114" s="24" t="str">
        <f>IF(AND(A114&lt;&gt;"",Q114&lt;&gt;0),SUM(Q114,$AO$8)/$AO$2*100,"")</f>
        <v/>
      </c>
      <c r="AP114" s="24">
        <f>IF(AND(A114&lt;&gt;"",R114&lt;&gt;0),SUM(R114,$AP$8)/$AP$2*100,"")</f>
        <v>61.50265957446809</v>
      </c>
      <c r="AQ114" s="24" t="str">
        <f>IF(AND(A114&lt;&gt;"",W114&gt;0),SUM(W114,$AQ$8)/$AQ$2*100,"")</f>
        <v/>
      </c>
      <c r="AR114" s="24">
        <f>IF(AND(A114&lt;&gt;"",T114&gt;0),SUM(T114,$AR$8)/$AR$2*100,"")</f>
        <v>57.03047091412742</v>
      </c>
      <c r="AS114" s="24">
        <f>IF(AND(A114&lt;&gt;"",X114&lt;&gt;0),SUM(X114,$AS$8)/$AS$2*100,"")</f>
        <v>58.819346378263681</v>
      </c>
      <c r="AT114" s="86">
        <f>IF(A114&lt;&gt;"",SUM(W114:X114,$AT$8)/$AT$2*100,"")</f>
        <v>58.819346378263681</v>
      </c>
      <c r="AU114" s="24">
        <f>AA114</f>
        <v>63.60967318913184</v>
      </c>
      <c r="AV114" s="24"/>
      <c r="AW114" s="27">
        <f>IF(A114&lt;&gt;"",AE114-AA114,"")</f>
        <v>-4.7903268108681587</v>
      </c>
      <c r="AY114" s="27">
        <f>AR114-AP114</f>
        <v>-4.4721886603406702</v>
      </c>
      <c r="AZ114" s="27">
        <f>ABS(AY114)</f>
        <v>4.4721886603406702</v>
      </c>
    </row>
    <row r="115" spans="1:52" s="74" customFormat="1" ht="12.75" customHeight="1" x14ac:dyDescent="0.2">
      <c r="A115" s="69">
        <v>283752</v>
      </c>
      <c r="B115" s="70">
        <v>25</v>
      </c>
      <c r="C115" s="69">
        <v>25</v>
      </c>
      <c r="D115" s="69">
        <v>23</v>
      </c>
      <c r="E115" s="69">
        <v>22</v>
      </c>
      <c r="F115" s="69">
        <v>20</v>
      </c>
      <c r="G115" s="69">
        <v>25</v>
      </c>
      <c r="H115" s="69">
        <v>25</v>
      </c>
      <c r="I115" s="69">
        <v>25</v>
      </c>
      <c r="J115" s="70"/>
      <c r="K115" s="69">
        <v>57</v>
      </c>
      <c r="L115" s="69">
        <v>55</v>
      </c>
      <c r="M115" s="69">
        <v>57</v>
      </c>
      <c r="N115" s="92">
        <v>60</v>
      </c>
      <c r="O115" s="71">
        <v>61</v>
      </c>
      <c r="P115" s="69"/>
      <c r="Q115" s="72"/>
      <c r="R115" s="70">
        <v>117</v>
      </c>
      <c r="S115" s="69">
        <f>IF(T115="",R115,MAX((R115+$R$8)/$R$2,(T115+$T$8)/$T$2)*$R$2-$R$8)</f>
        <v>148.38895601265199</v>
      </c>
      <c r="T115" s="73">
        <v>220</v>
      </c>
      <c r="U115" s="99">
        <f>IF(A115&lt;&gt;"",SUM(B115:I115),"")</f>
        <v>190</v>
      </c>
      <c r="V115" s="69">
        <f>IF(A115&lt;&gt;"",SUM(J115:O115),"")</f>
        <v>290</v>
      </c>
      <c r="W115" s="69">
        <f>IF(A115&lt;&gt;"",SUM(P115:Q115),"")</f>
        <v>0</v>
      </c>
      <c r="X115" s="69">
        <f>IF(A115&lt;&gt;"",SUM(S115:T115),"")</f>
        <v>368.38895601265199</v>
      </c>
      <c r="Y115" s="73">
        <v>3</v>
      </c>
      <c r="Z115" s="73">
        <f>IF(A115&lt;&gt;"",SUM(U115:Y115),"")</f>
        <v>851.38895601265199</v>
      </c>
      <c r="AA115" s="74">
        <f>IF(A115&lt;&gt;"",(Z115+Normalize_To_Add)/(Point_Total_So_Far)*100,"")</f>
        <v>92.64856879039705</v>
      </c>
      <c r="AB115" s="69">
        <f>IF(A115&lt;&gt;"",RANK(AA115,All_Student_XC),"")</f>
        <v>52</v>
      </c>
      <c r="AC115" s="75" t="str">
        <f>IF(A115&lt;&gt;"",CHOOSE(10-MIN(9,TRUNC((AA115+0.5)/10)),"A","B","C","D","F","F","F","F","F","F"),"")</f>
        <v>A</v>
      </c>
      <c r="AD115" s="75" t="str">
        <f>IF(A115&lt;&gt;"",IF(OR(AA115+0.5&gt;=93,AA115+0.5&lt;60),"",IF(MOD(AA115+0.5,10)&gt;=7,"+",IF(MOD(AA115+0.5,10)&lt;3,"-",""))),"")</f>
        <v/>
      </c>
      <c r="AE115" s="75">
        <f>IF(A115&lt;&gt;"",SUM(W115:X115,$W$8:$X$8)/SUM($W$2:$X$2)*100,"")</f>
        <v>88.697137580794077</v>
      </c>
      <c r="AF115" s="75" t="str">
        <f>IF(A115&lt;&gt;"",CHOOSE(10-MIN(9,TRUNC((AE115+0.5)/10)),"A","B","C","D","F","F","F","F","F","F"),"")</f>
        <v>B</v>
      </c>
      <c r="AG115" s="75" t="str">
        <f>IF(A115&lt;&gt;"",IF(OR(AE115+0.5&gt;=93,AE115+0.5&lt;60),"",IF(MOD(AE115+0.5,10)&gt;=7,"+",IF(MOD(AE115+0.5,10)&lt;3,"-",""))),"")</f>
        <v>+</v>
      </c>
      <c r="AH115" s="76">
        <f>IF(A115&lt;&gt;"",MIN(MAX(AA115,AE115),AA115+$AH$8,AE115+$AH$8),"")</f>
        <v>92.64856879039705</v>
      </c>
      <c r="AI115" s="75" t="str">
        <f>IF(A115&lt;&gt;"",CHOOSE(10-MIN(9,TRUNC((AH115+0.5)/10)),"A","B","C","D","F","F","F","F","F","F"),"")</f>
        <v>A</v>
      </c>
      <c r="AJ115" s="75" t="str">
        <f>IF(A115&lt;&gt;"",IF(OR(AH115+0.5&gt;=93,AH115+0.5&lt;60),"",IF(MOD(AH115+0.5,10)&gt;=7,"+",IF(MOD(AH115+0.5,10)&lt;3,"-",""))),"")</f>
        <v/>
      </c>
      <c r="AK115" s="75" t="b">
        <f>IF(A115&lt;&gt;"",OR(AI115&lt;&gt;AC115,AJ115&lt;&gt;AD115),"")</f>
        <v>0</v>
      </c>
      <c r="AL115" s="83">
        <f>IF(AND(A115&lt;&gt;"",U115&gt;0),SUM(U115,$AL$8)/$AL$2*100,"")</f>
        <v>95</v>
      </c>
      <c r="AM115" s="77">
        <f>IF(AND(A115&lt;&gt;"",V115&gt;0),SUM(V115,$AM$8)/$AM$2*100,"")</f>
        <v>96.666666666666671</v>
      </c>
      <c r="AN115" s="77" t="str">
        <f>IF(AND(A115&lt;&gt;"",P115&lt;&gt;0),SUM(P115,$AN$8)/$AN$2*100,"")</f>
        <v/>
      </c>
      <c r="AO115" s="77" t="str">
        <f>IF(AND(A115&lt;&gt;"",Q115&lt;&gt;0),SUM(Q115,$AO$8)/$AO$2*100,"")</f>
        <v/>
      </c>
      <c r="AP115" s="77">
        <f>IF(AND(A115&lt;&gt;"",R115&lt;&gt;0),SUM(R115,$AP$8)/$AP$2*100,"")</f>
        <v>73.002659574468083</v>
      </c>
      <c r="AQ115" s="77" t="str">
        <f>IF(AND(A115&lt;&gt;"",W115&gt;0),SUM(W115,$AQ$8)/$AQ$2*100,"")</f>
        <v/>
      </c>
      <c r="AR115" s="77">
        <f>IF(AND(A115&lt;&gt;"",T115&gt;0),SUM(T115,$AR$8)/$AR$2*100,"")</f>
        <v>88.697137580794077</v>
      </c>
      <c r="AS115" s="77">
        <f>IF(AND(A115&lt;&gt;"",X115&lt;&gt;0),SUM(X115,$AS$8)/$AS$2*100,"")</f>
        <v>88.697137580794077</v>
      </c>
      <c r="AT115" s="89">
        <f>IF(A115&lt;&gt;"",SUM(W115:X115,$AT$8)/$AT$2*100,"")</f>
        <v>88.697137580794077</v>
      </c>
      <c r="AU115" s="77">
        <f>AA115</f>
        <v>92.64856879039705</v>
      </c>
      <c r="AV115" s="77"/>
      <c r="AW115" s="74">
        <f>IF(A115&lt;&gt;"",AE115-AA115,"")</f>
        <v>-3.9514312096029727</v>
      </c>
      <c r="AY115" s="74">
        <f>AR115-AP115</f>
        <v>15.694478006325994</v>
      </c>
      <c r="AZ115" s="74">
        <f>ABS(AY115)</f>
        <v>15.694478006325994</v>
      </c>
    </row>
    <row r="116" spans="1:52" s="27" customFormat="1" ht="12.75" customHeight="1" x14ac:dyDescent="0.2">
      <c r="A116" s="10">
        <v>289626</v>
      </c>
      <c r="B116" s="2">
        <v>25</v>
      </c>
      <c r="C116" s="10">
        <v>24</v>
      </c>
      <c r="D116" s="10">
        <v>23</v>
      </c>
      <c r="E116" s="10">
        <v>21</v>
      </c>
      <c r="F116" s="10">
        <v>24</v>
      </c>
      <c r="G116" s="10">
        <v>25</v>
      </c>
      <c r="H116" s="10">
        <v>19</v>
      </c>
      <c r="I116" s="10">
        <v>24</v>
      </c>
      <c r="J116" s="2"/>
      <c r="K116" s="10">
        <v>55</v>
      </c>
      <c r="L116" s="10">
        <v>51</v>
      </c>
      <c r="M116" s="10">
        <v>56</v>
      </c>
      <c r="N116" s="51">
        <v>58</v>
      </c>
      <c r="O116" s="11">
        <v>60</v>
      </c>
      <c r="P116" s="10"/>
      <c r="Q116" s="40"/>
      <c r="R116" s="2">
        <v>101</v>
      </c>
      <c r="S116" s="10">
        <f>IF(T116="",R116,MAX((R116+$R$8)/$R$2,(T116+$T$8)/$T$2)*$R$2-$R$8)</f>
        <v>126.38895601265199</v>
      </c>
      <c r="T116" s="12">
        <v>187</v>
      </c>
      <c r="U116" s="34">
        <f>IF(A116&lt;&gt;"",SUM(B116:I116),"")</f>
        <v>185</v>
      </c>
      <c r="V116" s="10">
        <f>IF(A116&lt;&gt;"",SUM(J116:O116),"")</f>
        <v>280</v>
      </c>
      <c r="W116" s="10">
        <f>IF(A116&lt;&gt;"",SUM(P116:Q116),"")</f>
        <v>0</v>
      </c>
      <c r="X116" s="10">
        <f>IF(A116&lt;&gt;"",SUM(S116:T116),"")</f>
        <v>313.38895601265199</v>
      </c>
      <c r="Y116" s="12">
        <v>3</v>
      </c>
      <c r="Z116" s="12">
        <f>IF(A116&lt;&gt;"",SUM(U116:Y116),"")</f>
        <v>781.38895601265199</v>
      </c>
      <c r="AA116" s="27">
        <f>IF(A116&lt;&gt;"",(Z116+Normalize_To_Add)/(Point_Total_So_Far)*100,"")</f>
        <v>85.648568790397036</v>
      </c>
      <c r="AB116" s="10">
        <f>IF(A116&lt;&gt;"",RANK(AA116,All_Student_XC),"")</f>
        <v>148</v>
      </c>
      <c r="AC116" s="31" t="str">
        <f>IF(A116&lt;&gt;"",CHOOSE(10-MIN(9,TRUNC((AA116+0.5)/10)),"A","B","C","D","F","F","F","F","F","F"),"")</f>
        <v>B</v>
      </c>
      <c r="AD116" s="31" t="str">
        <f>IF(A116&lt;&gt;"",IF(OR(AA116+0.5&gt;=93,AA116+0.5&lt;60),"",IF(MOD(AA116+0.5,10)&gt;=7,"+",IF(MOD(AA116+0.5,10)&lt;3,"-",""))),"")</f>
        <v/>
      </c>
      <c r="AE116" s="31">
        <f>IF(A116&lt;&gt;"",SUM(W116:X116,$W$8:$X$8)/SUM($W$2:$X$2)*100,"")</f>
        <v>77.697137580794077</v>
      </c>
      <c r="AF116" s="31" t="str">
        <f>IF(A116&lt;&gt;"",CHOOSE(10-MIN(9,TRUNC((AE116+0.5)/10)),"A","B","C","D","F","F","F","F","F","F"),"")</f>
        <v>C</v>
      </c>
      <c r="AG116" s="31" t="str">
        <f>IF(A116&lt;&gt;"",IF(OR(AE116+0.5&gt;=93,AE116+0.5&lt;60),"",IF(MOD(AE116+0.5,10)&gt;=7,"+",IF(MOD(AE116+0.5,10)&lt;3,"-",""))),"")</f>
        <v>+</v>
      </c>
      <c r="AH116" s="35">
        <f>IF(A116&lt;&gt;"",MIN(MAX(AA116,AE116),AA116+$AH$8,AE116+$AH$8),"")</f>
        <v>85.648568790397036</v>
      </c>
      <c r="AI116" s="31" t="str">
        <f>IF(A116&lt;&gt;"",CHOOSE(10-MIN(9,TRUNC((AH116+0.5)/10)),"A","B","C","D","F","F","F","F","F","F"),"")</f>
        <v>B</v>
      </c>
      <c r="AJ116" s="31" t="str">
        <f>IF(A116&lt;&gt;"",IF(OR(AH116+0.5&gt;=93,AH116+0.5&lt;60),"",IF(MOD(AH116+0.5,10)&gt;=7,"+",IF(MOD(AH116+0.5,10)&lt;3,"-",""))),"")</f>
        <v/>
      </c>
      <c r="AK116" s="31" t="b">
        <f>IF(A116&lt;&gt;"",OR(AI116&lt;&gt;AC116,AJ116&lt;&gt;AD116),"")</f>
        <v>0</v>
      </c>
      <c r="AL116" s="81">
        <f>IF(AND(A116&lt;&gt;"",U116&gt;0),SUM(U116,$AL$8)/$AL$2*100,"")</f>
        <v>92.5</v>
      </c>
      <c r="AM116" s="24">
        <f>IF(AND(A116&lt;&gt;"",V116&gt;0),SUM(V116,$AM$8)/$AM$2*100,"")</f>
        <v>93.333333333333329</v>
      </c>
      <c r="AN116" s="24" t="str">
        <f>IF(AND(A116&lt;&gt;"",P116&lt;&gt;0),SUM(P116,$AN$8)/$AN$2*100,"")</f>
        <v/>
      </c>
      <c r="AO116" s="24" t="str">
        <f>IF(AND(A116&lt;&gt;"",Q116&lt;&gt;0),SUM(Q116,$AO$8)/$AO$2*100,"")</f>
        <v/>
      </c>
      <c r="AP116" s="24">
        <f>IF(AND(A116&lt;&gt;"",R116&lt;&gt;0),SUM(R116,$AP$8)/$AP$2*100,"")</f>
        <v>65.002659574468083</v>
      </c>
      <c r="AQ116" s="24" t="str">
        <f>IF(AND(A116&lt;&gt;"",W116&gt;0),SUM(W116,$AQ$8)/$AQ$2*100,"")</f>
        <v/>
      </c>
      <c r="AR116" s="24">
        <f>IF(AND(A116&lt;&gt;"",T116&gt;0),SUM(T116,$AR$8)/$AR$2*100,"")</f>
        <v>77.697137580794077</v>
      </c>
      <c r="AS116" s="24">
        <f>IF(AND(A116&lt;&gt;"",X116&lt;&gt;0),SUM(X116,$AS$8)/$AS$2*100,"")</f>
        <v>77.697137580794077</v>
      </c>
      <c r="AT116" s="86">
        <f>IF(A116&lt;&gt;"",SUM(W116:X116,$AT$8)/$AT$2*100,"")</f>
        <v>77.697137580794077</v>
      </c>
      <c r="AU116" s="24">
        <f>AA116</f>
        <v>85.648568790397036</v>
      </c>
      <c r="AV116" s="24"/>
      <c r="AW116" s="27">
        <f>IF(A116&lt;&gt;"",AE116-AA116,"")</f>
        <v>-7.9514312096029585</v>
      </c>
      <c r="AY116" s="27">
        <f>AR116-AP116</f>
        <v>12.694478006325994</v>
      </c>
      <c r="AZ116" s="27">
        <f>ABS(AY116)</f>
        <v>12.694478006325994</v>
      </c>
    </row>
    <row r="117" spans="1:52" s="27" customFormat="1" ht="12.75" customHeight="1" x14ac:dyDescent="0.2">
      <c r="A117" s="50">
        <v>291960</v>
      </c>
      <c r="B117" s="2">
        <v>23</v>
      </c>
      <c r="C117" s="50">
        <v>22</v>
      </c>
      <c r="D117" s="10">
        <v>22</v>
      </c>
      <c r="E117" s="10">
        <v>25</v>
      </c>
      <c r="F117" s="10">
        <v>16</v>
      </c>
      <c r="G117" s="10">
        <v>25</v>
      </c>
      <c r="H117" s="10">
        <v>20</v>
      </c>
      <c r="I117" s="10">
        <v>23</v>
      </c>
      <c r="J117" s="2"/>
      <c r="K117" s="10">
        <v>57</v>
      </c>
      <c r="L117" s="10">
        <v>58</v>
      </c>
      <c r="M117" s="10">
        <v>57</v>
      </c>
      <c r="N117" s="51">
        <v>55</v>
      </c>
      <c r="O117" s="11">
        <v>57</v>
      </c>
      <c r="P117" s="10"/>
      <c r="Q117" s="40"/>
      <c r="R117" s="2">
        <v>141</v>
      </c>
      <c r="S117" s="10">
        <f>IF(T117="",R117,MAX((R117+$R$8)/$R$2,(T117+$T$8)/$T$2)*$R$2-$R$8)</f>
        <v>141</v>
      </c>
      <c r="T117" s="62">
        <v>180</v>
      </c>
      <c r="U117" s="10">
        <f>IF(A117&lt;&gt;"",SUM(B117:I117),"")</f>
        <v>176</v>
      </c>
      <c r="V117" s="10">
        <f>IF(A117&lt;&gt;"",SUM(J117:O117),"")</f>
        <v>284</v>
      </c>
      <c r="W117" s="10">
        <f>IF(A117&lt;&gt;"",SUM(P117:Q117),"")</f>
        <v>0</v>
      </c>
      <c r="X117" s="10">
        <f>IF(A117&lt;&gt;"",SUM(S117:T117),"")</f>
        <v>321</v>
      </c>
      <c r="Y117" s="12">
        <v>3</v>
      </c>
      <c r="Z117" s="12">
        <f>IF(A117&lt;&gt;"",SUM(U117:Y117),"")</f>
        <v>784</v>
      </c>
      <c r="AA117" s="27">
        <f>IF(A117&lt;&gt;"",(Z117+Normalize_To_Add)/(Point_Total_So_Far)*100,"")</f>
        <v>85.909673189131837</v>
      </c>
      <c r="AB117" s="10">
        <f>IF(A117&lt;&gt;"",RANK(AA117,All_Student_XC),"")</f>
        <v>142</v>
      </c>
      <c r="AC117" s="31" t="str">
        <f>IF(A117&lt;&gt;"",CHOOSE(10-MIN(9,TRUNC((AA117+0.5)/10)),"A","B","C","D","F","F","F","F","F","F"),"")</f>
        <v>B</v>
      </c>
      <c r="AD117" s="31" t="str">
        <f>IF(A117&lt;&gt;"",IF(OR(AA117+0.5&gt;=93,AA117+0.5&lt;60),"",IF(MOD(AA117+0.5,10)&gt;=7,"+",IF(MOD(AA117+0.5,10)&lt;3,"-",""))),"")</f>
        <v/>
      </c>
      <c r="AE117" s="31">
        <f>IF(A117&lt;&gt;"",SUM(W117:X117,$W$8:$X$8)/SUM($W$2:$X$2)*100,"")</f>
        <v>79.219346378263694</v>
      </c>
      <c r="AF117" s="43" t="str">
        <f>IF(A117&lt;&gt;"",CHOOSE(10-MIN(9,TRUNC((AE117+0.5)/10)),"A","B","C","D","F","F","F","F","F","F"),"")</f>
        <v>C</v>
      </c>
      <c r="AG117" s="43" t="str">
        <f>IF(A117&lt;&gt;"",IF(OR(AE117+0.5&gt;=93,AE117+0.5&lt;60),"",IF(MOD(AE117+0.5,10)&gt;=7,"+",IF(MOD(AE117+0.5,10)&lt;3,"-",""))),"")</f>
        <v>+</v>
      </c>
      <c r="AH117" s="35">
        <f>IF(A117&lt;&gt;"",MIN(MAX(AA117,AE117),AA117+$AH$8,AE117+$AH$8),"")</f>
        <v>85.909673189131837</v>
      </c>
      <c r="AI117" s="31" t="str">
        <f>IF(A117&lt;&gt;"",CHOOSE(10-MIN(9,TRUNC((AH117+0.5)/10)),"A","B","C","D","F","F","F","F","F","F"),"")</f>
        <v>B</v>
      </c>
      <c r="AJ117" s="31" t="str">
        <f>IF(A117&lt;&gt;"",IF(OR(AH117+0.5&gt;=93,AH117+0.5&lt;60),"",IF(MOD(AH117+0.5,10)&gt;=7,"+",IF(MOD(AH117+0.5,10)&lt;3,"-",""))),"")</f>
        <v/>
      </c>
      <c r="AK117" s="31" t="b">
        <f>IF(A117&lt;&gt;"",OR(AI117&lt;&gt;AC117,AJ117&lt;&gt;AD117),"")</f>
        <v>0</v>
      </c>
      <c r="AL117" s="81">
        <f>IF(AND(A117&lt;&gt;"",U117&gt;0),SUM(U117,$AL$8)/$AL$2*100,"")</f>
        <v>88</v>
      </c>
      <c r="AM117" s="24">
        <f>IF(AND(A117&lt;&gt;"",V117&gt;0),SUM(V117,$AM$8)/$AM$2*100,"")</f>
        <v>94.666666666666671</v>
      </c>
      <c r="AN117" s="24" t="str">
        <f>IF(AND(A117&lt;&gt;"",P117&lt;&gt;0),SUM(P117,$AN$8)/$AN$2*100,"")</f>
        <v/>
      </c>
      <c r="AO117" s="24" t="str">
        <f>IF(AND(A117&lt;&gt;"",Q117&lt;&gt;0),SUM(Q117,$AO$8)/$AO$2*100,"")</f>
        <v/>
      </c>
      <c r="AP117" s="24">
        <f>IF(AND(A117&lt;&gt;"",R117&lt;&gt;0),SUM(R117,$AP$8)/$AP$2*100,"")</f>
        <v>85.002659574468083</v>
      </c>
      <c r="AQ117" s="24" t="str">
        <f>IF(AND(A117&lt;&gt;"",W117&gt;0),SUM(W117,$AQ$8)/$AQ$2*100,"")</f>
        <v/>
      </c>
      <c r="AR117" s="24">
        <f>IF(AND(A117&lt;&gt;"",T117&gt;0),SUM(T117,$AR$8)/$AR$2*100,"")</f>
        <v>75.363804247460749</v>
      </c>
      <c r="AS117" s="24">
        <f>IF(AND(A117&lt;&gt;"",X117&lt;&gt;0),SUM(X117,$AS$8)/$AS$2*100,"")</f>
        <v>79.219346378263694</v>
      </c>
      <c r="AT117" s="86">
        <f>IF(A117&lt;&gt;"",SUM(W117:X117,$AT$8)/$AT$2*100,"")</f>
        <v>79.219346378263694</v>
      </c>
      <c r="AU117" s="24">
        <f>AA117</f>
        <v>85.909673189131837</v>
      </c>
      <c r="AV117" s="24"/>
      <c r="AW117" s="27">
        <f>IF(A117&lt;&gt;"",AE117-AA117,"")</f>
        <v>-6.6903268108681431</v>
      </c>
      <c r="AY117" s="27">
        <f>AR117-AP117</f>
        <v>-9.6388553270073345</v>
      </c>
      <c r="AZ117" s="27">
        <f>ABS(AY117)</f>
        <v>9.6388553270073345</v>
      </c>
    </row>
    <row r="118" spans="1:52" s="27" customFormat="1" ht="12.75" customHeight="1" x14ac:dyDescent="0.2">
      <c r="A118" s="50">
        <v>292124</v>
      </c>
      <c r="B118" s="2">
        <v>25</v>
      </c>
      <c r="C118" s="50">
        <v>24</v>
      </c>
      <c r="D118" s="10">
        <v>23</v>
      </c>
      <c r="E118" s="10">
        <v>19</v>
      </c>
      <c r="F118" s="10">
        <v>23</v>
      </c>
      <c r="G118" s="10">
        <v>25</v>
      </c>
      <c r="H118" s="10">
        <v>14</v>
      </c>
      <c r="I118" s="10">
        <v>25</v>
      </c>
      <c r="J118" s="2"/>
      <c r="K118" s="10">
        <v>46</v>
      </c>
      <c r="L118" s="10">
        <v>44</v>
      </c>
      <c r="M118" s="10">
        <v>57</v>
      </c>
      <c r="N118" s="51">
        <v>19</v>
      </c>
      <c r="O118" s="11">
        <v>33</v>
      </c>
      <c r="P118" s="10"/>
      <c r="Q118" s="40"/>
      <c r="R118" s="2">
        <v>97</v>
      </c>
      <c r="S118" s="10">
        <f>IF(T118="",R118,MAX((R118+$R$8)/$R$2,(T118+$T$8)/$T$2)*$R$2-$R$8)</f>
        <v>97.722289345985345</v>
      </c>
      <c r="T118" s="62">
        <v>144</v>
      </c>
      <c r="U118" s="10">
        <f>IF(A118&lt;&gt;"",SUM(B118:I118),"")</f>
        <v>178</v>
      </c>
      <c r="V118" s="10">
        <f>IF(A118&lt;&gt;"",SUM(J118:O118),"")</f>
        <v>199</v>
      </c>
      <c r="W118" s="10">
        <f>IF(A118&lt;&gt;"",SUM(P118:Q118),"")</f>
        <v>0</v>
      </c>
      <c r="X118" s="10">
        <f>IF(A118&lt;&gt;"",SUM(S118:T118),"")</f>
        <v>241.72228934598536</v>
      </c>
      <c r="Y118" s="12" t="s">
        <v>69</v>
      </c>
      <c r="Z118" s="12">
        <f>IF(A118&lt;&gt;"",SUM(U118:Y118),"")</f>
        <v>618.72228934598536</v>
      </c>
      <c r="AA118" s="27">
        <f>IF(A118&lt;&gt;"",(Z118+Normalize_To_Add)/(Point_Total_So_Far)*100,"")</f>
        <v>69.38190212373037</v>
      </c>
      <c r="AB118" s="10">
        <f>IF(A118&lt;&gt;"",RANK(AA118,All_Student_XC),"")</f>
        <v>317</v>
      </c>
      <c r="AC118" s="31" t="str">
        <f>IF(A118&lt;&gt;"",CHOOSE(10-MIN(9,TRUNC((AA118+0.5)/10)),"A","B","C","D","F","F","F","F","F","F"),"")</f>
        <v>D</v>
      </c>
      <c r="AD118" s="31" t="str">
        <f>IF(A118&lt;&gt;"",IF(OR(AA118+0.5&gt;=93,AA118+0.5&lt;60),"",IF(MOD(AA118+0.5,10)&gt;=7,"+",IF(MOD(AA118+0.5,10)&lt;3,"-",""))),"")</f>
        <v>+</v>
      </c>
      <c r="AE118" s="31">
        <f>IF(A118&lt;&gt;"",SUM(W118:X118,$W$8:$X$8)/SUM($W$2:$X$2)*100,"")</f>
        <v>63.363804247460756</v>
      </c>
      <c r="AF118" s="43" t="str">
        <f>IF(A118&lt;&gt;"",CHOOSE(10-MIN(9,TRUNC((AE118+0.5)/10)),"A","B","C","D","F","F","F","F","F","F"),"")</f>
        <v>D</v>
      </c>
      <c r="AG118" s="43" t="str">
        <f>IF(A118&lt;&gt;"",IF(OR(AE118+0.5&gt;=93,AE118+0.5&lt;60),"",IF(MOD(AE118+0.5,10)&gt;=7,"+",IF(MOD(AE118+0.5,10)&lt;3,"-",""))),"")</f>
        <v/>
      </c>
      <c r="AH118" s="35">
        <f>IF(A118&lt;&gt;"",MIN(MAX(AA118,AE118),AA118+$AH$8,AE118+$AH$8),"")</f>
        <v>69.38190212373037</v>
      </c>
      <c r="AI118" s="31" t="str">
        <f>IF(A118&lt;&gt;"",CHOOSE(10-MIN(9,TRUNC((AH118+0.5)/10)),"A","B","C","D","F","F","F","F","F","F"),"")</f>
        <v>D</v>
      </c>
      <c r="AJ118" s="31" t="str">
        <f>IF(A118&lt;&gt;"",IF(OR(AH118+0.5&gt;=93,AH118+0.5&lt;60),"",IF(MOD(AH118+0.5,10)&gt;=7,"+",IF(MOD(AH118+0.5,10)&lt;3,"-",""))),"")</f>
        <v>+</v>
      </c>
      <c r="AK118" s="31" t="b">
        <f>IF(A118&lt;&gt;"",OR(AI118&lt;&gt;AC118,AJ118&lt;&gt;AD118),"")</f>
        <v>0</v>
      </c>
      <c r="AL118" s="81">
        <f>IF(AND(A118&lt;&gt;"",U118&gt;0),SUM(U118,$AL$8)/$AL$2*100,"")</f>
        <v>89</v>
      </c>
      <c r="AM118" s="24">
        <f>IF(AND(A118&lt;&gt;"",V118&gt;0),SUM(V118,$AM$8)/$AM$2*100,"")</f>
        <v>66.333333333333329</v>
      </c>
      <c r="AN118" s="24" t="str">
        <f>IF(AND(A118&lt;&gt;"",P118&lt;&gt;0),SUM(P118,$AN$8)/$AN$2*100,"")</f>
        <v/>
      </c>
      <c r="AO118" s="24" t="str">
        <f>IF(AND(A118&lt;&gt;"",Q118&lt;&gt;0),SUM(Q118,$AO$8)/$AO$2*100,"")</f>
        <v/>
      </c>
      <c r="AP118" s="24">
        <f>IF(AND(A118&lt;&gt;"",R118&lt;&gt;0),SUM(R118,$AP$8)/$AP$2*100,"")</f>
        <v>63.002659574468076</v>
      </c>
      <c r="AQ118" s="24" t="str">
        <f>IF(AND(A118&lt;&gt;"",W118&gt;0),SUM(W118,$AQ$8)/$AQ$2*100,"")</f>
        <v/>
      </c>
      <c r="AR118" s="24">
        <f>IF(AND(A118&lt;&gt;"",T118&gt;0),SUM(T118,$AR$8)/$AR$2*100,"")</f>
        <v>63.363804247460756</v>
      </c>
      <c r="AS118" s="24">
        <f>IF(AND(A118&lt;&gt;"",X118&lt;&gt;0),SUM(X118,$AS$8)/$AS$2*100,"")</f>
        <v>63.363804247460756</v>
      </c>
      <c r="AT118" s="86">
        <f>IF(A118&lt;&gt;"",SUM(W118:X118,$AT$8)/$AT$2*100,"")</f>
        <v>63.363804247460756</v>
      </c>
      <c r="AU118" s="24">
        <f>AA118</f>
        <v>69.38190212373037</v>
      </c>
      <c r="AV118" s="24"/>
      <c r="AW118" s="27">
        <f>IF(A118&lt;&gt;"",AE118-AA118,"")</f>
        <v>-6.0180978762696142</v>
      </c>
      <c r="AY118" s="27">
        <f>AR118-AP118</f>
        <v>0.36114467299267972</v>
      </c>
      <c r="AZ118" s="27">
        <f>ABS(AY118)</f>
        <v>0.36114467299267972</v>
      </c>
    </row>
    <row r="119" spans="1:52" s="27" customFormat="1" ht="12.75" customHeight="1" x14ac:dyDescent="0.2">
      <c r="A119" s="10">
        <v>293940</v>
      </c>
      <c r="B119" s="2">
        <v>20</v>
      </c>
      <c r="C119" s="10">
        <v>14</v>
      </c>
      <c r="D119" s="10">
        <v>20</v>
      </c>
      <c r="E119" s="10">
        <v>18</v>
      </c>
      <c r="F119" s="10">
        <v>22</v>
      </c>
      <c r="G119" s="10">
        <v>25</v>
      </c>
      <c r="H119" s="10">
        <v>24</v>
      </c>
      <c r="I119" s="10">
        <v>19</v>
      </c>
      <c r="J119" s="2"/>
      <c r="K119" s="10">
        <v>55</v>
      </c>
      <c r="L119" s="10">
        <v>42</v>
      </c>
      <c r="M119" s="10">
        <v>49</v>
      </c>
      <c r="N119" s="51">
        <v>61</v>
      </c>
      <c r="O119" s="11">
        <v>60</v>
      </c>
      <c r="P119" s="10"/>
      <c r="Q119" s="40"/>
      <c r="R119" s="2">
        <v>105</v>
      </c>
      <c r="S119" s="10">
        <f>IF(T119="",R119,MAX((R119+$R$8)/$R$2,(T119+$T$8)/$T$2)*$R$2-$R$8)</f>
        <v>105</v>
      </c>
      <c r="T119" s="12">
        <v>143</v>
      </c>
      <c r="U119" s="7">
        <f>IF(A119&lt;&gt;"",SUM(B119:I119),"")</f>
        <v>162</v>
      </c>
      <c r="V119" s="10">
        <f>IF(A119&lt;&gt;"",SUM(J119:O119),"")</f>
        <v>267</v>
      </c>
      <c r="W119" s="10">
        <f>IF(A119&lt;&gt;"",SUM(P119:Q119),"")</f>
        <v>0</v>
      </c>
      <c r="X119" s="10">
        <f>IF(A119&lt;&gt;"",SUM(S119:T119),"")</f>
        <v>248</v>
      </c>
      <c r="Y119" s="12">
        <v>3</v>
      </c>
      <c r="Z119" s="12">
        <f>IF(A119&lt;&gt;"",SUM(U119:Y119),"")</f>
        <v>680</v>
      </c>
      <c r="AA119" s="27">
        <f>IF(A119&lt;&gt;"",(Z119+Normalize_To_Add)/(Point_Total_So_Far)*100,"")</f>
        <v>75.509673189131846</v>
      </c>
      <c r="AB119" s="10">
        <f>IF(A119&lt;&gt;"",RANK(AA119,All_Student_XC),"")</f>
        <v>270</v>
      </c>
      <c r="AC119" s="31" t="str">
        <f>IF(A119&lt;&gt;"",CHOOSE(10-MIN(9,TRUNC((AA119+0.5)/10)),"A","B","C","D","F","F","F","F","F","F"),"")</f>
        <v>C</v>
      </c>
      <c r="AD119" s="31" t="str">
        <f>IF(A119&lt;&gt;"",IF(OR(AA119+0.5&gt;=93,AA119+0.5&lt;60),"",IF(MOD(AA119+0.5,10)&gt;=7,"+",IF(MOD(AA119+0.5,10)&lt;3,"-",""))),"")</f>
        <v/>
      </c>
      <c r="AE119" s="31">
        <f>IF(A119&lt;&gt;"",SUM(W119:X119,$W$8:$X$8)/SUM($W$2:$X$2)*100,"")</f>
        <v>64.619346378263685</v>
      </c>
      <c r="AF119" s="43" t="str">
        <f>IF(A119&lt;&gt;"",CHOOSE(10-MIN(9,TRUNC((AE119+0.5)/10)),"A","B","C","D","F","F","F","F","F","F"),"")</f>
        <v>D</v>
      </c>
      <c r="AG119" s="43" t="str">
        <f>IF(A119&lt;&gt;"",IF(OR(AE119+0.5&gt;=93,AE119+0.5&lt;60),"",IF(MOD(AE119+0.5,10)&gt;=7,"+",IF(MOD(AE119+0.5,10)&lt;3,"-",""))),"")</f>
        <v/>
      </c>
      <c r="AH119" s="35">
        <f>IF(A119&lt;&gt;"",MIN(MAX(AA119,AE119),AA119+$AH$8,AE119+$AH$8),"")</f>
        <v>75.509673189131846</v>
      </c>
      <c r="AI119" s="31" t="str">
        <f>IF(A119&lt;&gt;"",CHOOSE(10-MIN(9,TRUNC((AH119+0.5)/10)),"A","B","C","D","F","F","F","F","F","F"),"")</f>
        <v>C</v>
      </c>
      <c r="AJ119" s="31" t="str">
        <f>IF(A119&lt;&gt;"",IF(OR(AH119+0.5&gt;=93,AH119+0.5&lt;60),"",IF(MOD(AH119+0.5,10)&gt;=7,"+",IF(MOD(AH119+0.5,10)&lt;3,"-",""))),"")</f>
        <v/>
      </c>
      <c r="AK119" s="31" t="b">
        <f>IF(A119&lt;&gt;"",OR(AI119&lt;&gt;AC119,AJ119&lt;&gt;AD119),"")</f>
        <v>0</v>
      </c>
      <c r="AL119" s="81">
        <f>IF(AND(A119&lt;&gt;"",U119&gt;0),SUM(U119,$AL$8)/$AL$2*100,"")</f>
        <v>81</v>
      </c>
      <c r="AM119" s="24">
        <f>IF(AND(A119&lt;&gt;"",V119&gt;0),SUM(V119,$AM$8)/$AM$2*100,"")</f>
        <v>89</v>
      </c>
      <c r="AN119" s="24" t="str">
        <f>IF(AND(A119&lt;&gt;"",P119&lt;&gt;0),SUM(P119,$AN$8)/$AN$2*100,"")</f>
        <v/>
      </c>
      <c r="AO119" s="24" t="str">
        <f>IF(AND(A119&lt;&gt;"",Q119&lt;&gt;0),SUM(Q119,$AO$8)/$AO$2*100,"")</f>
        <v/>
      </c>
      <c r="AP119" s="24">
        <f>IF(AND(A119&lt;&gt;"",R119&lt;&gt;0),SUM(R119,$AP$8)/$AP$2*100,"")</f>
        <v>67.002659574468083</v>
      </c>
      <c r="AQ119" s="24" t="str">
        <f>IF(AND(A119&lt;&gt;"",W119&gt;0),SUM(W119,$AQ$8)/$AQ$2*100,"")</f>
        <v/>
      </c>
      <c r="AR119" s="24">
        <f>IF(AND(A119&lt;&gt;"",T119&gt;0),SUM(T119,$AR$8)/$AR$2*100,"")</f>
        <v>63.03047091412742</v>
      </c>
      <c r="AS119" s="24">
        <f>IF(AND(A119&lt;&gt;"",X119&lt;&gt;0),SUM(X119,$AS$8)/$AS$2*100,"")</f>
        <v>64.619346378263685</v>
      </c>
      <c r="AT119" s="86">
        <f>IF(A119&lt;&gt;"",SUM(W119:X119,$AT$8)/$AT$2*100,"")</f>
        <v>64.619346378263685</v>
      </c>
      <c r="AU119" s="24">
        <f>AA119</f>
        <v>75.509673189131846</v>
      </c>
      <c r="AV119" s="24"/>
      <c r="AW119" s="27">
        <f>IF(A119&lt;&gt;"",AE119-AA119,"")</f>
        <v>-10.89032681086816</v>
      </c>
      <c r="AY119" s="27">
        <f>AR119-AP119</f>
        <v>-3.9721886603406631</v>
      </c>
      <c r="AZ119" s="27">
        <f>ABS(AY119)</f>
        <v>3.9721886603406631</v>
      </c>
    </row>
    <row r="120" spans="1:52" s="27" customFormat="1" ht="12.75" customHeight="1" x14ac:dyDescent="0.2">
      <c r="A120" s="10">
        <v>295560</v>
      </c>
      <c r="B120" s="2">
        <v>5</v>
      </c>
      <c r="C120" s="10">
        <v>23</v>
      </c>
      <c r="D120" s="10">
        <v>23</v>
      </c>
      <c r="E120" s="10">
        <v>20</v>
      </c>
      <c r="F120" s="10">
        <v>23</v>
      </c>
      <c r="G120" s="10">
        <v>25</v>
      </c>
      <c r="H120" s="10">
        <v>25</v>
      </c>
      <c r="I120" s="10">
        <v>25</v>
      </c>
      <c r="J120" s="2"/>
      <c r="K120" s="10">
        <v>55</v>
      </c>
      <c r="L120" s="10">
        <v>62</v>
      </c>
      <c r="M120" s="10">
        <v>49</v>
      </c>
      <c r="N120" s="10">
        <v>50</v>
      </c>
      <c r="O120" s="11">
        <v>58</v>
      </c>
      <c r="P120" s="10"/>
      <c r="Q120" s="40"/>
      <c r="R120" s="2">
        <v>124</v>
      </c>
      <c r="S120" s="10">
        <f>IF(T120="",R120,MAX((R120+$R$8)/$R$2,(T120+$T$8)/$T$2)*$R$2-$R$8)</f>
        <v>124</v>
      </c>
      <c r="T120" s="12">
        <v>129</v>
      </c>
      <c r="U120" s="34">
        <f>IF(A120&lt;&gt;"",SUM(B120:I120),"")</f>
        <v>169</v>
      </c>
      <c r="V120" s="10">
        <f>IF(A120&lt;&gt;"",SUM(J120:O120),"")</f>
        <v>274</v>
      </c>
      <c r="W120" s="10">
        <f>IF(A120&lt;&gt;"",SUM(P120:Q120),"")</f>
        <v>0</v>
      </c>
      <c r="X120" s="10">
        <f>IF(A120&lt;&gt;"",SUM(S120:T120),"")</f>
        <v>253</v>
      </c>
      <c r="Y120" s="12">
        <v>3</v>
      </c>
      <c r="Z120" s="12">
        <f>IF(A120&lt;&gt;"",SUM(U120:Y120),"")</f>
        <v>699</v>
      </c>
      <c r="AA120" s="27">
        <f>IF(A120&lt;&gt;"",(Z120+Normalize_To_Add)/(Point_Total_So_Far)*100,"")</f>
        <v>77.409673189131851</v>
      </c>
      <c r="AB120" s="10">
        <f>IF(A120&lt;&gt;"",RANK(AA120,All_Student_XC),"")</f>
        <v>251</v>
      </c>
      <c r="AC120" s="31" t="str">
        <f>IF(A120&lt;&gt;"",CHOOSE(10-MIN(9,TRUNC((AA120+0.5)/10)),"A","B","C","D","F","F","F","F","F","F"),"")</f>
        <v>C</v>
      </c>
      <c r="AD120" s="31" t="str">
        <f>IF(A120&lt;&gt;"",IF(OR(AA120+0.5&gt;=93,AA120+0.5&lt;60),"",IF(MOD(AA120+0.5,10)&gt;=7,"+",IF(MOD(AA120+0.5,10)&lt;3,"-",""))),"")</f>
        <v>+</v>
      </c>
      <c r="AE120" s="31">
        <f>IF(A120&lt;&gt;"",SUM(W120:X120,$W$8:$X$8)/SUM($W$2:$X$2)*100,"")</f>
        <v>65.619346378263685</v>
      </c>
      <c r="AF120" s="31" t="str">
        <f>IF(A120&lt;&gt;"",CHOOSE(10-MIN(9,TRUNC((AE120+0.5)/10)),"A","B","C","D","F","F","F","F","F","F"),"")</f>
        <v>D</v>
      </c>
      <c r="AG120" s="31" t="str">
        <f>IF(A120&lt;&gt;"",IF(OR(AE120+0.5&gt;=93,AE120+0.5&lt;60),"",IF(MOD(AE120+0.5,10)&gt;=7,"+",IF(MOD(AE120+0.5,10)&lt;3,"-",""))),"")</f>
        <v/>
      </c>
      <c r="AH120" s="35">
        <f>IF(A120&lt;&gt;"",MIN(MAX(AA120,AE120),AA120+$AH$8,AE120+$AH$8),"")</f>
        <v>77.409673189131851</v>
      </c>
      <c r="AI120" s="31" t="str">
        <f>IF(A120&lt;&gt;"",CHOOSE(10-MIN(9,TRUNC((AH120+0.5)/10)),"A","B","C","D","F","F","F","F","F","F"),"")</f>
        <v>C</v>
      </c>
      <c r="AJ120" s="31" t="str">
        <f>IF(A120&lt;&gt;"",IF(OR(AH120+0.5&gt;=93,AH120+0.5&lt;60),"",IF(MOD(AH120+0.5,10)&gt;=7,"+",IF(MOD(AH120+0.5,10)&lt;3,"-",""))),"")</f>
        <v>+</v>
      </c>
      <c r="AK120" s="31" t="b">
        <f>IF(A120&lt;&gt;"",OR(AI120&lt;&gt;AC120,AJ120&lt;&gt;AD120),"")</f>
        <v>0</v>
      </c>
      <c r="AL120" s="81">
        <f>IF(AND(A120&lt;&gt;"",U120&gt;0),SUM(U120,$AL$8)/$AL$2*100,"")</f>
        <v>84.5</v>
      </c>
      <c r="AM120" s="24">
        <f>IF(AND(A120&lt;&gt;"",V120&gt;0),SUM(V120,$AM$8)/$AM$2*100,"")</f>
        <v>91.333333333333329</v>
      </c>
      <c r="AN120" s="24" t="str">
        <f>IF(AND(A120&lt;&gt;"",P120&lt;&gt;0),SUM(P120,$AN$8)/$AN$2*100,"")</f>
        <v/>
      </c>
      <c r="AO120" s="24" t="str">
        <f>IF(AND(A120&lt;&gt;"",Q120&lt;&gt;0),SUM(Q120,$AO$8)/$AO$2*100,"")</f>
        <v/>
      </c>
      <c r="AP120" s="24">
        <f>IF(AND(A120&lt;&gt;"",R120&lt;&gt;0),SUM(R120,$AP$8)/$AP$2*100,"")</f>
        <v>76.502659574468083</v>
      </c>
      <c r="AQ120" s="24" t="str">
        <f>IF(AND(A120&lt;&gt;"",W120&gt;0),SUM(W120,$AQ$8)/$AQ$2*100,"")</f>
        <v/>
      </c>
      <c r="AR120" s="24">
        <f>IF(AND(A120&lt;&gt;"",T120&gt;0),SUM(T120,$AR$8)/$AR$2*100,"")</f>
        <v>58.363804247460749</v>
      </c>
      <c r="AS120" s="24">
        <f>IF(AND(A120&lt;&gt;"",X120&lt;&gt;0),SUM(X120,$AS$8)/$AS$2*100,"")</f>
        <v>65.619346378263685</v>
      </c>
      <c r="AT120" s="86">
        <f>IF(A120&lt;&gt;"",SUM(W120:X120,$AT$8)/$AT$2*100,"")</f>
        <v>65.619346378263685</v>
      </c>
      <c r="AU120" s="24">
        <f>AA120</f>
        <v>77.409673189131851</v>
      </c>
      <c r="AV120" s="24"/>
      <c r="AW120" s="27">
        <f>IF(A120&lt;&gt;"",AE120-AA120,"")</f>
        <v>-11.790326810868166</v>
      </c>
      <c r="AY120" s="27">
        <f>AR120-AP120</f>
        <v>-18.138855327007334</v>
      </c>
      <c r="AZ120" s="27">
        <f>ABS(AY120)</f>
        <v>18.138855327007334</v>
      </c>
    </row>
    <row r="121" spans="1:52" s="27" customFormat="1" ht="12.75" customHeight="1" x14ac:dyDescent="0.2">
      <c r="A121" s="10">
        <v>296184</v>
      </c>
      <c r="B121" s="2">
        <v>0</v>
      </c>
      <c r="C121" s="10">
        <v>25</v>
      </c>
      <c r="D121" s="10">
        <v>23</v>
      </c>
      <c r="E121" s="10">
        <v>25</v>
      </c>
      <c r="F121" s="10">
        <v>25</v>
      </c>
      <c r="G121" s="10">
        <v>25</v>
      </c>
      <c r="H121" s="10">
        <v>22</v>
      </c>
      <c r="I121" s="10">
        <v>25</v>
      </c>
      <c r="J121" s="2"/>
      <c r="K121" s="10">
        <v>56</v>
      </c>
      <c r="L121" s="10">
        <v>62</v>
      </c>
      <c r="M121" s="10">
        <v>57</v>
      </c>
      <c r="N121" s="51">
        <v>26</v>
      </c>
      <c r="O121" s="11">
        <v>62</v>
      </c>
      <c r="P121" s="10"/>
      <c r="Q121" s="40"/>
      <c r="R121" s="2">
        <v>132</v>
      </c>
      <c r="S121" s="10">
        <f>IF(T121="",R121,MAX((R121+$R$8)/$R$2,(T121+$T$8)/$T$2)*$R$2-$R$8)</f>
        <v>135.05562267931867</v>
      </c>
      <c r="T121" s="12">
        <v>200</v>
      </c>
      <c r="U121" s="34">
        <f>IF(A121&lt;&gt;"",SUM(B121:I121),"")</f>
        <v>170</v>
      </c>
      <c r="V121" s="10">
        <f>IF(A121&lt;&gt;"",SUM(J121:O121),"")</f>
        <v>263</v>
      </c>
      <c r="W121" s="10">
        <f>IF(A121&lt;&gt;"",SUM(P121:Q121),"")</f>
        <v>0</v>
      </c>
      <c r="X121" s="10">
        <f>IF(A121&lt;&gt;"",SUM(S121:T121),"")</f>
        <v>335.05562267931867</v>
      </c>
      <c r="Y121" s="12">
        <v>3</v>
      </c>
      <c r="Z121" s="12">
        <f>IF(A121&lt;&gt;"",SUM(U121:Y121),"")</f>
        <v>771.05562267931873</v>
      </c>
      <c r="AA121" s="27">
        <f>IF(A121&lt;&gt;"",(Z121+Normalize_To_Add)/(Point_Total_So_Far)*100,"")</f>
        <v>84.615235457063719</v>
      </c>
      <c r="AB121" s="10">
        <f>IF(A121&lt;&gt;"",RANK(AA121,All_Student_XC),"")</f>
        <v>164</v>
      </c>
      <c r="AC121" s="31" t="str">
        <f>IF(A121&lt;&gt;"",CHOOSE(10-MIN(9,TRUNC((AA121+0.5)/10)),"A","B","C","D","F","F","F","F","F","F"),"")</f>
        <v>B</v>
      </c>
      <c r="AD121" s="31" t="str">
        <f>IF(A121&lt;&gt;"",IF(OR(AA121+0.5&gt;=93,AA121+0.5&lt;60),"",IF(MOD(AA121+0.5,10)&gt;=7,"+",IF(MOD(AA121+0.5,10)&lt;3,"-",""))),"")</f>
        <v/>
      </c>
      <c r="AE121" s="31">
        <f>IF(A121&lt;&gt;"",SUM(W121:X121,$W$8:$X$8)/SUM($W$2:$X$2)*100,"")</f>
        <v>82.03047091412742</v>
      </c>
      <c r="AF121" s="31" t="str">
        <f>IF(A121&lt;&gt;"",CHOOSE(10-MIN(9,TRUNC((AE121+0.5)/10)),"A","B","C","D","F","F","F","F","F","F"),"")</f>
        <v>B</v>
      </c>
      <c r="AG121" s="31" t="str">
        <f>IF(A121&lt;&gt;"",IF(OR(AE121+0.5&gt;=93,AE121+0.5&lt;60),"",IF(MOD(AE121+0.5,10)&gt;=7,"+",IF(MOD(AE121+0.5,10)&lt;3,"-",""))),"")</f>
        <v>-</v>
      </c>
      <c r="AH121" s="35">
        <f>IF(A121&lt;&gt;"",MIN(MAX(AA121,AE121),AA121+$AH$8,AE121+$AH$8),"")</f>
        <v>84.615235457063719</v>
      </c>
      <c r="AI121" s="31" t="str">
        <f>IF(A121&lt;&gt;"",CHOOSE(10-MIN(9,TRUNC((AH121+0.5)/10)),"A","B","C","D","F","F","F","F","F","F"),"")</f>
        <v>B</v>
      </c>
      <c r="AJ121" s="31" t="str">
        <f>IF(A121&lt;&gt;"",IF(OR(AH121+0.5&gt;=93,AH121+0.5&lt;60),"",IF(MOD(AH121+0.5,10)&gt;=7,"+",IF(MOD(AH121+0.5,10)&lt;3,"-",""))),"")</f>
        <v/>
      </c>
      <c r="AK121" s="31" t="b">
        <f>IF(A121&lt;&gt;"",OR(AI121&lt;&gt;AC121,AJ121&lt;&gt;AD121),"")</f>
        <v>0</v>
      </c>
      <c r="AL121" s="81">
        <f>IF(AND(A121&lt;&gt;"",U121&gt;0),SUM(U121,$AL$8)/$AL$2*100,"")</f>
        <v>85</v>
      </c>
      <c r="AM121" s="24">
        <f>IF(AND(A121&lt;&gt;"",V121&gt;0),SUM(V121,$AM$8)/$AM$2*100,"")</f>
        <v>87.666666666666671</v>
      </c>
      <c r="AN121" s="24" t="str">
        <f>IF(AND(A121&lt;&gt;"",P121&lt;&gt;0),SUM(P121,$AN$8)/$AN$2*100,"")</f>
        <v/>
      </c>
      <c r="AO121" s="24" t="str">
        <f>IF(AND(A121&lt;&gt;"",Q121&lt;&gt;0),SUM(Q121,$AO$8)/$AO$2*100,"")</f>
        <v/>
      </c>
      <c r="AP121" s="24">
        <f>IF(AND(A121&lt;&gt;"",R121&lt;&gt;0),SUM(R121,$AP$8)/$AP$2*100,"")</f>
        <v>80.502659574468083</v>
      </c>
      <c r="AQ121" s="24" t="str">
        <f>IF(AND(A121&lt;&gt;"",W121&gt;0),SUM(W121,$AQ$8)/$AQ$2*100,"")</f>
        <v/>
      </c>
      <c r="AR121" s="24">
        <f>IF(AND(A121&lt;&gt;"",T121&gt;0),SUM(T121,$AR$8)/$AR$2*100,"")</f>
        <v>82.03047091412742</v>
      </c>
      <c r="AS121" s="24">
        <f>IF(AND(A121&lt;&gt;"",X121&lt;&gt;0),SUM(X121,$AS$8)/$AS$2*100,"")</f>
        <v>82.03047091412742</v>
      </c>
      <c r="AT121" s="86">
        <f>IF(A121&lt;&gt;"",SUM(W121:X121,$AT$8)/$AT$2*100,"")</f>
        <v>82.03047091412742</v>
      </c>
      <c r="AU121" s="24">
        <f>AA121</f>
        <v>84.615235457063719</v>
      </c>
      <c r="AV121" s="24"/>
      <c r="AW121" s="27">
        <f>IF(A121&lt;&gt;"",AE121-AA121,"")</f>
        <v>-2.5847645429362984</v>
      </c>
      <c r="AY121" s="27">
        <f>AR121-AP121</f>
        <v>1.5278113396593369</v>
      </c>
      <c r="AZ121" s="27">
        <f>ABS(AY121)</f>
        <v>1.5278113396593369</v>
      </c>
    </row>
    <row r="122" spans="1:52" s="27" customFormat="1" ht="12.75" customHeight="1" x14ac:dyDescent="0.2">
      <c r="A122" s="50">
        <v>300308</v>
      </c>
      <c r="B122" s="2">
        <v>25</v>
      </c>
      <c r="C122" s="50">
        <v>25</v>
      </c>
      <c r="D122" s="10">
        <v>26</v>
      </c>
      <c r="E122" s="10">
        <v>23</v>
      </c>
      <c r="F122" s="10">
        <v>18</v>
      </c>
      <c r="G122" s="10">
        <v>25</v>
      </c>
      <c r="H122" s="10">
        <v>13</v>
      </c>
      <c r="I122" s="10">
        <v>25</v>
      </c>
      <c r="J122" s="2"/>
      <c r="K122" s="10">
        <v>56</v>
      </c>
      <c r="L122" s="10">
        <v>59</v>
      </c>
      <c r="M122" s="10">
        <v>59</v>
      </c>
      <c r="N122" s="51">
        <v>60</v>
      </c>
      <c r="O122" s="11">
        <v>56</v>
      </c>
      <c r="P122" s="10"/>
      <c r="Q122" s="40"/>
      <c r="R122" s="2">
        <v>164</v>
      </c>
      <c r="S122" s="10">
        <f>IF(T122="",R122,MAX((R122+$R$8)/$R$2,(T122+$T$8)/$T$2)*$R$2-$R$8)</f>
        <v>177.05562267931867</v>
      </c>
      <c r="T122" s="62">
        <v>263</v>
      </c>
      <c r="U122" s="10">
        <f>IF(A122&lt;&gt;"",SUM(B122:I122),"")</f>
        <v>180</v>
      </c>
      <c r="V122" s="10">
        <f>IF(A122&lt;&gt;"",SUM(J122:O122),"")</f>
        <v>290</v>
      </c>
      <c r="W122" s="10">
        <f>IF(A122&lt;&gt;"",SUM(P122:Q122),"")</f>
        <v>0</v>
      </c>
      <c r="X122" s="10">
        <f>IF(A122&lt;&gt;"",SUM(S122:T122),"")</f>
        <v>440.05562267931867</v>
      </c>
      <c r="Y122" s="12">
        <v>3</v>
      </c>
      <c r="Z122" s="12">
        <f>IF(A122&lt;&gt;"",SUM(U122:Y122),"")</f>
        <v>913.05562267931873</v>
      </c>
      <c r="AA122" s="27">
        <f>IF(A122&lt;&gt;"",(Z122+Normalize_To_Add)/(Point_Total_So_Far)*100,"")</f>
        <v>98.815235457063707</v>
      </c>
      <c r="AB122" s="10">
        <f>IF(A122&lt;&gt;"",RANK(AA122,All_Student_XC),"")</f>
        <v>10</v>
      </c>
      <c r="AC122" s="31" t="str">
        <f>IF(A122&lt;&gt;"",CHOOSE(10-MIN(9,TRUNC((AA122+0.5)/10)),"A","B","C","D","F","F","F","F","F","F"),"")</f>
        <v>A</v>
      </c>
      <c r="AD122" s="31" t="str">
        <f>IF(A122&lt;&gt;"",IF(OR(AA122+0.5&gt;=93,AA122+0.5&lt;60),"",IF(MOD(AA122+0.5,10)&gt;=7,"+",IF(MOD(AA122+0.5,10)&lt;3,"-",""))),"")</f>
        <v/>
      </c>
      <c r="AE122" s="31">
        <f>IF(A122&lt;&gt;"",SUM(W122:X122,$W$8:$X$8)/SUM($W$2:$X$2)*100,"")</f>
        <v>103.03047091412741</v>
      </c>
      <c r="AF122" s="43" t="str">
        <f>IF(A122&lt;&gt;"",CHOOSE(10-MIN(9,TRUNC((AE122+0.5)/10)),"A","B","C","D","F","F","F","F","F","F"),"")</f>
        <v>A</v>
      </c>
      <c r="AG122" s="43" t="str">
        <f>IF(A122&lt;&gt;"",IF(OR(AE122+0.5&gt;=93,AE122+0.5&lt;60),"",IF(MOD(AE122+0.5,10)&gt;=7,"+",IF(MOD(AE122+0.5,10)&lt;3,"-",""))),"")</f>
        <v/>
      </c>
      <c r="AH122" s="35">
        <f>IF(A122&lt;&gt;"",MIN(MAX(AA122,AE122),AA122+$AH$8,AE122+$AH$8),"")</f>
        <v>103.03047091412741</v>
      </c>
      <c r="AI122" s="31" t="str">
        <f>IF(A122&lt;&gt;"",CHOOSE(10-MIN(9,TRUNC((AH122+0.5)/10)),"A","B","C","D","F","F","F","F","F","F"),"")</f>
        <v>A</v>
      </c>
      <c r="AJ122" s="31" t="str">
        <f>IF(A122&lt;&gt;"",IF(OR(AH122+0.5&gt;=93,AH122+0.5&lt;60),"",IF(MOD(AH122+0.5,10)&gt;=7,"+",IF(MOD(AH122+0.5,10)&lt;3,"-",""))),"")</f>
        <v/>
      </c>
      <c r="AK122" s="31" t="b">
        <f>IF(A122&lt;&gt;"",OR(AI122&lt;&gt;AC122,AJ122&lt;&gt;AD122),"")</f>
        <v>0</v>
      </c>
      <c r="AL122" s="81">
        <f>IF(AND(A122&lt;&gt;"",U122&gt;0),SUM(U122,$AL$8)/$AL$2*100,"")</f>
        <v>90</v>
      </c>
      <c r="AM122" s="24">
        <f>IF(AND(A122&lt;&gt;"",V122&gt;0),SUM(V122,$AM$8)/$AM$2*100,"")</f>
        <v>96.666666666666671</v>
      </c>
      <c r="AN122" s="24" t="str">
        <f>IF(AND(A122&lt;&gt;"",P122&lt;&gt;0),SUM(P122,$AN$8)/$AN$2*100,"")</f>
        <v/>
      </c>
      <c r="AO122" s="24" t="str">
        <f>IF(AND(A122&lt;&gt;"",Q122&lt;&gt;0),SUM(Q122,$AO$8)/$AO$2*100,"")</f>
        <v/>
      </c>
      <c r="AP122" s="24">
        <f>IF(AND(A122&lt;&gt;"",R122&lt;&gt;0),SUM(R122,$AP$8)/$AP$2*100,"")</f>
        <v>96.502659574468083</v>
      </c>
      <c r="AQ122" s="24" t="str">
        <f>IF(AND(A122&lt;&gt;"",W122&gt;0),SUM(W122,$AQ$8)/$AQ$2*100,"")</f>
        <v/>
      </c>
      <c r="AR122" s="24">
        <f>IF(AND(A122&lt;&gt;"",T122&gt;0),SUM(T122,$AR$8)/$AR$2*100,"")</f>
        <v>103.03047091412742</v>
      </c>
      <c r="AS122" s="24">
        <f>IF(AND(A122&lt;&gt;"",X122&lt;&gt;0),SUM(X122,$AS$8)/$AS$2*100,"")</f>
        <v>103.03047091412741</v>
      </c>
      <c r="AT122" s="86">
        <f>IF(A122&lt;&gt;"",SUM(W122:X122,$AT$8)/$AT$2*100,"")</f>
        <v>103.03047091412741</v>
      </c>
      <c r="AU122" s="24">
        <f>AA122</f>
        <v>98.815235457063707</v>
      </c>
      <c r="AV122" s="24"/>
      <c r="AW122" s="27">
        <f>IF(A122&lt;&gt;"",AE122-AA122,"")</f>
        <v>4.2152354570636987</v>
      </c>
      <c r="AY122" s="27">
        <f>AR122-AP122</f>
        <v>6.5278113396593369</v>
      </c>
      <c r="AZ122" s="27">
        <f>ABS(AY122)</f>
        <v>6.5278113396593369</v>
      </c>
    </row>
    <row r="123" spans="1:52" s="27" customFormat="1" ht="12.75" customHeight="1" x14ac:dyDescent="0.2">
      <c r="A123" s="10">
        <v>304632</v>
      </c>
      <c r="B123" s="2">
        <v>25</v>
      </c>
      <c r="C123" s="10">
        <v>25</v>
      </c>
      <c r="D123" s="10">
        <v>24</v>
      </c>
      <c r="E123" s="10">
        <v>16</v>
      </c>
      <c r="F123" s="10">
        <v>23</v>
      </c>
      <c r="G123" s="10">
        <v>25</v>
      </c>
      <c r="H123" s="10">
        <v>25</v>
      </c>
      <c r="I123" s="10">
        <v>25</v>
      </c>
      <c r="J123" s="2"/>
      <c r="K123" s="10">
        <v>62</v>
      </c>
      <c r="L123" s="10">
        <v>60</v>
      </c>
      <c r="M123" s="10">
        <v>56</v>
      </c>
      <c r="N123" s="51">
        <v>55</v>
      </c>
      <c r="O123" s="11">
        <v>62</v>
      </c>
      <c r="P123" s="10"/>
      <c r="Q123" s="40"/>
      <c r="R123" s="2">
        <v>139</v>
      </c>
      <c r="S123" s="10">
        <f>IF(T123="",R123,MAX((R123+$R$8)/$R$2,(T123+$T$8)/$T$2)*$R$2-$R$8)</f>
        <v>149.72228934598533</v>
      </c>
      <c r="T123" s="12">
        <v>222</v>
      </c>
      <c r="U123" s="7">
        <f>IF(A123&lt;&gt;"",SUM(B123:I123),"")</f>
        <v>188</v>
      </c>
      <c r="V123" s="10">
        <f>IF(A123&lt;&gt;"",SUM(J123:O123),"")</f>
        <v>295</v>
      </c>
      <c r="W123" s="10">
        <f>IF(A123&lt;&gt;"",SUM(P123:Q123),"")</f>
        <v>0</v>
      </c>
      <c r="X123" s="10">
        <f>IF(A123&lt;&gt;"",SUM(S123:T123),"")</f>
        <v>371.72228934598536</v>
      </c>
      <c r="Y123" s="12">
        <v>3</v>
      </c>
      <c r="Z123" s="12">
        <f>IF(A123&lt;&gt;"",SUM(U123:Y123),"")</f>
        <v>857.72228934598536</v>
      </c>
      <c r="AA123" s="27">
        <f>IF(A123&lt;&gt;"",(Z123+Normalize_To_Add)/(Point_Total_So_Far)*100,"")</f>
        <v>93.281902123730376</v>
      </c>
      <c r="AB123" s="10">
        <f>IF(A123&lt;&gt;"",RANK(AA123,All_Student_XC),"")</f>
        <v>49</v>
      </c>
      <c r="AC123" s="31" t="str">
        <f>IF(A123&lt;&gt;"",CHOOSE(10-MIN(9,TRUNC((AA123+0.5)/10)),"A","B","C","D","F","F","F","F","F","F"),"")</f>
        <v>A</v>
      </c>
      <c r="AD123" s="31" t="str">
        <f>IF(A123&lt;&gt;"",IF(OR(AA123+0.5&gt;=93,AA123+0.5&lt;60),"",IF(MOD(AA123+0.5,10)&gt;=7,"+",IF(MOD(AA123+0.5,10)&lt;3,"-",""))),"")</f>
        <v/>
      </c>
      <c r="AE123" s="31">
        <f>IF(A123&lt;&gt;"",SUM(W123:X123,$W$8:$X$8)/SUM($W$2:$X$2)*100,"")</f>
        <v>89.363804247460749</v>
      </c>
      <c r="AF123" s="43" t="str">
        <f>IF(A123&lt;&gt;"",CHOOSE(10-MIN(9,TRUNC((AE123+0.5)/10)),"A","B","C","D","F","F","F","F","F","F"),"")</f>
        <v>B</v>
      </c>
      <c r="AG123" s="43" t="str">
        <f>IF(A123&lt;&gt;"",IF(OR(AE123+0.5&gt;=93,AE123+0.5&lt;60),"",IF(MOD(AE123+0.5,10)&gt;=7,"+",IF(MOD(AE123+0.5,10)&lt;3,"-",""))),"")</f>
        <v>+</v>
      </c>
      <c r="AH123" s="35">
        <f>IF(A123&lt;&gt;"",MIN(MAX(AA123,AE123),AA123+$AH$8,AE123+$AH$8),"")</f>
        <v>93.281902123730376</v>
      </c>
      <c r="AI123" s="31" t="str">
        <f>IF(A123&lt;&gt;"",CHOOSE(10-MIN(9,TRUNC((AH123+0.5)/10)),"A","B","C","D","F","F","F","F","F","F"),"")</f>
        <v>A</v>
      </c>
      <c r="AJ123" s="31" t="str">
        <f>IF(A123&lt;&gt;"",IF(OR(AH123+0.5&gt;=93,AH123+0.5&lt;60),"",IF(MOD(AH123+0.5,10)&gt;=7,"+",IF(MOD(AH123+0.5,10)&lt;3,"-",""))),"")</f>
        <v/>
      </c>
      <c r="AK123" s="31" t="b">
        <f>IF(A123&lt;&gt;"",OR(AI123&lt;&gt;AC123,AJ123&lt;&gt;AD123),"")</f>
        <v>0</v>
      </c>
      <c r="AL123" s="81">
        <f>IF(AND(A123&lt;&gt;"",U123&gt;0),SUM(U123,$AL$8)/$AL$2*100,"")</f>
        <v>94</v>
      </c>
      <c r="AM123" s="24">
        <f>IF(AND(A123&lt;&gt;"",V123&gt;0),SUM(V123,$AM$8)/$AM$2*100,"")</f>
        <v>98.333333333333329</v>
      </c>
      <c r="AN123" s="24" t="str">
        <f>IF(AND(A123&lt;&gt;"",P123&lt;&gt;0),SUM(P123,$AN$8)/$AN$2*100,"")</f>
        <v/>
      </c>
      <c r="AO123" s="24" t="str">
        <f>IF(AND(A123&lt;&gt;"",Q123&lt;&gt;0),SUM(Q123,$AO$8)/$AO$2*100,"")</f>
        <v/>
      </c>
      <c r="AP123" s="24">
        <f>IF(AND(A123&lt;&gt;"",R123&lt;&gt;0),SUM(R123,$AP$8)/$AP$2*100,"")</f>
        <v>84.002659574468083</v>
      </c>
      <c r="AQ123" s="24" t="str">
        <f>IF(AND(A123&lt;&gt;"",W123&gt;0),SUM(W123,$AQ$8)/$AQ$2*100,"")</f>
        <v/>
      </c>
      <c r="AR123" s="24">
        <f>IF(AND(A123&lt;&gt;"",T123&gt;0),SUM(T123,$AR$8)/$AR$2*100,"")</f>
        <v>89.363804247460749</v>
      </c>
      <c r="AS123" s="24">
        <f>IF(AND(A123&lt;&gt;"",X123&lt;&gt;0),SUM(X123,$AS$8)/$AS$2*100,"")</f>
        <v>89.363804247460749</v>
      </c>
      <c r="AT123" s="86">
        <f>IF(A123&lt;&gt;"",SUM(W123:X123,$AT$8)/$AT$2*100,"")</f>
        <v>89.363804247460749</v>
      </c>
      <c r="AU123" s="24">
        <f>AA123</f>
        <v>93.281902123730376</v>
      </c>
      <c r="AV123" s="24"/>
      <c r="AW123" s="27">
        <f>IF(A123&lt;&gt;"",AE123-AA123,"")</f>
        <v>-3.918097876269627</v>
      </c>
      <c r="AY123" s="27">
        <f>AR123-AP123</f>
        <v>5.3611446729926655</v>
      </c>
      <c r="AZ123" s="27">
        <f>ABS(AY123)</f>
        <v>5.3611446729926655</v>
      </c>
    </row>
    <row r="124" spans="1:52" s="27" customFormat="1" ht="12.75" customHeight="1" x14ac:dyDescent="0.2">
      <c r="A124" s="50">
        <v>312832</v>
      </c>
      <c r="B124" s="2">
        <v>24</v>
      </c>
      <c r="C124" s="50">
        <v>25</v>
      </c>
      <c r="D124" s="10">
        <v>21</v>
      </c>
      <c r="E124" s="10">
        <v>23</v>
      </c>
      <c r="F124" s="10">
        <v>24</v>
      </c>
      <c r="G124" s="10">
        <v>25</v>
      </c>
      <c r="H124" s="10">
        <v>25</v>
      </c>
      <c r="I124" s="10">
        <v>24</v>
      </c>
      <c r="J124" s="2"/>
      <c r="K124" s="10">
        <v>59</v>
      </c>
      <c r="L124" s="10">
        <v>43</v>
      </c>
      <c r="M124" s="10">
        <v>58</v>
      </c>
      <c r="N124" s="51">
        <v>48</v>
      </c>
      <c r="O124" s="11">
        <v>62</v>
      </c>
      <c r="P124" s="10"/>
      <c r="Q124" s="40"/>
      <c r="R124" s="2">
        <v>137</v>
      </c>
      <c r="S124" s="10">
        <f>IF(T124="",R124,MAX((R124+$R$8)/$R$2,(T124+$T$8)/$T$2)*$R$2-$R$8)</f>
        <v>137</v>
      </c>
      <c r="T124" s="62">
        <v>195</v>
      </c>
      <c r="U124" s="10">
        <f>IF(A124&lt;&gt;"",SUM(B124:I124),"")</f>
        <v>191</v>
      </c>
      <c r="V124" s="10">
        <f>IF(A124&lt;&gt;"",SUM(J124:O124),"")</f>
        <v>270</v>
      </c>
      <c r="W124" s="10">
        <f>IF(A124&lt;&gt;"",SUM(P124:Q124),"")</f>
        <v>0</v>
      </c>
      <c r="X124" s="10">
        <f>IF(A124&lt;&gt;"",SUM(S124:T124),"")</f>
        <v>332</v>
      </c>
      <c r="Y124" s="12">
        <v>3</v>
      </c>
      <c r="Z124" s="12">
        <f>IF(A124&lt;&gt;"",SUM(U124:Y124),"")</f>
        <v>796</v>
      </c>
      <c r="AA124" s="27">
        <f>IF(A124&lt;&gt;"",(Z124+Normalize_To_Add)/(Point_Total_So_Far)*100,"")</f>
        <v>87.10967318913184</v>
      </c>
      <c r="AB124" s="10">
        <f>IF(A124&lt;&gt;"",RANK(AA124,All_Student_XC),"")</f>
        <v>126</v>
      </c>
      <c r="AC124" s="31" t="str">
        <f>IF(A124&lt;&gt;"",CHOOSE(10-MIN(9,TRUNC((AA124+0.5)/10)),"A","B","C","D","F","F","F","F","F","F"),"")</f>
        <v>B</v>
      </c>
      <c r="AD124" s="31" t="str">
        <f>IF(A124&lt;&gt;"",IF(OR(AA124+0.5&gt;=93,AA124+0.5&lt;60),"",IF(MOD(AA124+0.5,10)&gt;=7,"+",IF(MOD(AA124+0.5,10)&lt;3,"-",""))),"")</f>
        <v>+</v>
      </c>
      <c r="AE124" s="31">
        <f>IF(A124&lt;&gt;"",SUM(W124:X124,$W$8:$X$8)/SUM($W$2:$X$2)*100,"")</f>
        <v>81.419346378263697</v>
      </c>
      <c r="AF124" s="43" t="str">
        <f>IF(A124&lt;&gt;"",CHOOSE(10-MIN(9,TRUNC((AE124+0.5)/10)),"A","B","C","D","F","F","F","F","F","F"),"")</f>
        <v>B</v>
      </c>
      <c r="AG124" s="43" t="str">
        <f>IF(A124&lt;&gt;"",IF(OR(AE124+0.5&gt;=93,AE124+0.5&lt;60),"",IF(MOD(AE124+0.5,10)&gt;=7,"+",IF(MOD(AE124+0.5,10)&lt;3,"-",""))),"")</f>
        <v>-</v>
      </c>
      <c r="AH124" s="35">
        <f>IF(A124&lt;&gt;"",MIN(MAX(AA124,AE124),AA124+$AH$8,AE124+$AH$8),"")</f>
        <v>87.10967318913184</v>
      </c>
      <c r="AI124" s="31" t="str">
        <f>IF(A124&lt;&gt;"",CHOOSE(10-MIN(9,TRUNC((AH124+0.5)/10)),"A","B","C","D","F","F","F","F","F","F"),"")</f>
        <v>B</v>
      </c>
      <c r="AJ124" s="31" t="str">
        <f>IF(A124&lt;&gt;"",IF(OR(AH124+0.5&gt;=93,AH124+0.5&lt;60),"",IF(MOD(AH124+0.5,10)&gt;=7,"+",IF(MOD(AH124+0.5,10)&lt;3,"-",""))),"")</f>
        <v>+</v>
      </c>
      <c r="AK124" s="31" t="b">
        <f>IF(A124&lt;&gt;"",OR(AI124&lt;&gt;AC124,AJ124&lt;&gt;AD124),"")</f>
        <v>0</v>
      </c>
      <c r="AL124" s="81">
        <f>IF(AND(A124&lt;&gt;"",U124&gt;0),SUM(U124,$AL$8)/$AL$2*100,"")</f>
        <v>95.5</v>
      </c>
      <c r="AM124" s="24">
        <f>IF(AND(A124&lt;&gt;"",V124&gt;0),SUM(V124,$AM$8)/$AM$2*100,"")</f>
        <v>90</v>
      </c>
      <c r="AN124" s="24" t="str">
        <f>IF(AND(A124&lt;&gt;"",P124&lt;&gt;0),SUM(P124,$AN$8)/$AN$2*100,"")</f>
        <v/>
      </c>
      <c r="AO124" s="24" t="str">
        <f>IF(AND(A124&lt;&gt;"",Q124&lt;&gt;0),SUM(Q124,$AO$8)/$AO$2*100,"")</f>
        <v/>
      </c>
      <c r="AP124" s="24">
        <f>IF(AND(A124&lt;&gt;"",R124&lt;&gt;0),SUM(R124,$AP$8)/$AP$2*100,"")</f>
        <v>83.002659574468083</v>
      </c>
      <c r="AQ124" s="24" t="str">
        <f>IF(AND(A124&lt;&gt;"",W124&gt;0),SUM(W124,$AQ$8)/$AQ$2*100,"")</f>
        <v/>
      </c>
      <c r="AR124" s="24">
        <f>IF(AND(A124&lt;&gt;"",T124&gt;0),SUM(T124,$AR$8)/$AR$2*100,"")</f>
        <v>80.363804247460763</v>
      </c>
      <c r="AS124" s="24">
        <f>IF(AND(A124&lt;&gt;"",X124&lt;&gt;0),SUM(X124,$AS$8)/$AS$2*100,"")</f>
        <v>81.419346378263697</v>
      </c>
      <c r="AT124" s="86">
        <f>IF(A124&lt;&gt;"",SUM(W124:X124,$AT$8)/$AT$2*100,"")</f>
        <v>81.419346378263697</v>
      </c>
      <c r="AU124" s="24">
        <f>AA124</f>
        <v>87.10967318913184</v>
      </c>
      <c r="AV124" s="24"/>
      <c r="AW124" s="27">
        <f>IF(A124&lt;&gt;"",AE124-AA124,"")</f>
        <v>-5.6903268108681431</v>
      </c>
      <c r="AY124" s="27">
        <f>AR124-AP124</f>
        <v>-2.6388553270073203</v>
      </c>
      <c r="AZ124" s="27">
        <f>ABS(AY124)</f>
        <v>2.6388553270073203</v>
      </c>
    </row>
    <row r="125" spans="1:52" s="27" customFormat="1" ht="12.75" customHeight="1" x14ac:dyDescent="0.2">
      <c r="A125" s="10">
        <v>313090</v>
      </c>
      <c r="B125" s="2">
        <v>8</v>
      </c>
      <c r="C125" s="10">
        <v>21</v>
      </c>
      <c r="D125" s="10">
        <v>18</v>
      </c>
      <c r="E125" s="10">
        <v>18</v>
      </c>
      <c r="F125" s="10">
        <v>16</v>
      </c>
      <c r="G125" s="10">
        <v>25</v>
      </c>
      <c r="H125" s="10">
        <v>14</v>
      </c>
      <c r="I125" s="10">
        <v>25</v>
      </c>
      <c r="J125" s="2"/>
      <c r="K125" s="10">
        <v>39</v>
      </c>
      <c r="L125" s="10">
        <v>18</v>
      </c>
      <c r="M125" s="10">
        <v>27</v>
      </c>
      <c r="N125" s="51">
        <v>47</v>
      </c>
      <c r="O125" s="11">
        <v>60</v>
      </c>
      <c r="P125" s="10"/>
      <c r="Q125" s="40"/>
      <c r="R125" s="2">
        <v>90</v>
      </c>
      <c r="S125" s="10">
        <f>IF(T125="",R125,MAX((R125+$R$8)/$R$2,(T125+$T$8)/$T$2)*$R$2-$R$8)</f>
        <v>121.05562267931867</v>
      </c>
      <c r="T125" s="12">
        <v>179</v>
      </c>
      <c r="U125" s="34">
        <f>IF(A125&lt;&gt;"",SUM(B125:I125),"")</f>
        <v>145</v>
      </c>
      <c r="V125" s="10">
        <f>IF(A125&lt;&gt;"",SUM(J125:O125),"")</f>
        <v>191</v>
      </c>
      <c r="W125" s="10">
        <f>IF(A125&lt;&gt;"",SUM(P125:Q125),"")</f>
        <v>0</v>
      </c>
      <c r="X125" s="10">
        <f>IF(A125&lt;&gt;"",SUM(S125:T125),"")</f>
        <v>300.05562267931867</v>
      </c>
      <c r="Y125" s="12">
        <v>3</v>
      </c>
      <c r="Z125" s="12">
        <f>IF(A125&lt;&gt;"",SUM(U125:Y125),"")</f>
        <v>639.05562267931873</v>
      </c>
      <c r="AA125" s="27">
        <f>IF(A125&lt;&gt;"",(Z125+Normalize_To_Add)/(Point_Total_So_Far)*100,"")</f>
        <v>71.415235457063716</v>
      </c>
      <c r="AB125" s="10">
        <f>IF(A125&lt;&gt;"",RANK(AA125,All_Student_XC),"")</f>
        <v>300</v>
      </c>
      <c r="AC125" s="31" t="str">
        <f>IF(A125&lt;&gt;"",CHOOSE(10-MIN(9,TRUNC((AA125+0.5)/10)),"A","B","C","D","F","F","F","F","F","F"),"")</f>
        <v>C</v>
      </c>
      <c r="AD125" s="31" t="str">
        <f>IF(A125&lt;&gt;"",IF(OR(AA125+0.5&gt;=93,AA125+0.5&lt;60),"",IF(MOD(AA125+0.5,10)&gt;=7,"+",IF(MOD(AA125+0.5,10)&lt;3,"-",""))),"")</f>
        <v>-</v>
      </c>
      <c r="AE125" s="31">
        <f>IF(A125&lt;&gt;"",SUM(W125:X125,$W$8:$X$8)/SUM($W$2:$X$2)*100,"")</f>
        <v>75.03047091412742</v>
      </c>
      <c r="AF125" s="31" t="str">
        <f>IF(A125&lt;&gt;"",CHOOSE(10-MIN(9,TRUNC((AE125+0.5)/10)),"A","B","C","D","F","F","F","F","F","F"),"")</f>
        <v>C</v>
      </c>
      <c r="AG125" s="31" t="str">
        <f>IF(A125&lt;&gt;"",IF(OR(AE125+0.5&gt;=93,AE125+0.5&lt;60),"",IF(MOD(AE125+0.5,10)&gt;=7,"+",IF(MOD(AE125+0.5,10)&lt;3,"-",""))),"")</f>
        <v/>
      </c>
      <c r="AH125" s="35">
        <f>IF(A125&lt;&gt;"",MIN(MAX(AA125,AE125),AA125+$AH$8,AE125+$AH$8),"")</f>
        <v>75.03047091412742</v>
      </c>
      <c r="AI125" s="31" t="str">
        <f>IF(A125&lt;&gt;"",CHOOSE(10-MIN(9,TRUNC((AH125+0.5)/10)),"A","B","C","D","F","F","F","F","F","F"),"")</f>
        <v>C</v>
      </c>
      <c r="AJ125" s="31" t="str">
        <f>IF(A125&lt;&gt;"",IF(OR(AH125+0.5&gt;=93,AH125+0.5&lt;60),"",IF(MOD(AH125+0.5,10)&gt;=7,"+",IF(MOD(AH125+0.5,10)&lt;3,"-",""))),"")</f>
        <v/>
      </c>
      <c r="AK125" s="31" t="b">
        <f>IF(A125&lt;&gt;"",OR(AI125&lt;&gt;AC125,AJ125&lt;&gt;AD125),"")</f>
        <v>1</v>
      </c>
      <c r="AL125" s="81">
        <f>IF(AND(A125&lt;&gt;"",U125&gt;0),SUM(U125,$AL$8)/$AL$2*100,"")</f>
        <v>72.5</v>
      </c>
      <c r="AM125" s="24">
        <f>IF(AND(A125&lt;&gt;"",V125&gt;0),SUM(V125,$AM$8)/$AM$2*100,"")</f>
        <v>63.666666666666671</v>
      </c>
      <c r="AN125" s="24" t="str">
        <f>IF(AND(A125&lt;&gt;"",P125&lt;&gt;0),SUM(P125,$AN$8)/$AN$2*100,"")</f>
        <v/>
      </c>
      <c r="AO125" s="24" t="str">
        <f>IF(AND(A125&lt;&gt;"",Q125&lt;&gt;0),SUM(Q125,$AO$8)/$AO$2*100,"")</f>
        <v/>
      </c>
      <c r="AP125" s="24">
        <f>IF(AND(A125&lt;&gt;"",R125&lt;&gt;0),SUM(R125,$AP$8)/$AP$2*100,"")</f>
        <v>59.502659574468083</v>
      </c>
      <c r="AQ125" s="24" t="str">
        <f>IF(AND(A125&lt;&gt;"",W125&gt;0),SUM(W125,$AQ$8)/$AQ$2*100,"")</f>
        <v/>
      </c>
      <c r="AR125" s="24">
        <f>IF(AND(A125&lt;&gt;"",T125&gt;0),SUM(T125,$AR$8)/$AR$2*100,"")</f>
        <v>75.03047091412742</v>
      </c>
      <c r="AS125" s="24">
        <f>IF(AND(A125&lt;&gt;"",X125&lt;&gt;0),SUM(X125,$AS$8)/$AS$2*100,"")</f>
        <v>75.03047091412742</v>
      </c>
      <c r="AT125" s="86">
        <f>IF(A125&lt;&gt;"",SUM(W125:X125,$AT$8)/$AT$2*100,"")</f>
        <v>75.03047091412742</v>
      </c>
      <c r="AU125" s="24">
        <f>AA125</f>
        <v>71.415235457063716</v>
      </c>
      <c r="AV125" s="24"/>
      <c r="AW125" s="27">
        <f>IF(A125&lt;&gt;"",AE125-AA125,"")</f>
        <v>3.6152354570637044</v>
      </c>
      <c r="AY125" s="27">
        <f>AR125-AP125</f>
        <v>15.527811339659337</v>
      </c>
      <c r="AZ125" s="27">
        <f>ABS(AY125)</f>
        <v>15.527811339659337</v>
      </c>
    </row>
    <row r="126" spans="1:52" s="27" customFormat="1" ht="12.75" customHeight="1" x14ac:dyDescent="0.2">
      <c r="A126" s="50">
        <v>313666</v>
      </c>
      <c r="B126" s="2">
        <v>25</v>
      </c>
      <c r="C126" s="50">
        <v>22</v>
      </c>
      <c r="D126" s="10">
        <v>14</v>
      </c>
      <c r="E126" s="10">
        <v>17</v>
      </c>
      <c r="F126" s="10">
        <v>22</v>
      </c>
      <c r="G126" s="10">
        <v>25</v>
      </c>
      <c r="H126" s="10">
        <v>24</v>
      </c>
      <c r="I126" s="10">
        <v>23</v>
      </c>
      <c r="J126" s="2"/>
      <c r="K126" s="10">
        <v>62</v>
      </c>
      <c r="L126" s="10">
        <v>60</v>
      </c>
      <c r="M126" s="10">
        <v>55</v>
      </c>
      <c r="N126" s="51">
        <v>50</v>
      </c>
      <c r="O126" s="95" t="s">
        <v>79</v>
      </c>
      <c r="P126" s="10"/>
      <c r="Q126" s="40"/>
      <c r="R126" s="2">
        <v>130</v>
      </c>
      <c r="S126" s="10">
        <f>IF(T126="",R126,MAX((R126+$R$8)/$R$2,(T126+$T$8)/$T$2)*$R$2-$R$8)</f>
        <v>152.38895601265202</v>
      </c>
      <c r="T126" s="62">
        <v>226</v>
      </c>
      <c r="U126" s="10">
        <f>IF(A126&lt;&gt;"",SUM(B126:I126),"")</f>
        <v>172</v>
      </c>
      <c r="V126" s="10">
        <f>IF(A126&lt;&gt;"",SUM(J126:O126),"")</f>
        <v>227</v>
      </c>
      <c r="W126" s="10">
        <f>IF(A126&lt;&gt;"",SUM(P126:Q126),"")</f>
        <v>0</v>
      </c>
      <c r="X126" s="10">
        <f>IF(A126&lt;&gt;"",SUM(S126:T126),"")</f>
        <v>378.38895601265199</v>
      </c>
      <c r="Y126" s="12">
        <v>3</v>
      </c>
      <c r="Z126" s="12">
        <f>IF(A126&lt;&gt;"",SUM(U126:Y126),"")</f>
        <v>780.38895601265199</v>
      </c>
      <c r="AA126" s="27">
        <f>IF(A126&lt;&gt;"",(Z126+Normalize_To_Add)/(Point_Total_So_Far)*100,"")</f>
        <v>85.548568790397042</v>
      </c>
      <c r="AB126" s="10">
        <f>IF(A126&lt;&gt;"",RANK(AA126,All_Student_XC),"")</f>
        <v>150</v>
      </c>
      <c r="AC126" s="31" t="str">
        <f>IF(A126&lt;&gt;"",CHOOSE(10-MIN(9,TRUNC((AA126+0.5)/10)),"A","B","C","D","F","F","F","F","F","F"),"")</f>
        <v>B</v>
      </c>
      <c r="AD126" s="31" t="str">
        <f>IF(A126&lt;&gt;"",IF(OR(AA126+0.5&gt;=93,AA126+0.5&lt;60),"",IF(MOD(AA126+0.5,10)&gt;=7,"+",IF(MOD(AA126+0.5,10)&lt;3,"-",""))),"")</f>
        <v/>
      </c>
      <c r="AE126" s="31">
        <f>IF(A126&lt;&gt;"",SUM(W126:X126,$W$8:$X$8)/SUM($W$2:$X$2)*100,"")</f>
        <v>90.697137580794092</v>
      </c>
      <c r="AF126" s="43" t="str">
        <f>IF(A126&lt;&gt;"",CHOOSE(10-MIN(9,TRUNC((AE126+0.5)/10)),"A","B","C","D","F","F","F","F","F","F"),"")</f>
        <v>A</v>
      </c>
      <c r="AG126" s="43" t="str">
        <f>IF(A126&lt;&gt;"",IF(OR(AE126+0.5&gt;=93,AE126+0.5&lt;60),"",IF(MOD(AE126+0.5,10)&gt;=7,"+",IF(MOD(AE126+0.5,10)&lt;3,"-",""))),"")</f>
        <v>-</v>
      </c>
      <c r="AH126" s="35">
        <f>IF(A126&lt;&gt;"",MIN(MAX(AA126,AE126),AA126+$AH$8,AE126+$AH$8),"")</f>
        <v>90.697137580794092</v>
      </c>
      <c r="AI126" s="31" t="str">
        <f>IF(A126&lt;&gt;"",CHOOSE(10-MIN(9,TRUNC((AH126+0.5)/10)),"A","B","C","D","F","F","F","F","F","F"),"")</f>
        <v>A</v>
      </c>
      <c r="AJ126" s="31" t="str">
        <f>IF(A126&lt;&gt;"",IF(OR(AH126+0.5&gt;=93,AH126+0.5&lt;60),"",IF(MOD(AH126+0.5,10)&gt;=7,"+",IF(MOD(AH126+0.5,10)&lt;3,"-",""))),"")</f>
        <v>-</v>
      </c>
      <c r="AK126" s="31" t="b">
        <f>IF(A126&lt;&gt;"",OR(AI126&lt;&gt;AC126,AJ126&lt;&gt;AD126),"")</f>
        <v>1</v>
      </c>
      <c r="AL126" s="81">
        <f>IF(AND(A126&lt;&gt;"",U126&gt;0),SUM(U126,$AL$8)/$AL$2*100,"")</f>
        <v>86</v>
      </c>
      <c r="AM126" s="24">
        <f>IF(AND(A126&lt;&gt;"",V126&gt;0),SUM(V126,$AM$8)/$AM$2*100,"")</f>
        <v>75.666666666666671</v>
      </c>
      <c r="AN126" s="24" t="str">
        <f>IF(AND(A126&lt;&gt;"",P126&lt;&gt;0),SUM(P126,$AN$8)/$AN$2*100,"")</f>
        <v/>
      </c>
      <c r="AO126" s="24" t="str">
        <f>IF(AND(A126&lt;&gt;"",Q126&lt;&gt;0),SUM(Q126,$AO$8)/$AO$2*100,"")</f>
        <v/>
      </c>
      <c r="AP126" s="24">
        <f>IF(AND(A126&lt;&gt;"",R126&lt;&gt;0),SUM(R126,$AP$8)/$AP$2*100,"")</f>
        <v>79.502659574468083</v>
      </c>
      <c r="AQ126" s="24" t="str">
        <f>IF(AND(A126&lt;&gt;"",W126&gt;0),SUM(W126,$AQ$8)/$AQ$2*100,"")</f>
        <v/>
      </c>
      <c r="AR126" s="24">
        <f>IF(AND(A126&lt;&gt;"",T126&gt;0),SUM(T126,$AR$8)/$AR$2*100,"")</f>
        <v>90.697137580794092</v>
      </c>
      <c r="AS126" s="24">
        <f>IF(AND(A126&lt;&gt;"",X126&lt;&gt;0),SUM(X126,$AS$8)/$AS$2*100,"")</f>
        <v>90.697137580794092</v>
      </c>
      <c r="AT126" s="86">
        <f>IF(A126&lt;&gt;"",SUM(W126:X126,$AT$8)/$AT$2*100,"")</f>
        <v>90.697137580794092</v>
      </c>
      <c r="AU126" s="24">
        <f>AA126</f>
        <v>85.548568790397042</v>
      </c>
      <c r="AV126" s="24"/>
      <c r="AW126" s="27">
        <f>IF(A126&lt;&gt;"",AE126-AA126,"")</f>
        <v>5.1485687903970501</v>
      </c>
      <c r="AY126" s="27">
        <f>AR126-AP126</f>
        <v>11.194478006326008</v>
      </c>
      <c r="AZ126" s="27">
        <f>ABS(AY126)</f>
        <v>11.194478006326008</v>
      </c>
    </row>
    <row r="127" spans="1:52" s="27" customFormat="1" ht="12.75" customHeight="1" x14ac:dyDescent="0.2">
      <c r="A127" s="10">
        <v>314530</v>
      </c>
      <c r="B127" s="2">
        <v>24</v>
      </c>
      <c r="C127" s="10">
        <v>20</v>
      </c>
      <c r="D127" s="10">
        <v>23</v>
      </c>
      <c r="E127" s="10">
        <v>17</v>
      </c>
      <c r="F127" s="10">
        <v>20</v>
      </c>
      <c r="G127" s="10">
        <v>23</v>
      </c>
      <c r="H127" s="10">
        <v>25</v>
      </c>
      <c r="I127" s="10">
        <v>23</v>
      </c>
      <c r="J127" s="2"/>
      <c r="K127" s="10">
        <v>55</v>
      </c>
      <c r="L127" s="10">
        <v>57</v>
      </c>
      <c r="M127" s="10">
        <v>59</v>
      </c>
      <c r="N127" s="51">
        <v>55</v>
      </c>
      <c r="O127" s="11">
        <v>61</v>
      </c>
      <c r="P127" s="10"/>
      <c r="Q127" s="40"/>
      <c r="R127" s="2">
        <v>145</v>
      </c>
      <c r="S127" s="10">
        <f>IF(T127="",R127,MAX((R127+$R$8)/$R$2,(T127+$T$8)/$T$2)*$R$2-$R$8)</f>
        <v>145</v>
      </c>
      <c r="T127" s="12">
        <v>172</v>
      </c>
      <c r="U127" s="7">
        <f>IF(A127&lt;&gt;"",SUM(B127:I127),"")</f>
        <v>175</v>
      </c>
      <c r="V127" s="10">
        <f>IF(A127&lt;&gt;"",SUM(J127:O127),"")</f>
        <v>287</v>
      </c>
      <c r="W127" s="10">
        <f>IF(A127&lt;&gt;"",SUM(P127:Q127),"")</f>
        <v>0</v>
      </c>
      <c r="X127" s="10">
        <f>IF(A127&lt;&gt;"",SUM(S127:T127),"")</f>
        <v>317</v>
      </c>
      <c r="Y127" s="12">
        <v>3</v>
      </c>
      <c r="Z127" s="12">
        <f>IF(A127&lt;&gt;"",SUM(U127:Y127),"")</f>
        <v>782</v>
      </c>
      <c r="AA127" s="27">
        <f>IF(A127&lt;&gt;"",(Z127+Normalize_To_Add)/(Point_Total_So_Far)*100,"")</f>
        <v>85.709673189131834</v>
      </c>
      <c r="AB127" s="10">
        <f>IF(A127&lt;&gt;"",RANK(AA127,All_Student_XC),"")</f>
        <v>147</v>
      </c>
      <c r="AC127" s="31" t="str">
        <f>IF(A127&lt;&gt;"",CHOOSE(10-MIN(9,TRUNC((AA127+0.5)/10)),"A","B","C","D","F","F","F","F","F","F"),"")</f>
        <v>B</v>
      </c>
      <c r="AD127" s="31" t="str">
        <f>IF(A127&lt;&gt;"",IF(OR(AA127+0.5&gt;=93,AA127+0.5&lt;60),"",IF(MOD(AA127+0.5,10)&gt;=7,"+",IF(MOD(AA127+0.5,10)&lt;3,"-",""))),"")</f>
        <v/>
      </c>
      <c r="AE127" s="31">
        <f>IF(A127&lt;&gt;"",SUM(W127:X127,$W$8:$X$8)/SUM($W$2:$X$2)*100,"")</f>
        <v>78.419346378263683</v>
      </c>
      <c r="AF127" s="31" t="str">
        <f>IF(A127&lt;&gt;"",CHOOSE(10-MIN(9,TRUNC((AE127+0.5)/10)),"A","B","C","D","F","F","F","F","F","F"),"")</f>
        <v>C</v>
      </c>
      <c r="AG127" s="31" t="str">
        <f>IF(A127&lt;&gt;"",IF(OR(AE127+0.5&gt;=93,AE127+0.5&lt;60),"",IF(MOD(AE127+0.5,10)&gt;=7,"+",IF(MOD(AE127+0.5,10)&lt;3,"-",""))),"")</f>
        <v>+</v>
      </c>
      <c r="AH127" s="35">
        <f>IF(A127&lt;&gt;"",MIN(MAX(AA127,AE127),AA127+$AH$8,AE127+$AH$8),"")</f>
        <v>85.709673189131834</v>
      </c>
      <c r="AI127" s="31" t="str">
        <f>IF(A127&lt;&gt;"",CHOOSE(10-MIN(9,TRUNC((AH127+0.5)/10)),"A","B","C","D","F","F","F","F","F","F"),"")</f>
        <v>B</v>
      </c>
      <c r="AJ127" s="31" t="str">
        <f>IF(A127&lt;&gt;"",IF(OR(AH127+0.5&gt;=93,AH127+0.5&lt;60),"",IF(MOD(AH127+0.5,10)&gt;=7,"+",IF(MOD(AH127+0.5,10)&lt;3,"-",""))),"")</f>
        <v/>
      </c>
      <c r="AK127" s="31" t="b">
        <f>IF(A127&lt;&gt;"",OR(AI127&lt;&gt;AC127,AJ127&lt;&gt;AD127),"")</f>
        <v>0</v>
      </c>
      <c r="AL127" s="81">
        <f>IF(AND(A127&lt;&gt;"",U127&gt;0),SUM(U127,$AL$8)/$AL$2*100,"")</f>
        <v>87.5</v>
      </c>
      <c r="AM127" s="24">
        <f>IF(AND(A127&lt;&gt;"",V127&gt;0),SUM(V127,$AM$8)/$AM$2*100,"")</f>
        <v>95.666666666666671</v>
      </c>
      <c r="AN127" s="24" t="str">
        <f>IF(AND(A127&lt;&gt;"",P127&lt;&gt;0),SUM(P127,$AN$8)/$AN$2*100,"")</f>
        <v/>
      </c>
      <c r="AO127" s="24" t="str">
        <f>IF(AND(A127&lt;&gt;"",Q127&lt;&gt;0),SUM(Q127,$AO$8)/$AO$2*100,"")</f>
        <v/>
      </c>
      <c r="AP127" s="24">
        <f>IF(AND(A127&lt;&gt;"",R127&lt;&gt;0),SUM(R127,$AP$8)/$AP$2*100,"")</f>
        <v>87.002659574468083</v>
      </c>
      <c r="AQ127" s="24" t="str">
        <f>IF(AND(A127&lt;&gt;"",W127&gt;0),SUM(W127,$AQ$8)/$AQ$2*100,"")</f>
        <v/>
      </c>
      <c r="AR127" s="24">
        <f>IF(AND(A127&lt;&gt;"",T127&gt;0),SUM(T127,$AR$8)/$AR$2*100,"")</f>
        <v>72.697137580794092</v>
      </c>
      <c r="AS127" s="24">
        <f>IF(AND(A127&lt;&gt;"",X127&lt;&gt;0),SUM(X127,$AS$8)/$AS$2*100,"")</f>
        <v>78.419346378263683</v>
      </c>
      <c r="AT127" s="86">
        <f>IF(A127&lt;&gt;"",SUM(W127:X127,$AT$8)/$AT$2*100,"")</f>
        <v>78.419346378263683</v>
      </c>
      <c r="AU127" s="24">
        <f>AA127</f>
        <v>85.709673189131834</v>
      </c>
      <c r="AV127" s="24"/>
      <c r="AW127" s="27">
        <f>IF(A127&lt;&gt;"",AE127-AA127,"")</f>
        <v>-7.2903268108681516</v>
      </c>
      <c r="AY127" s="27">
        <f>AR127-AP127</f>
        <v>-14.305521993673992</v>
      </c>
      <c r="AZ127" s="27">
        <f>ABS(AY127)</f>
        <v>14.305521993673992</v>
      </c>
    </row>
    <row r="128" spans="1:52" s="27" customFormat="1" ht="12.75" customHeight="1" x14ac:dyDescent="0.2">
      <c r="A128" s="10">
        <v>314744</v>
      </c>
      <c r="B128" s="2">
        <v>22</v>
      </c>
      <c r="C128" s="10">
        <v>10</v>
      </c>
      <c r="D128" s="10">
        <v>22</v>
      </c>
      <c r="E128" s="10">
        <v>22</v>
      </c>
      <c r="F128" s="10">
        <v>11</v>
      </c>
      <c r="G128" s="10">
        <v>20</v>
      </c>
      <c r="H128" s="10" t="s">
        <v>69</v>
      </c>
      <c r="I128" s="10">
        <v>11</v>
      </c>
      <c r="J128" s="2"/>
      <c r="K128" s="10">
        <v>62</v>
      </c>
      <c r="L128" s="10">
        <v>59</v>
      </c>
      <c r="M128" s="10">
        <v>60</v>
      </c>
      <c r="N128" s="51">
        <v>62</v>
      </c>
      <c r="O128" s="11">
        <v>1</v>
      </c>
      <c r="P128" s="10"/>
      <c r="Q128" s="40"/>
      <c r="R128" s="2">
        <v>115</v>
      </c>
      <c r="S128" s="10">
        <f>IF(T128="",R128,MAX((R128+$R$8)/$R$2,(T128+$T$8)/$T$2)*$R$2-$R$8)</f>
        <v>133.05562267931867</v>
      </c>
      <c r="T128" s="12">
        <v>197</v>
      </c>
      <c r="U128" s="34">
        <f>IF(A128&lt;&gt;"",SUM(B128:I128),"")</f>
        <v>118</v>
      </c>
      <c r="V128" s="10">
        <f>IF(A128&lt;&gt;"",SUM(J128:O128),"")</f>
        <v>244</v>
      </c>
      <c r="W128" s="10">
        <f>IF(A128&lt;&gt;"",SUM(P128:Q128),"")</f>
        <v>0</v>
      </c>
      <c r="X128" s="10">
        <f>IF(A128&lt;&gt;"",SUM(S128:T128),"")</f>
        <v>330.05562267931867</v>
      </c>
      <c r="Y128" s="12">
        <v>3</v>
      </c>
      <c r="Z128" s="12">
        <f>IF(A128&lt;&gt;"",SUM(U128:Y128),"")</f>
        <v>695.05562267931873</v>
      </c>
      <c r="AA128" s="27">
        <f>IF(A128&lt;&gt;"",(Z128+Normalize_To_Add)/(Point_Total_So_Far)*100,"")</f>
        <v>77.01523545706371</v>
      </c>
      <c r="AB128" s="10">
        <f>IF(A128&lt;&gt;"",RANK(AA128,All_Student_XC),"")</f>
        <v>254</v>
      </c>
      <c r="AC128" s="31" t="str">
        <f>IF(A128&lt;&gt;"",CHOOSE(10-MIN(9,TRUNC((AA128+0.5)/10)),"A","B","C","D","F","F","F","F","F","F"),"")</f>
        <v>C</v>
      </c>
      <c r="AD128" s="31" t="str">
        <f>IF(A128&lt;&gt;"",IF(OR(AA128+0.5&gt;=93,AA128+0.5&lt;60),"",IF(MOD(AA128+0.5,10)&gt;=7,"+",IF(MOD(AA128+0.5,10)&lt;3,"-",""))),"")</f>
        <v>+</v>
      </c>
      <c r="AE128" s="31">
        <f>IF(A128&lt;&gt;"",SUM(W128:X128,$W$8:$X$8)/SUM($W$2:$X$2)*100,"")</f>
        <v>81.03047091412742</v>
      </c>
      <c r="AF128" s="31" t="str">
        <f>IF(A128&lt;&gt;"",CHOOSE(10-MIN(9,TRUNC((AE128+0.5)/10)),"A","B","C","D","F","F","F","F","F","F"),"")</f>
        <v>B</v>
      </c>
      <c r="AG128" s="31" t="str">
        <f>IF(A128&lt;&gt;"",IF(OR(AE128+0.5&gt;=93,AE128+0.5&lt;60),"",IF(MOD(AE128+0.5,10)&gt;=7,"+",IF(MOD(AE128+0.5,10)&lt;3,"-",""))),"")</f>
        <v>-</v>
      </c>
      <c r="AH128" s="35">
        <f>IF(A128&lt;&gt;"",MIN(MAX(AA128,AE128),AA128+$AH$8,AE128+$AH$8),"")</f>
        <v>81.03047091412742</v>
      </c>
      <c r="AI128" s="31" t="str">
        <f>IF(A128&lt;&gt;"",CHOOSE(10-MIN(9,TRUNC((AH128+0.5)/10)),"A","B","C","D","F","F","F","F","F","F"),"")</f>
        <v>B</v>
      </c>
      <c r="AJ128" s="31" t="str">
        <f>IF(A128&lt;&gt;"",IF(OR(AH128+0.5&gt;=93,AH128+0.5&lt;60),"",IF(MOD(AH128+0.5,10)&gt;=7,"+",IF(MOD(AH128+0.5,10)&lt;3,"-",""))),"")</f>
        <v>-</v>
      </c>
      <c r="AK128" s="31" t="b">
        <f>IF(A128&lt;&gt;"",OR(AI128&lt;&gt;AC128,AJ128&lt;&gt;AD128),"")</f>
        <v>1</v>
      </c>
      <c r="AL128" s="81">
        <f>IF(AND(A128&lt;&gt;"",U128&gt;0),SUM(U128,$AL$8)/$AL$2*100,"")</f>
        <v>59</v>
      </c>
      <c r="AM128" s="24">
        <f>IF(AND(A128&lt;&gt;"",V128&gt;0),SUM(V128,$AM$8)/$AM$2*100,"")</f>
        <v>81.333333333333329</v>
      </c>
      <c r="AN128" s="24" t="str">
        <f>IF(AND(A128&lt;&gt;"",P128&lt;&gt;0),SUM(P128,$AN$8)/$AN$2*100,"")</f>
        <v/>
      </c>
      <c r="AO128" s="24" t="str">
        <f>IF(AND(A128&lt;&gt;"",Q128&lt;&gt;0),SUM(Q128,$AO$8)/$AO$2*100,"")</f>
        <v/>
      </c>
      <c r="AP128" s="24">
        <f>IF(AND(A128&lt;&gt;"",R128&lt;&gt;0),SUM(R128,$AP$8)/$AP$2*100,"")</f>
        <v>72.002659574468083</v>
      </c>
      <c r="AQ128" s="24" t="str">
        <f>IF(AND(A128&lt;&gt;"",W128&gt;0),SUM(W128,$AQ$8)/$AQ$2*100,"")</f>
        <v/>
      </c>
      <c r="AR128" s="24">
        <f>IF(AND(A128&lt;&gt;"",T128&gt;0),SUM(T128,$AR$8)/$AR$2*100,"")</f>
        <v>81.03047091412742</v>
      </c>
      <c r="AS128" s="24">
        <f>IF(AND(A128&lt;&gt;"",X128&lt;&gt;0),SUM(X128,$AS$8)/$AS$2*100,"")</f>
        <v>81.03047091412742</v>
      </c>
      <c r="AT128" s="86">
        <f>IF(A128&lt;&gt;"",SUM(W128:X128,$AT$8)/$AT$2*100,"")</f>
        <v>81.03047091412742</v>
      </c>
      <c r="AU128" s="24">
        <f>AA128</f>
        <v>77.01523545706371</v>
      </c>
      <c r="AV128" s="24"/>
      <c r="AW128" s="27">
        <f>IF(A128&lt;&gt;"",AE128-AA128,"")</f>
        <v>4.0152354570637101</v>
      </c>
      <c r="AY128" s="27">
        <f>AR128-AP128</f>
        <v>9.0278113396593369</v>
      </c>
      <c r="AZ128" s="27">
        <f>ABS(AY128)</f>
        <v>9.0278113396593369</v>
      </c>
    </row>
    <row r="129" spans="1:52" s="27" customFormat="1" ht="12.75" customHeight="1" x14ac:dyDescent="0.2">
      <c r="A129" s="50">
        <v>315366</v>
      </c>
      <c r="B129" s="2">
        <v>4</v>
      </c>
      <c r="C129" s="50">
        <v>19</v>
      </c>
      <c r="D129" s="10">
        <v>19</v>
      </c>
      <c r="E129" s="10" t="s">
        <v>69</v>
      </c>
      <c r="F129" s="10" t="s">
        <v>69</v>
      </c>
      <c r="G129" s="10" t="s">
        <v>69</v>
      </c>
      <c r="H129" s="10" t="s">
        <v>69</v>
      </c>
      <c r="I129" s="10" t="s">
        <v>69</v>
      </c>
      <c r="J129" s="2"/>
      <c r="K129" s="10">
        <v>13</v>
      </c>
      <c r="L129" s="10">
        <v>6</v>
      </c>
      <c r="M129" s="10" t="s">
        <v>69</v>
      </c>
      <c r="N129" s="51" t="s">
        <v>69</v>
      </c>
      <c r="O129" s="11" t="s">
        <v>69</v>
      </c>
      <c r="P129" s="10"/>
      <c r="Q129" s="40"/>
      <c r="R129" s="2" t="s">
        <v>69</v>
      </c>
      <c r="S129" s="10" t="str">
        <f>IF(T129="",R129,MAX((R129+$R$8)/$R$2,(T129+$T$8)/$T$2)*$R$2-$R$8)</f>
        <v/>
      </c>
      <c r="T129" s="62" t="s">
        <v>69</v>
      </c>
      <c r="U129" s="10">
        <f>IF(A129&lt;&gt;"",SUM(B129:I129),"")</f>
        <v>42</v>
      </c>
      <c r="V129" s="10">
        <f>IF(A129&lt;&gt;"",SUM(J129:O129),"")</f>
        <v>19</v>
      </c>
      <c r="W129" s="10">
        <f>IF(A129&lt;&gt;"",SUM(P129:Q129),"")</f>
        <v>0</v>
      </c>
      <c r="X129" s="10">
        <f>IF(A129&lt;&gt;"",SUM(S129:T129),"")</f>
        <v>0</v>
      </c>
      <c r="Y129" s="12" t="s">
        <v>69</v>
      </c>
      <c r="Z129" s="12">
        <f>IF(A129&lt;&gt;"",SUM(U129:Y129),"")</f>
        <v>61</v>
      </c>
      <c r="AA129" s="27">
        <f>IF(A129&lt;&gt;"",(Z129+Normalize_To_Add)/(Point_Total_So_Far)*100,"")</f>
        <v>13.609673189131843</v>
      </c>
      <c r="AB129" s="10">
        <f>IF(A129&lt;&gt;"",RANK(AA129,All_Student_XC),"")</f>
        <v>377</v>
      </c>
      <c r="AC129" s="31" t="str">
        <f>IF(A129&lt;&gt;"",CHOOSE(10-MIN(9,TRUNC((AA129+0.5)/10)),"A","B","C","D","F","F","F","F","F","F"),"")</f>
        <v>F</v>
      </c>
      <c r="AD129" s="31" t="str">
        <f>IF(A129&lt;&gt;"",IF(OR(AA129+0.5&gt;=93,AA129+0.5&lt;60),"",IF(MOD(AA129+0.5,10)&gt;=7,"+",IF(MOD(AA129+0.5,10)&lt;3,"-",""))),"")</f>
        <v/>
      </c>
      <c r="AE129" s="31">
        <f>IF(A129&lt;&gt;"",SUM(W129:X129,$W$8:$X$8)/SUM($W$2:$X$2)*100,"")</f>
        <v>15.019346378263684</v>
      </c>
      <c r="AF129" s="43" t="str">
        <f>IF(A129&lt;&gt;"",CHOOSE(10-MIN(9,TRUNC((AE129+0.5)/10)),"A","B","C","D","F","F","F","F","F","F"),"")</f>
        <v>F</v>
      </c>
      <c r="AG129" s="43" t="str">
        <f>IF(A129&lt;&gt;"",IF(OR(AE129+0.5&gt;=93,AE129+0.5&lt;60),"",IF(MOD(AE129+0.5,10)&gt;=7,"+",IF(MOD(AE129+0.5,10)&lt;3,"-",""))),"")</f>
        <v/>
      </c>
      <c r="AH129" s="35">
        <f>IF(A129&lt;&gt;"",MIN(MAX(AA129,AE129),AA129+$AH$8,AE129+$AH$8),"")</f>
        <v>15.019346378263684</v>
      </c>
      <c r="AI129" s="31" t="str">
        <f>IF(A129&lt;&gt;"",CHOOSE(10-MIN(9,TRUNC((AH129+0.5)/10)),"A","B","C","D","F","F","F","F","F","F"),"")</f>
        <v>F</v>
      </c>
      <c r="AJ129" s="31" t="str">
        <f>IF(A129&lt;&gt;"",IF(OR(AH129+0.5&gt;=93,AH129+0.5&lt;60),"",IF(MOD(AH129+0.5,10)&gt;=7,"+",IF(MOD(AH129+0.5,10)&lt;3,"-",""))),"")</f>
        <v/>
      </c>
      <c r="AK129" s="31" t="b">
        <f>IF(A129&lt;&gt;"",OR(AI129&lt;&gt;AC129,AJ129&lt;&gt;AD129),"")</f>
        <v>0</v>
      </c>
      <c r="AL129" s="81">
        <f>IF(AND(A129&lt;&gt;"",U129&gt;0),SUM(U129,$AL$8)/$AL$2*100,"")</f>
        <v>21</v>
      </c>
      <c r="AM129" s="24">
        <f>IF(AND(A129&lt;&gt;"",V129&gt;0),SUM(V129,$AM$8)/$AM$2*100,"")</f>
        <v>6.3333333333333339</v>
      </c>
      <c r="AN129" s="24" t="str">
        <f>IF(AND(A129&lt;&gt;"",P129&lt;&gt;0),SUM(P129,$AN$8)/$AN$2*100,"")</f>
        <v/>
      </c>
      <c r="AO129" s="24" t="str">
        <f>IF(AND(A129&lt;&gt;"",Q129&lt;&gt;0),SUM(Q129,$AO$8)/$AO$2*100,"")</f>
        <v/>
      </c>
      <c r="AP129" s="24">
        <f>IF(AND(A129&lt;&gt;"",R129&lt;&gt;0),SUM(R129,$AP$8)/$AP$2*100,"")</f>
        <v>14.502659574468083</v>
      </c>
      <c r="AQ129" s="24" t="str">
        <f>IF(AND(A129&lt;&gt;"",W129&gt;0),SUM(W129,$AQ$8)/$AQ$2*100,"")</f>
        <v/>
      </c>
      <c r="AR129" s="24">
        <f>IF(AND(A129&lt;&gt;"",T129&gt;0),SUM(T129,$AR$8)/$AR$2*100,"")</f>
        <v>15.363804247460756</v>
      </c>
      <c r="AS129" s="24" t="str">
        <f>IF(AND(A129&lt;&gt;"",X129&lt;&gt;0),SUM(X129,$AS$8)/$AS$2*100,"")</f>
        <v/>
      </c>
      <c r="AT129" s="86">
        <f>IF(A129&lt;&gt;"",SUM(W129:X129,$AT$8)/$AT$2*100,"")</f>
        <v>15.019346378263684</v>
      </c>
      <c r="AU129" s="24">
        <f>AA129</f>
        <v>13.609673189131843</v>
      </c>
      <c r="AV129" s="24"/>
      <c r="AW129" s="27">
        <f>IF(A129&lt;&gt;"",AE129-AA129,"")</f>
        <v>1.4096731891318406</v>
      </c>
      <c r="AY129" s="27">
        <f>AR129-AP129</f>
        <v>0.86114467299267261</v>
      </c>
      <c r="AZ129" s="27">
        <f>ABS(AY129)</f>
        <v>0.86114467299267261</v>
      </c>
    </row>
    <row r="130" spans="1:52" s="27" customFormat="1" ht="12.75" customHeight="1" x14ac:dyDescent="0.2">
      <c r="A130" s="10">
        <v>315908</v>
      </c>
      <c r="B130" s="2">
        <v>25</v>
      </c>
      <c r="C130" s="10">
        <v>20</v>
      </c>
      <c r="D130" s="10">
        <v>22</v>
      </c>
      <c r="E130" s="10">
        <v>24</v>
      </c>
      <c r="F130" s="10">
        <v>24</v>
      </c>
      <c r="G130" s="10">
        <v>16</v>
      </c>
      <c r="H130" s="10">
        <v>19</v>
      </c>
      <c r="I130" s="10">
        <v>23</v>
      </c>
      <c r="J130" s="2"/>
      <c r="K130" s="10">
        <v>39</v>
      </c>
      <c r="L130" s="10">
        <v>61</v>
      </c>
      <c r="M130" s="10">
        <v>59</v>
      </c>
      <c r="N130" s="51">
        <v>57</v>
      </c>
      <c r="O130" s="11">
        <v>50</v>
      </c>
      <c r="P130" s="10"/>
      <c r="Q130" s="40"/>
      <c r="R130" s="2">
        <v>140</v>
      </c>
      <c r="S130" s="10">
        <f>IF(T130="",R130,MAX((R130+$R$8)/$R$2,(T130+$T$8)/$T$2)*$R$2-$R$8)</f>
        <v>151.72228934598533</v>
      </c>
      <c r="T130" s="12">
        <v>225</v>
      </c>
      <c r="U130" s="34">
        <f>IF(A130&lt;&gt;"",SUM(B130:I130),"")</f>
        <v>173</v>
      </c>
      <c r="V130" s="10">
        <f>IF(A130&lt;&gt;"",SUM(J130:O130),"")</f>
        <v>266</v>
      </c>
      <c r="W130" s="10">
        <f>IF(A130&lt;&gt;"",SUM(P130:Q130),"")</f>
        <v>0</v>
      </c>
      <c r="X130" s="10">
        <f>IF(A130&lt;&gt;"",SUM(S130:T130),"")</f>
        <v>376.72228934598536</v>
      </c>
      <c r="Y130" s="12">
        <v>3</v>
      </c>
      <c r="Z130" s="12">
        <f>IF(A130&lt;&gt;"",SUM(U130:Y130),"")</f>
        <v>818.72228934598536</v>
      </c>
      <c r="AA130" s="27">
        <f>IF(A130&lt;&gt;"",(Z130+Normalize_To_Add)/(Point_Total_So_Far)*100,"")</f>
        <v>89.381902123730384</v>
      </c>
      <c r="AB130" s="10">
        <f>IF(A130&lt;&gt;"",RANK(AA130,All_Student_XC),"")</f>
        <v>84</v>
      </c>
      <c r="AC130" s="31" t="str">
        <f>IF(A130&lt;&gt;"",CHOOSE(10-MIN(9,TRUNC((AA130+0.5)/10)),"A","B","C","D","F","F","F","F","F","F"),"")</f>
        <v>B</v>
      </c>
      <c r="AD130" s="31" t="str">
        <f>IF(A130&lt;&gt;"",IF(OR(AA130+0.5&gt;=93,AA130+0.5&lt;60),"",IF(MOD(AA130+0.5,10)&gt;=7,"+",IF(MOD(AA130+0.5,10)&lt;3,"-",""))),"")</f>
        <v>+</v>
      </c>
      <c r="AE130" s="31">
        <f>IF(A130&lt;&gt;"",SUM(W130:X130,$W$8:$X$8)/SUM($W$2:$X$2)*100,"")</f>
        <v>90.363804247460749</v>
      </c>
      <c r="AF130" s="31" t="str">
        <f>IF(A130&lt;&gt;"",CHOOSE(10-MIN(9,TRUNC((AE130+0.5)/10)),"A","B","C","D","F","F","F","F","F","F"),"")</f>
        <v>A</v>
      </c>
      <c r="AG130" s="31" t="str">
        <f>IF(A130&lt;&gt;"",IF(OR(AE130+0.5&gt;=93,AE130+0.5&lt;60),"",IF(MOD(AE130+0.5,10)&gt;=7,"+",IF(MOD(AE130+0.5,10)&lt;3,"-",""))),"")</f>
        <v>-</v>
      </c>
      <c r="AH130" s="35">
        <f>IF(A130&lt;&gt;"",MIN(MAX(AA130,AE130),AA130+$AH$8,AE130+$AH$8),"")</f>
        <v>90.363804247460749</v>
      </c>
      <c r="AI130" s="31" t="str">
        <f>IF(A130&lt;&gt;"",CHOOSE(10-MIN(9,TRUNC((AH130+0.5)/10)),"A","B","C","D","F","F","F","F","F","F"),"")</f>
        <v>A</v>
      </c>
      <c r="AJ130" s="31" t="str">
        <f>IF(A130&lt;&gt;"",IF(OR(AH130+0.5&gt;=93,AH130+0.5&lt;60),"",IF(MOD(AH130+0.5,10)&gt;=7,"+",IF(MOD(AH130+0.5,10)&lt;3,"-",""))),"")</f>
        <v>-</v>
      </c>
      <c r="AK130" s="31" t="b">
        <f>IF(A130&lt;&gt;"",OR(AI130&lt;&gt;AC130,AJ130&lt;&gt;AD130),"")</f>
        <v>1</v>
      </c>
      <c r="AL130" s="81">
        <f>IF(AND(A130&lt;&gt;"",U130&gt;0),SUM(U130,$AL$8)/$AL$2*100,"")</f>
        <v>86.5</v>
      </c>
      <c r="AM130" s="24">
        <f>IF(AND(A130&lt;&gt;"",V130&gt;0),SUM(V130,$AM$8)/$AM$2*100,"")</f>
        <v>88.666666666666671</v>
      </c>
      <c r="AN130" s="24" t="str">
        <f>IF(AND(A130&lt;&gt;"",P130&lt;&gt;0),SUM(P130,$AN$8)/$AN$2*100,"")</f>
        <v/>
      </c>
      <c r="AO130" s="24" t="str">
        <f>IF(AND(A130&lt;&gt;"",Q130&lt;&gt;0),SUM(Q130,$AO$8)/$AO$2*100,"")</f>
        <v/>
      </c>
      <c r="AP130" s="24">
        <f>IF(AND(A130&lt;&gt;"",R130&lt;&gt;0),SUM(R130,$AP$8)/$AP$2*100,"")</f>
        <v>84.502659574468083</v>
      </c>
      <c r="AQ130" s="24" t="str">
        <f>IF(AND(A130&lt;&gt;"",W130&gt;0),SUM(W130,$AQ$8)/$AQ$2*100,"")</f>
        <v/>
      </c>
      <c r="AR130" s="24">
        <f>IF(AND(A130&lt;&gt;"",T130&gt;0),SUM(T130,$AR$8)/$AR$2*100,"")</f>
        <v>90.363804247460749</v>
      </c>
      <c r="AS130" s="24">
        <f>IF(AND(A130&lt;&gt;"",X130&lt;&gt;0),SUM(X130,$AS$8)/$AS$2*100,"")</f>
        <v>90.363804247460749</v>
      </c>
      <c r="AT130" s="86">
        <f>IF(A130&lt;&gt;"",SUM(W130:X130,$AT$8)/$AT$2*100,"")</f>
        <v>90.363804247460749</v>
      </c>
      <c r="AU130" s="24">
        <f>AA130</f>
        <v>89.381902123730384</v>
      </c>
      <c r="AV130" s="24"/>
      <c r="AW130" s="27">
        <f>IF(A130&lt;&gt;"",AE130-AA130,"")</f>
        <v>0.98190212373036445</v>
      </c>
      <c r="AY130" s="27">
        <f>AR130-AP130</f>
        <v>5.8611446729926655</v>
      </c>
      <c r="AZ130" s="27">
        <f>ABS(AY130)</f>
        <v>5.8611446729926655</v>
      </c>
    </row>
    <row r="131" spans="1:52" s="27" customFormat="1" ht="12.75" customHeight="1" x14ac:dyDescent="0.2">
      <c r="A131" s="50">
        <v>316226</v>
      </c>
      <c r="B131" s="2">
        <v>23</v>
      </c>
      <c r="C131" s="50">
        <v>25</v>
      </c>
      <c r="D131" s="10">
        <v>17</v>
      </c>
      <c r="E131" s="10">
        <v>21</v>
      </c>
      <c r="F131" s="10">
        <v>20</v>
      </c>
      <c r="G131" s="10">
        <v>25</v>
      </c>
      <c r="H131" s="10">
        <v>14</v>
      </c>
      <c r="I131" s="10">
        <v>23</v>
      </c>
      <c r="J131" s="2"/>
      <c r="K131" s="10">
        <v>50</v>
      </c>
      <c r="L131" s="10">
        <v>44</v>
      </c>
      <c r="M131" s="10">
        <v>35</v>
      </c>
      <c r="N131" s="51">
        <v>38</v>
      </c>
      <c r="O131" s="11">
        <v>60</v>
      </c>
      <c r="P131" s="10"/>
      <c r="Q131" s="40"/>
      <c r="R131" s="2">
        <v>129</v>
      </c>
      <c r="S131" s="10">
        <f>IF(T131="",R131,MAX((R131+$R$8)/$R$2,(T131+$T$8)/$T$2)*$R$2-$R$8)</f>
        <v>129</v>
      </c>
      <c r="T131" s="62">
        <v>175</v>
      </c>
      <c r="U131" s="10">
        <f>IF(A131&lt;&gt;"",SUM(B131:I131),"")</f>
        <v>168</v>
      </c>
      <c r="V131" s="10">
        <f>IF(A131&lt;&gt;"",SUM(J131:O131),"")</f>
        <v>227</v>
      </c>
      <c r="W131" s="10">
        <f>IF(A131&lt;&gt;"",SUM(P131:Q131),"")</f>
        <v>0</v>
      </c>
      <c r="X131" s="10">
        <f>IF(A131&lt;&gt;"",SUM(S131:T131),"")</f>
        <v>304</v>
      </c>
      <c r="Y131" s="12">
        <v>3</v>
      </c>
      <c r="Z131" s="12">
        <f>IF(A131&lt;&gt;"",SUM(U131:Y131),"")</f>
        <v>702</v>
      </c>
      <c r="AA131" s="27">
        <f>IF(A131&lt;&gt;"",(Z131+Normalize_To_Add)/(Point_Total_So_Far)*100,"")</f>
        <v>77.709673189131848</v>
      </c>
      <c r="AB131" s="10">
        <f>IF(A131&lt;&gt;"",RANK(AA131,All_Student_XC),"")</f>
        <v>246</v>
      </c>
      <c r="AC131" s="31" t="str">
        <f>IF(A131&lt;&gt;"",CHOOSE(10-MIN(9,TRUNC((AA131+0.5)/10)),"A","B","C","D","F","F","F","F","F","F"),"")</f>
        <v>C</v>
      </c>
      <c r="AD131" s="31" t="str">
        <f>IF(A131&lt;&gt;"",IF(OR(AA131+0.5&gt;=93,AA131+0.5&lt;60),"",IF(MOD(AA131+0.5,10)&gt;=7,"+",IF(MOD(AA131+0.5,10)&lt;3,"-",""))),"")</f>
        <v>+</v>
      </c>
      <c r="AE131" s="31">
        <f>IF(A131&lt;&gt;"",SUM(W131:X131,$W$8:$X$8)/SUM($W$2:$X$2)*100,"")</f>
        <v>75.819346378263688</v>
      </c>
      <c r="AF131" s="43" t="str">
        <f>IF(A131&lt;&gt;"",CHOOSE(10-MIN(9,TRUNC((AE131+0.5)/10)),"A","B","C","D","F","F","F","F","F","F"),"")</f>
        <v>C</v>
      </c>
      <c r="AG131" s="43" t="str">
        <f>IF(A131&lt;&gt;"",IF(OR(AE131+0.5&gt;=93,AE131+0.5&lt;60),"",IF(MOD(AE131+0.5,10)&gt;=7,"+",IF(MOD(AE131+0.5,10)&lt;3,"-",""))),"")</f>
        <v/>
      </c>
      <c r="AH131" s="35">
        <f>IF(A131&lt;&gt;"",MIN(MAX(AA131,AE131),AA131+$AH$8,AE131+$AH$8),"")</f>
        <v>77.709673189131848</v>
      </c>
      <c r="AI131" s="31" t="str">
        <f>IF(A131&lt;&gt;"",CHOOSE(10-MIN(9,TRUNC((AH131+0.5)/10)),"A","B","C","D","F","F","F","F","F","F"),"")</f>
        <v>C</v>
      </c>
      <c r="AJ131" s="31" t="str">
        <f>IF(A131&lt;&gt;"",IF(OR(AH131+0.5&gt;=93,AH131+0.5&lt;60),"",IF(MOD(AH131+0.5,10)&gt;=7,"+",IF(MOD(AH131+0.5,10)&lt;3,"-",""))),"")</f>
        <v>+</v>
      </c>
      <c r="AK131" s="31" t="b">
        <f>IF(A131&lt;&gt;"",OR(AI131&lt;&gt;AC131,AJ131&lt;&gt;AD131),"")</f>
        <v>0</v>
      </c>
      <c r="AL131" s="81">
        <f>IF(AND(A131&lt;&gt;"",U131&gt;0),SUM(U131,$AL$8)/$AL$2*100,"")</f>
        <v>84</v>
      </c>
      <c r="AM131" s="24">
        <f>IF(AND(A131&lt;&gt;"",V131&gt;0),SUM(V131,$AM$8)/$AM$2*100,"")</f>
        <v>75.666666666666671</v>
      </c>
      <c r="AN131" s="24" t="str">
        <f>IF(AND(A131&lt;&gt;"",P131&lt;&gt;0),SUM(P131,$AN$8)/$AN$2*100,"")</f>
        <v/>
      </c>
      <c r="AO131" s="24" t="str">
        <f>IF(AND(A131&lt;&gt;"",Q131&lt;&gt;0),SUM(Q131,$AO$8)/$AO$2*100,"")</f>
        <v/>
      </c>
      <c r="AP131" s="24">
        <f>IF(AND(A131&lt;&gt;"",R131&lt;&gt;0),SUM(R131,$AP$8)/$AP$2*100,"")</f>
        <v>79.002659574468083</v>
      </c>
      <c r="AQ131" s="24" t="str">
        <f>IF(AND(A131&lt;&gt;"",W131&gt;0),SUM(W131,$AQ$8)/$AQ$2*100,"")</f>
        <v/>
      </c>
      <c r="AR131" s="24">
        <f>IF(AND(A131&lt;&gt;"",T131&gt;0),SUM(T131,$AR$8)/$AR$2*100,"")</f>
        <v>73.697137580794092</v>
      </c>
      <c r="AS131" s="24">
        <f>IF(AND(A131&lt;&gt;"",X131&lt;&gt;0),SUM(X131,$AS$8)/$AS$2*100,"")</f>
        <v>75.819346378263688</v>
      </c>
      <c r="AT131" s="86">
        <f>IF(A131&lt;&gt;"",SUM(W131:X131,$AT$8)/$AT$2*100,"")</f>
        <v>75.819346378263688</v>
      </c>
      <c r="AU131" s="24">
        <f>AA131</f>
        <v>77.709673189131848</v>
      </c>
      <c r="AV131" s="24"/>
      <c r="AW131" s="27">
        <f>IF(A131&lt;&gt;"",AE131-AA131,"")</f>
        <v>-1.8903268108681601</v>
      </c>
      <c r="AY131" s="27">
        <f>AR131-AP131</f>
        <v>-5.3055219936739917</v>
      </c>
      <c r="AZ131" s="27">
        <f>ABS(AY131)</f>
        <v>5.3055219936739917</v>
      </c>
    </row>
    <row r="132" spans="1:52" s="27" customFormat="1" ht="12.75" customHeight="1" x14ac:dyDescent="0.2">
      <c r="A132" s="10">
        <v>317964</v>
      </c>
      <c r="B132" s="2">
        <v>25</v>
      </c>
      <c r="C132" s="10">
        <v>23</v>
      </c>
      <c r="D132" s="10">
        <v>19</v>
      </c>
      <c r="E132" s="10">
        <v>20</v>
      </c>
      <c r="F132" s="10">
        <v>23</v>
      </c>
      <c r="G132" s="10">
        <v>25</v>
      </c>
      <c r="H132" s="10">
        <v>19</v>
      </c>
      <c r="I132" s="10">
        <v>25</v>
      </c>
      <c r="J132" s="2"/>
      <c r="K132" s="10">
        <v>58</v>
      </c>
      <c r="L132" s="10">
        <v>55</v>
      </c>
      <c r="M132" s="10">
        <v>59</v>
      </c>
      <c r="N132" s="10">
        <v>60</v>
      </c>
      <c r="O132" s="11">
        <v>60</v>
      </c>
      <c r="P132" s="40"/>
      <c r="Q132" s="40"/>
      <c r="R132" s="2">
        <v>104</v>
      </c>
      <c r="S132" s="10">
        <f>IF(T132="",R132,MAX((R132+$R$8)/$R$2,(T132+$T$8)/$T$2)*$R$2-$R$8)</f>
        <v>104</v>
      </c>
      <c r="T132" s="12">
        <v>142</v>
      </c>
      <c r="U132" s="7">
        <f>IF(A132&lt;&gt;"",SUM(B132:I132),"")</f>
        <v>179</v>
      </c>
      <c r="V132" s="10">
        <f>IF(A132&lt;&gt;"",SUM(J132:O132),"")</f>
        <v>292</v>
      </c>
      <c r="W132" s="10">
        <f>IF(A132&lt;&gt;"",SUM(P132:Q132),"")</f>
        <v>0</v>
      </c>
      <c r="X132" s="10">
        <f>IF(A132&lt;&gt;"",SUM(S132:T132),"")</f>
        <v>246</v>
      </c>
      <c r="Y132" s="12">
        <v>3</v>
      </c>
      <c r="Z132" s="12">
        <f>IF(A132&lt;&gt;"",SUM(U132:Y132),"")</f>
        <v>720</v>
      </c>
      <c r="AA132" s="27">
        <f>IF(A132&lt;&gt;"",(Z132+Normalize_To_Add)/(Point_Total_So_Far)*100,"")</f>
        <v>79.509673189131846</v>
      </c>
      <c r="AB132" s="10">
        <f>IF(A132&lt;&gt;"",RANK(AA132,All_Student_XC),"")</f>
        <v>216</v>
      </c>
      <c r="AC132" s="31" t="str">
        <f>IF(A132&lt;&gt;"",CHOOSE(10-MIN(9,TRUNC((AA132+0.5)/10)),"A","B","C","D","F","F","F","F","F","F"),"")</f>
        <v>B</v>
      </c>
      <c r="AD132" s="31" t="str">
        <f>IF(A132&lt;&gt;"",IF(OR(AA132+0.5&gt;=93,AA132+0.5&lt;60),"",IF(MOD(AA132+0.5,10)&gt;=7,"+",IF(MOD(AA132+0.5,10)&lt;3,"-",""))),"")</f>
        <v>-</v>
      </c>
      <c r="AE132" s="31">
        <f>IF(A132&lt;&gt;"",SUM(W132:X132,$W$8:$X$8)/SUM($W$2:$X$2)*100,"")</f>
        <v>64.21934637826368</v>
      </c>
      <c r="AF132" s="31" t="str">
        <f>IF(A132&lt;&gt;"",CHOOSE(10-MIN(9,TRUNC((AE132+0.5)/10)),"A","B","C","D","F","F","F","F","F","F"),"")</f>
        <v>D</v>
      </c>
      <c r="AG132" s="31" t="str">
        <f>IF(A132&lt;&gt;"",IF(OR(AE132+0.5&gt;=93,AE132+0.5&lt;60),"",IF(MOD(AE132+0.5,10)&gt;=7,"+",IF(MOD(AE132+0.5,10)&lt;3,"-",""))),"")</f>
        <v/>
      </c>
      <c r="AH132" s="35">
        <f>IF(A132&lt;&gt;"",MIN(MAX(AA132,AE132),AA132+$AH$8,AE132+$AH$8),"")</f>
        <v>79.509673189131846</v>
      </c>
      <c r="AI132" s="31" t="str">
        <f>IF(A132&lt;&gt;"",CHOOSE(10-MIN(9,TRUNC((AH132+0.5)/10)),"A","B","C","D","F","F","F","F","F","F"),"")</f>
        <v>B</v>
      </c>
      <c r="AJ132" s="31" t="str">
        <f>IF(A132&lt;&gt;"",IF(OR(AH132+0.5&gt;=93,AH132+0.5&lt;60),"",IF(MOD(AH132+0.5,10)&gt;=7,"+",IF(MOD(AH132+0.5,10)&lt;3,"-",""))),"")</f>
        <v>-</v>
      </c>
      <c r="AK132" s="31" t="b">
        <f>IF(A132&lt;&gt;"",OR(AI132&lt;&gt;AC132,AJ132&lt;&gt;AD132),"")</f>
        <v>0</v>
      </c>
      <c r="AL132" s="81">
        <f>IF(AND(A132&lt;&gt;"",U132&gt;0),SUM(U132,$AL$8)/$AL$2*100,"")</f>
        <v>89.5</v>
      </c>
      <c r="AM132" s="24">
        <f>IF(AND(A132&lt;&gt;"",V132&gt;0),SUM(V132,$AM$8)/$AM$2*100,"")</f>
        <v>97.333333333333343</v>
      </c>
      <c r="AN132" s="24" t="str">
        <f>IF(AND(A132&lt;&gt;"",P132&lt;&gt;0),SUM(P132,$AN$8)/$AN$2*100,"")</f>
        <v/>
      </c>
      <c r="AO132" s="24" t="str">
        <f>IF(AND(A132&lt;&gt;"",Q132&lt;&gt;0),SUM(Q132,$AO$8)/$AO$2*100,"")</f>
        <v/>
      </c>
      <c r="AP132" s="24">
        <f>IF(AND(A132&lt;&gt;"",R132&lt;&gt;0),SUM(R132,$AP$8)/$AP$2*100,"")</f>
        <v>66.502659574468083</v>
      </c>
      <c r="AQ132" s="24" t="str">
        <f>IF(AND(A132&lt;&gt;"",W132&gt;0),SUM(W132,$AQ$8)/$AQ$2*100,"")</f>
        <v/>
      </c>
      <c r="AR132" s="24">
        <f>IF(AND(A132&lt;&gt;"",T132&gt;0),SUM(T132,$AR$8)/$AR$2*100,"")</f>
        <v>62.697137580794084</v>
      </c>
      <c r="AS132" s="24">
        <f>IF(AND(A132&lt;&gt;"",X132&lt;&gt;0),SUM(X132,$AS$8)/$AS$2*100,"")</f>
        <v>64.21934637826368</v>
      </c>
      <c r="AT132" s="86">
        <f>IF(A132&lt;&gt;"",SUM(W132:X132,$AT$8)/$AT$2*100,"")</f>
        <v>64.21934637826368</v>
      </c>
      <c r="AU132" s="24">
        <f>AA132</f>
        <v>79.509673189131846</v>
      </c>
      <c r="AV132" s="24"/>
      <c r="AW132" s="27">
        <f>IF(A132&lt;&gt;"",AE132-AA132,"")</f>
        <v>-15.290326810868166</v>
      </c>
      <c r="AY132" s="27">
        <f>AR132-AP132</f>
        <v>-3.8055219936739988</v>
      </c>
      <c r="AZ132" s="27">
        <f>ABS(AY132)</f>
        <v>3.8055219936739988</v>
      </c>
    </row>
    <row r="133" spans="1:52" s="27" customFormat="1" ht="12.75" customHeight="1" x14ac:dyDescent="0.2">
      <c r="A133" s="10">
        <v>318678</v>
      </c>
      <c r="B133" s="2">
        <v>25</v>
      </c>
      <c r="C133" s="10">
        <v>22</v>
      </c>
      <c r="D133" s="10">
        <v>25</v>
      </c>
      <c r="E133" s="10">
        <v>22</v>
      </c>
      <c r="F133" s="10">
        <v>25</v>
      </c>
      <c r="G133" s="10">
        <v>25</v>
      </c>
      <c r="H133" s="10">
        <v>14</v>
      </c>
      <c r="I133" s="10">
        <v>25</v>
      </c>
      <c r="J133" s="2"/>
      <c r="K133" s="10">
        <v>60</v>
      </c>
      <c r="L133" s="10">
        <v>62</v>
      </c>
      <c r="M133" s="10">
        <v>62</v>
      </c>
      <c r="N133" s="51">
        <v>61</v>
      </c>
      <c r="O133" s="11">
        <v>61</v>
      </c>
      <c r="P133" s="10"/>
      <c r="Q133" s="40"/>
      <c r="R133" s="2">
        <v>128</v>
      </c>
      <c r="S133" s="10">
        <f>IF(T133="",R133,MAX((R133+$R$8)/$R$2,(T133+$T$8)/$T$2)*$R$2-$R$8)</f>
        <v>149.72228934598533</v>
      </c>
      <c r="T133" s="12">
        <v>222</v>
      </c>
      <c r="U133" s="7">
        <f>IF(A133&lt;&gt;"",SUM(B133:I133),"")</f>
        <v>183</v>
      </c>
      <c r="V133" s="10">
        <f>IF(A133&lt;&gt;"",SUM(J133:O133),"")</f>
        <v>306</v>
      </c>
      <c r="W133" s="10">
        <f>IF(A133&lt;&gt;"",SUM(P133:Q133),"")</f>
        <v>0</v>
      </c>
      <c r="X133" s="10">
        <f>IF(A133&lt;&gt;"",SUM(S133:T133),"")</f>
        <v>371.72228934598536</v>
      </c>
      <c r="Y133" s="12">
        <v>3</v>
      </c>
      <c r="Z133" s="12">
        <f>IF(A133&lt;&gt;"",SUM(U133:Y133),"")</f>
        <v>863.72228934598536</v>
      </c>
      <c r="AA133" s="27">
        <f>IF(A133&lt;&gt;"",(Z133+Normalize_To_Add)/(Point_Total_So_Far)*100,"")</f>
        <v>93.88190212373037</v>
      </c>
      <c r="AB133" s="10">
        <f>IF(A133&lt;&gt;"",RANK(AA133,All_Student_XC),"")</f>
        <v>44</v>
      </c>
      <c r="AC133" s="31" t="str">
        <f>IF(A133&lt;&gt;"",CHOOSE(10-MIN(9,TRUNC((AA133+0.5)/10)),"A","B","C","D","F","F","F","F","F","F"),"")</f>
        <v>A</v>
      </c>
      <c r="AD133" s="31" t="str">
        <f>IF(A133&lt;&gt;"",IF(OR(AA133+0.5&gt;=93,AA133+0.5&lt;60),"",IF(MOD(AA133+0.5,10)&gt;=7,"+",IF(MOD(AA133+0.5,10)&lt;3,"-",""))),"")</f>
        <v/>
      </c>
      <c r="AE133" s="31">
        <f>IF(A133&lt;&gt;"",SUM(W133:X133,$W$8:$X$8)/SUM($W$2:$X$2)*100,"")</f>
        <v>89.363804247460749</v>
      </c>
      <c r="AF133" s="43" t="str">
        <f>IF(A133&lt;&gt;"",CHOOSE(10-MIN(9,TRUNC((AE133+0.5)/10)),"A","B","C","D","F","F","F","F","F","F"),"")</f>
        <v>B</v>
      </c>
      <c r="AG133" s="43" t="str">
        <f>IF(A133&lt;&gt;"",IF(OR(AE133+0.5&gt;=93,AE133+0.5&lt;60),"",IF(MOD(AE133+0.5,10)&gt;=7,"+",IF(MOD(AE133+0.5,10)&lt;3,"-",""))),"")</f>
        <v>+</v>
      </c>
      <c r="AH133" s="35">
        <f>IF(A133&lt;&gt;"",MIN(MAX(AA133,AE133),AA133+$AH$8,AE133+$AH$8),"")</f>
        <v>93.88190212373037</v>
      </c>
      <c r="AI133" s="31" t="str">
        <f>IF(A133&lt;&gt;"",CHOOSE(10-MIN(9,TRUNC((AH133+0.5)/10)),"A","B","C","D","F","F","F","F","F","F"),"")</f>
        <v>A</v>
      </c>
      <c r="AJ133" s="31" t="str">
        <f>IF(A133&lt;&gt;"",IF(OR(AH133+0.5&gt;=93,AH133+0.5&lt;60),"",IF(MOD(AH133+0.5,10)&gt;=7,"+",IF(MOD(AH133+0.5,10)&lt;3,"-",""))),"")</f>
        <v/>
      </c>
      <c r="AK133" s="31" t="b">
        <f>IF(A133&lt;&gt;"",OR(AI133&lt;&gt;AC133,AJ133&lt;&gt;AD133),"")</f>
        <v>0</v>
      </c>
      <c r="AL133" s="81">
        <f>IF(AND(A133&lt;&gt;"",U133&gt;0),SUM(U133,$AL$8)/$AL$2*100,"")</f>
        <v>91.5</v>
      </c>
      <c r="AM133" s="24">
        <f>IF(AND(A133&lt;&gt;"",V133&gt;0),SUM(V133,$AM$8)/$AM$2*100,"")</f>
        <v>102</v>
      </c>
      <c r="AN133" s="24" t="str">
        <f>IF(AND(A133&lt;&gt;"",P133&lt;&gt;0),SUM(P133,$AN$8)/$AN$2*100,"")</f>
        <v/>
      </c>
      <c r="AO133" s="24" t="str">
        <f>IF(AND(A133&lt;&gt;"",Q133&lt;&gt;0),SUM(Q133,$AO$8)/$AO$2*100,"")</f>
        <v/>
      </c>
      <c r="AP133" s="24">
        <f>IF(AND(A133&lt;&gt;"",R133&lt;&gt;0),SUM(R133,$AP$8)/$AP$2*100,"")</f>
        <v>78.502659574468083</v>
      </c>
      <c r="AQ133" s="24" t="str">
        <f>IF(AND(A133&lt;&gt;"",W133&gt;0),SUM(W133,$AQ$8)/$AQ$2*100,"")</f>
        <v/>
      </c>
      <c r="AR133" s="24">
        <f>IF(AND(A133&lt;&gt;"",T133&gt;0),SUM(T133,$AR$8)/$AR$2*100,"")</f>
        <v>89.363804247460749</v>
      </c>
      <c r="AS133" s="24">
        <f>IF(AND(A133&lt;&gt;"",X133&lt;&gt;0),SUM(X133,$AS$8)/$AS$2*100,"")</f>
        <v>89.363804247460749</v>
      </c>
      <c r="AT133" s="86">
        <f>IF(A133&lt;&gt;"",SUM(W133:X133,$AT$8)/$AT$2*100,"")</f>
        <v>89.363804247460749</v>
      </c>
      <c r="AU133" s="24">
        <f>AA133</f>
        <v>93.88190212373037</v>
      </c>
      <c r="AV133" s="24"/>
      <c r="AW133" s="27">
        <f>IF(A133&lt;&gt;"",AE133-AA133,"")</f>
        <v>-4.5180978762696213</v>
      </c>
      <c r="AY133" s="27">
        <f>AR133-AP133</f>
        <v>10.861144672992666</v>
      </c>
      <c r="AZ133" s="27">
        <f>ABS(AY133)</f>
        <v>10.861144672992666</v>
      </c>
    </row>
    <row r="134" spans="1:52" s="27" customFormat="1" ht="12.75" customHeight="1" x14ac:dyDescent="0.2">
      <c r="A134" s="10">
        <v>320304</v>
      </c>
      <c r="B134" s="2">
        <v>25</v>
      </c>
      <c r="C134" s="10">
        <v>13</v>
      </c>
      <c r="D134" s="10">
        <v>18</v>
      </c>
      <c r="E134" s="10">
        <v>18</v>
      </c>
      <c r="F134" s="10">
        <v>4</v>
      </c>
      <c r="G134" s="10">
        <v>16</v>
      </c>
      <c r="H134" s="10" t="s">
        <v>69</v>
      </c>
      <c r="I134" s="10" t="s">
        <v>69</v>
      </c>
      <c r="J134" s="2"/>
      <c r="K134" s="10">
        <v>32</v>
      </c>
      <c r="L134" s="10">
        <v>59</v>
      </c>
      <c r="M134" s="10">
        <v>57</v>
      </c>
      <c r="N134" s="51">
        <v>56</v>
      </c>
      <c r="O134" s="11" t="s">
        <v>69</v>
      </c>
      <c r="P134" s="10"/>
      <c r="Q134" s="40"/>
      <c r="R134" s="2">
        <v>72</v>
      </c>
      <c r="S134" s="10">
        <f>IF(T134="",R134,MAX((R134+$R$8)/$R$2,(T134+$T$8)/$T$2)*$R$2-$R$8)</f>
        <v>71.999999999999986</v>
      </c>
      <c r="T134" s="12">
        <v>49</v>
      </c>
      <c r="U134" s="34">
        <f>IF(A134&lt;&gt;"",SUM(B134:I134),"")</f>
        <v>94</v>
      </c>
      <c r="V134" s="10">
        <f>IF(A134&lt;&gt;"",SUM(J134:O134),"")</f>
        <v>204</v>
      </c>
      <c r="W134" s="10">
        <f>IF(A134&lt;&gt;"",SUM(P134:Q134),"")</f>
        <v>0</v>
      </c>
      <c r="X134" s="10">
        <f>IF(A134&lt;&gt;"",SUM(S134:T134),"")</f>
        <v>120.99999999999999</v>
      </c>
      <c r="Y134" s="12" t="s">
        <v>69</v>
      </c>
      <c r="Z134" s="12">
        <f>IF(A134&lt;&gt;"",SUM(U134:Y134),"")</f>
        <v>419</v>
      </c>
      <c r="AA134" s="27">
        <f>IF(A134&lt;&gt;"",(Z134+Normalize_To_Add)/(Point_Total_So_Far)*100,"")</f>
        <v>49.409673189131844</v>
      </c>
      <c r="AB134" s="10">
        <f>IF(A134&lt;&gt;"",RANK(AA134,All_Student_XC),"")</f>
        <v>357</v>
      </c>
      <c r="AC134" s="31" t="str">
        <f>IF(A134&lt;&gt;"",CHOOSE(10-MIN(9,TRUNC((AA134+0.5)/10)),"A","B","C","D","F","F","F","F","F","F"),"")</f>
        <v>F</v>
      </c>
      <c r="AD134" s="31" t="str">
        <f>IF(A134&lt;&gt;"",IF(OR(AA134+0.5&gt;=93,AA134+0.5&lt;60),"",IF(MOD(AA134+0.5,10)&gt;=7,"+",IF(MOD(AA134+0.5,10)&lt;3,"-",""))),"")</f>
        <v/>
      </c>
      <c r="AE134" s="31">
        <f>IF(A134&lt;&gt;"",SUM(W134:X134,$W$8:$X$8)/SUM($W$2:$X$2)*100,"")</f>
        <v>39.219346378263687</v>
      </c>
      <c r="AF134" s="31" t="str">
        <f>IF(A134&lt;&gt;"",CHOOSE(10-MIN(9,TRUNC((AE134+0.5)/10)),"A","B","C","D","F","F","F","F","F","F"),"")</f>
        <v>F</v>
      </c>
      <c r="AG134" s="31" t="str">
        <f>IF(A134&lt;&gt;"",IF(OR(AE134+0.5&gt;=93,AE134+0.5&lt;60),"",IF(MOD(AE134+0.5,10)&gt;=7,"+",IF(MOD(AE134+0.5,10)&lt;3,"-",""))),"")</f>
        <v/>
      </c>
      <c r="AH134" s="35">
        <f>IF(A134&lt;&gt;"",MIN(MAX(AA134,AE134),AA134+$AH$8,AE134+$AH$8),"")</f>
        <v>49.409673189131844</v>
      </c>
      <c r="AI134" s="31" t="str">
        <f>IF(A134&lt;&gt;"",CHOOSE(10-MIN(9,TRUNC((AH134+0.5)/10)),"A","B","C","D","F","F","F","F","F","F"),"")</f>
        <v>F</v>
      </c>
      <c r="AJ134" s="31" t="str">
        <f>IF(A134&lt;&gt;"",IF(OR(AH134+0.5&gt;=93,AH134+0.5&lt;60),"",IF(MOD(AH134+0.5,10)&gt;=7,"+",IF(MOD(AH134+0.5,10)&lt;3,"-",""))),"")</f>
        <v/>
      </c>
      <c r="AK134" s="31" t="b">
        <f>IF(A134&lt;&gt;"",OR(AI134&lt;&gt;AC134,AJ134&lt;&gt;AD134),"")</f>
        <v>0</v>
      </c>
      <c r="AL134" s="81">
        <f>IF(AND(A134&lt;&gt;"",U134&gt;0),SUM(U134,$AL$8)/$AL$2*100,"")</f>
        <v>47</v>
      </c>
      <c r="AM134" s="24">
        <f>IF(AND(A134&lt;&gt;"",V134&gt;0),SUM(V134,$AM$8)/$AM$2*100,"")</f>
        <v>68</v>
      </c>
      <c r="AN134" s="24" t="str">
        <f>IF(AND(A134&lt;&gt;"",P134&lt;&gt;0),SUM(P134,$AN$8)/$AN$2*100,"")</f>
        <v/>
      </c>
      <c r="AO134" s="24" t="str">
        <f>IF(AND(A134&lt;&gt;"",Q134&lt;&gt;0),SUM(Q134,$AO$8)/$AO$2*100,"")</f>
        <v/>
      </c>
      <c r="AP134" s="24">
        <f>IF(AND(A134&lt;&gt;"",R134&lt;&gt;0),SUM(R134,$AP$8)/$AP$2*100,"")</f>
        <v>50.502659574468076</v>
      </c>
      <c r="AQ134" s="24" t="str">
        <f>IF(AND(A134&lt;&gt;"",W134&gt;0),SUM(W134,$AQ$8)/$AQ$2*100,"")</f>
        <v/>
      </c>
      <c r="AR134" s="24">
        <f>IF(AND(A134&lt;&gt;"",T134&gt;0),SUM(T134,$AR$8)/$AR$2*100,"")</f>
        <v>31.697137580794088</v>
      </c>
      <c r="AS134" s="24">
        <f>IF(AND(A134&lt;&gt;"",X134&lt;&gt;0),SUM(X134,$AS$8)/$AS$2*100,"")</f>
        <v>39.219346378263687</v>
      </c>
      <c r="AT134" s="86">
        <f>IF(A134&lt;&gt;"",SUM(W134:X134,$AT$8)/$AT$2*100,"")</f>
        <v>39.219346378263687</v>
      </c>
      <c r="AU134" s="24">
        <f>AA134</f>
        <v>49.409673189131844</v>
      </c>
      <c r="AV134" s="24"/>
      <c r="AW134" s="27">
        <f>IF(A134&lt;&gt;"",AE134-AA134,"")</f>
        <v>-10.190326810868157</v>
      </c>
      <c r="AY134" s="27">
        <f>AR134-AP134</f>
        <v>-18.805521993673988</v>
      </c>
      <c r="AZ134" s="27">
        <f>ABS(AY134)</f>
        <v>18.805521993673988</v>
      </c>
    </row>
    <row r="135" spans="1:52" s="27" customFormat="1" ht="12.75" customHeight="1" x14ac:dyDescent="0.2">
      <c r="A135" s="50">
        <v>323354</v>
      </c>
      <c r="B135" s="2">
        <v>23</v>
      </c>
      <c r="C135" s="50">
        <v>23</v>
      </c>
      <c r="D135" s="10">
        <v>17</v>
      </c>
      <c r="E135" s="10">
        <v>25</v>
      </c>
      <c r="F135" s="10">
        <v>18</v>
      </c>
      <c r="G135" s="10">
        <v>25</v>
      </c>
      <c r="H135" s="10">
        <v>9</v>
      </c>
      <c r="I135" s="10">
        <v>23</v>
      </c>
      <c r="J135" s="2"/>
      <c r="K135" s="10">
        <v>61</v>
      </c>
      <c r="L135" s="10">
        <v>62</v>
      </c>
      <c r="M135" s="10">
        <v>60</v>
      </c>
      <c r="N135" s="51">
        <v>55</v>
      </c>
      <c r="O135" s="11">
        <v>43</v>
      </c>
      <c r="P135" s="10"/>
      <c r="Q135" s="40"/>
      <c r="R135" s="2">
        <v>146</v>
      </c>
      <c r="S135" s="10">
        <f>IF(T135="",R135,MAX((R135+$R$8)/$R$2,(T135+$T$8)/$T$2)*$R$2-$R$8)</f>
        <v>146</v>
      </c>
      <c r="T135" s="62">
        <v>176</v>
      </c>
      <c r="U135" s="10">
        <f>IF(A135&lt;&gt;"",SUM(B135:I135),"")</f>
        <v>163</v>
      </c>
      <c r="V135" s="10">
        <f>IF(A135&lt;&gt;"",SUM(J135:O135),"")</f>
        <v>281</v>
      </c>
      <c r="W135" s="10">
        <f>IF(A135&lt;&gt;"",SUM(P135:Q135),"")</f>
        <v>0</v>
      </c>
      <c r="X135" s="10">
        <f>IF(A135&lt;&gt;"",SUM(S135:T135),"")</f>
        <v>322</v>
      </c>
      <c r="Y135" s="12">
        <v>3</v>
      </c>
      <c r="Z135" s="12">
        <f>IF(A135&lt;&gt;"",SUM(U135:Y135),"")</f>
        <v>769</v>
      </c>
      <c r="AA135" s="27">
        <f>IF(A135&lt;&gt;"",(Z135+Normalize_To_Add)/(Point_Total_So_Far)*100,"")</f>
        <v>84.409673189131837</v>
      </c>
      <c r="AB135" s="10">
        <f>IF(A135&lt;&gt;"",RANK(AA135,All_Student_XC),"")</f>
        <v>166</v>
      </c>
      <c r="AC135" s="31" t="str">
        <f>IF(A135&lt;&gt;"",CHOOSE(10-MIN(9,TRUNC((AA135+0.5)/10)),"A","B","C","D","F","F","F","F","F","F"),"")</f>
        <v>B</v>
      </c>
      <c r="AD135" s="31" t="str">
        <f>IF(A135&lt;&gt;"",IF(OR(AA135+0.5&gt;=93,AA135+0.5&lt;60),"",IF(MOD(AA135+0.5,10)&gt;=7,"+",IF(MOD(AA135+0.5,10)&lt;3,"-",""))),"")</f>
        <v/>
      </c>
      <c r="AE135" s="31">
        <f>IF(A135&lt;&gt;"",SUM(W135:X135,$W$8:$X$8)/SUM($W$2:$X$2)*100,"")</f>
        <v>79.419346378263683</v>
      </c>
      <c r="AF135" s="43" t="str">
        <f>IF(A135&lt;&gt;"",CHOOSE(10-MIN(9,TRUNC((AE135+0.5)/10)),"A","B","C","D","F","F","F","F","F","F"),"")</f>
        <v>C</v>
      </c>
      <c r="AG135" s="43" t="str">
        <f>IF(A135&lt;&gt;"",IF(OR(AE135+0.5&gt;=93,AE135+0.5&lt;60),"",IF(MOD(AE135+0.5,10)&gt;=7,"+",IF(MOD(AE135+0.5,10)&lt;3,"-",""))),"")</f>
        <v>+</v>
      </c>
      <c r="AH135" s="35">
        <f>IF(A135&lt;&gt;"",MIN(MAX(AA135,AE135),AA135+$AH$8,AE135+$AH$8),"")</f>
        <v>84.409673189131837</v>
      </c>
      <c r="AI135" s="31" t="str">
        <f>IF(A135&lt;&gt;"",CHOOSE(10-MIN(9,TRUNC((AH135+0.5)/10)),"A","B","C","D","F","F","F","F","F","F"),"")</f>
        <v>B</v>
      </c>
      <c r="AJ135" s="31" t="str">
        <f>IF(A135&lt;&gt;"",IF(OR(AH135+0.5&gt;=93,AH135+0.5&lt;60),"",IF(MOD(AH135+0.5,10)&gt;=7,"+",IF(MOD(AH135+0.5,10)&lt;3,"-",""))),"")</f>
        <v/>
      </c>
      <c r="AK135" s="31" t="b">
        <f>IF(A135&lt;&gt;"",OR(AI135&lt;&gt;AC135,AJ135&lt;&gt;AD135),"")</f>
        <v>0</v>
      </c>
      <c r="AL135" s="81">
        <f>IF(AND(A135&lt;&gt;"",U135&gt;0),SUM(U135,$AL$8)/$AL$2*100,"")</f>
        <v>81.5</v>
      </c>
      <c r="AM135" s="24">
        <f>IF(AND(A135&lt;&gt;"",V135&gt;0),SUM(V135,$AM$8)/$AM$2*100,"")</f>
        <v>93.666666666666671</v>
      </c>
      <c r="AN135" s="24" t="str">
        <f>IF(AND(A135&lt;&gt;"",P135&lt;&gt;0),SUM(P135,$AN$8)/$AN$2*100,"")</f>
        <v/>
      </c>
      <c r="AO135" s="24" t="str">
        <f>IF(AND(A135&lt;&gt;"",Q135&lt;&gt;0),SUM(Q135,$AO$8)/$AO$2*100,"")</f>
        <v/>
      </c>
      <c r="AP135" s="24">
        <f>IF(AND(A135&lt;&gt;"",R135&lt;&gt;0),SUM(R135,$AP$8)/$AP$2*100,"")</f>
        <v>87.502659574468083</v>
      </c>
      <c r="AQ135" s="24" t="str">
        <f>IF(AND(A135&lt;&gt;"",W135&gt;0),SUM(W135,$AQ$8)/$AQ$2*100,"")</f>
        <v/>
      </c>
      <c r="AR135" s="24">
        <f>IF(AND(A135&lt;&gt;"",T135&gt;0),SUM(T135,$AR$8)/$AR$2*100,"")</f>
        <v>74.03047091412742</v>
      </c>
      <c r="AS135" s="24">
        <f>IF(AND(A135&lt;&gt;"",X135&lt;&gt;0),SUM(X135,$AS$8)/$AS$2*100,"")</f>
        <v>79.419346378263683</v>
      </c>
      <c r="AT135" s="86">
        <f>IF(A135&lt;&gt;"",SUM(W135:X135,$AT$8)/$AT$2*100,"")</f>
        <v>79.419346378263683</v>
      </c>
      <c r="AU135" s="24">
        <f>AA135</f>
        <v>84.409673189131837</v>
      </c>
      <c r="AV135" s="24"/>
      <c r="AW135" s="27">
        <f>IF(A135&lt;&gt;"",AE135-AA135,"")</f>
        <v>-4.9903268108681544</v>
      </c>
      <c r="AY135" s="27">
        <f>AR135-AP135</f>
        <v>-13.472188660340663</v>
      </c>
      <c r="AZ135" s="27">
        <f>ABS(AY135)</f>
        <v>13.472188660340663</v>
      </c>
    </row>
    <row r="136" spans="1:52" s="27" customFormat="1" ht="12.75" customHeight="1" x14ac:dyDescent="0.2">
      <c r="A136" s="50">
        <v>323482</v>
      </c>
      <c r="B136" s="2">
        <v>25</v>
      </c>
      <c r="C136" s="50">
        <v>22</v>
      </c>
      <c r="D136" s="10">
        <v>20</v>
      </c>
      <c r="E136" s="10">
        <v>13</v>
      </c>
      <c r="F136" s="10">
        <v>15</v>
      </c>
      <c r="G136" s="10">
        <v>19</v>
      </c>
      <c r="H136" s="10">
        <v>14</v>
      </c>
      <c r="I136" s="10">
        <v>23</v>
      </c>
      <c r="J136" s="2"/>
      <c r="K136" s="10">
        <v>53</v>
      </c>
      <c r="L136" s="10">
        <v>60</v>
      </c>
      <c r="M136" s="10">
        <v>55</v>
      </c>
      <c r="N136" s="51">
        <v>60</v>
      </c>
      <c r="O136" s="11">
        <v>61</v>
      </c>
      <c r="P136" s="10"/>
      <c r="Q136" s="40"/>
      <c r="R136" s="2">
        <v>76</v>
      </c>
      <c r="S136" s="10">
        <f>IF(T136="",R136,MAX((R136+$R$8)/$R$2,(T136+$T$8)/$T$2)*$R$2-$R$8)</f>
        <v>106.38895601265202</v>
      </c>
      <c r="T136" s="62">
        <v>157</v>
      </c>
      <c r="U136" s="10">
        <f>IF(A136&lt;&gt;"",SUM(B136:I136),"")</f>
        <v>151</v>
      </c>
      <c r="V136" s="10">
        <f>IF(A136&lt;&gt;"",SUM(J136:O136),"")</f>
        <v>289</v>
      </c>
      <c r="W136" s="10">
        <f>IF(A136&lt;&gt;"",SUM(P136:Q136),"")</f>
        <v>0</v>
      </c>
      <c r="X136" s="10">
        <f>IF(A136&lt;&gt;"",SUM(S136:T136),"")</f>
        <v>263.38895601265199</v>
      </c>
      <c r="Y136" s="12">
        <v>3</v>
      </c>
      <c r="Z136" s="12">
        <f>IF(A136&lt;&gt;"",SUM(U136:Y136),"")</f>
        <v>706.38895601265199</v>
      </c>
      <c r="AA136" s="27">
        <f>IF(A136&lt;&gt;"",(Z136+Normalize_To_Add)/(Point_Total_So_Far)*100,"")</f>
        <v>78.14856879039705</v>
      </c>
      <c r="AB136" s="10">
        <f>IF(A136&lt;&gt;"",RANK(AA136,All_Student_XC),"")</f>
        <v>240</v>
      </c>
      <c r="AC136" s="31" t="str">
        <f>IF(A136&lt;&gt;"",CHOOSE(10-MIN(9,TRUNC((AA136+0.5)/10)),"A","B","C","D","F","F","F","F","F","F"),"")</f>
        <v>C</v>
      </c>
      <c r="AD136" s="31" t="str">
        <f>IF(A136&lt;&gt;"",IF(OR(AA136+0.5&gt;=93,AA136+0.5&lt;60),"",IF(MOD(AA136+0.5,10)&gt;=7,"+",IF(MOD(AA136+0.5,10)&lt;3,"-",""))),"")</f>
        <v>+</v>
      </c>
      <c r="AE136" s="31">
        <f>IF(A136&lt;&gt;"",SUM(W136:X136,$W$8:$X$8)/SUM($W$2:$X$2)*100,"")</f>
        <v>67.697137580794092</v>
      </c>
      <c r="AF136" s="43" t="str">
        <f>IF(A136&lt;&gt;"",CHOOSE(10-MIN(9,TRUNC((AE136+0.5)/10)),"A","B","C","D","F","F","F","F","F","F"),"")</f>
        <v>D</v>
      </c>
      <c r="AG136" s="43" t="str">
        <f>IF(A136&lt;&gt;"",IF(OR(AE136+0.5&gt;=93,AE136+0.5&lt;60),"",IF(MOD(AE136+0.5,10)&gt;=7,"+",IF(MOD(AE136+0.5,10)&lt;3,"-",""))),"")</f>
        <v>+</v>
      </c>
      <c r="AH136" s="35">
        <f>IF(A136&lt;&gt;"",MIN(MAX(AA136,AE136),AA136+$AH$8,AE136+$AH$8),"")</f>
        <v>78.14856879039705</v>
      </c>
      <c r="AI136" s="31" t="str">
        <f>IF(A136&lt;&gt;"",CHOOSE(10-MIN(9,TRUNC((AH136+0.5)/10)),"A","B","C","D","F","F","F","F","F","F"),"")</f>
        <v>C</v>
      </c>
      <c r="AJ136" s="31" t="str">
        <f>IF(A136&lt;&gt;"",IF(OR(AH136+0.5&gt;=93,AH136+0.5&lt;60),"",IF(MOD(AH136+0.5,10)&gt;=7,"+",IF(MOD(AH136+0.5,10)&lt;3,"-",""))),"")</f>
        <v>+</v>
      </c>
      <c r="AK136" s="31" t="b">
        <f>IF(A136&lt;&gt;"",OR(AI136&lt;&gt;AC136,AJ136&lt;&gt;AD136),"")</f>
        <v>0</v>
      </c>
      <c r="AL136" s="81">
        <f>IF(AND(A136&lt;&gt;"",U136&gt;0),SUM(U136,$AL$8)/$AL$2*100,"")</f>
        <v>75.5</v>
      </c>
      <c r="AM136" s="24">
        <f>IF(AND(A136&lt;&gt;"",V136&gt;0),SUM(V136,$AM$8)/$AM$2*100,"")</f>
        <v>96.333333333333343</v>
      </c>
      <c r="AN136" s="24" t="str">
        <f>IF(AND(A136&lt;&gt;"",P136&lt;&gt;0),SUM(P136,$AN$8)/$AN$2*100,"")</f>
        <v/>
      </c>
      <c r="AO136" s="24" t="str">
        <f>IF(AND(A136&lt;&gt;"",Q136&lt;&gt;0),SUM(Q136,$AO$8)/$AO$2*100,"")</f>
        <v/>
      </c>
      <c r="AP136" s="24">
        <f>IF(AND(A136&lt;&gt;"",R136&lt;&gt;0),SUM(R136,$AP$8)/$AP$2*100,"")</f>
        <v>52.502659574468083</v>
      </c>
      <c r="AQ136" s="24" t="str">
        <f>IF(AND(A136&lt;&gt;"",W136&gt;0),SUM(W136,$AQ$8)/$AQ$2*100,"")</f>
        <v/>
      </c>
      <c r="AR136" s="24">
        <f>IF(AND(A136&lt;&gt;"",T136&gt;0),SUM(T136,$AR$8)/$AR$2*100,"")</f>
        <v>67.697137580794092</v>
      </c>
      <c r="AS136" s="24">
        <f>IF(AND(A136&lt;&gt;"",X136&lt;&gt;0),SUM(X136,$AS$8)/$AS$2*100,"")</f>
        <v>67.697137580794092</v>
      </c>
      <c r="AT136" s="86">
        <f>IF(A136&lt;&gt;"",SUM(W136:X136,$AT$8)/$AT$2*100,"")</f>
        <v>67.697137580794092</v>
      </c>
      <c r="AU136" s="24">
        <f>AA136</f>
        <v>78.14856879039705</v>
      </c>
      <c r="AV136" s="24"/>
      <c r="AW136" s="27">
        <f>IF(A136&lt;&gt;"",AE136-AA136,"")</f>
        <v>-10.451431209602958</v>
      </c>
      <c r="AY136" s="27">
        <f>AR136-AP136</f>
        <v>15.194478006326008</v>
      </c>
      <c r="AZ136" s="27">
        <f>ABS(AY136)</f>
        <v>15.194478006326008</v>
      </c>
    </row>
    <row r="137" spans="1:52" s="27" customFormat="1" ht="12.75" customHeight="1" x14ac:dyDescent="0.2">
      <c r="A137" s="50">
        <v>323570</v>
      </c>
      <c r="B137" s="2">
        <v>3</v>
      </c>
      <c r="C137" s="50">
        <v>19</v>
      </c>
      <c r="D137" s="10">
        <v>23</v>
      </c>
      <c r="E137" s="10">
        <v>20</v>
      </c>
      <c r="F137" s="10">
        <v>20</v>
      </c>
      <c r="G137" s="10">
        <v>21</v>
      </c>
      <c r="H137" s="10" t="s">
        <v>69</v>
      </c>
      <c r="I137" s="10">
        <v>21</v>
      </c>
      <c r="J137" s="2"/>
      <c r="K137" s="10">
        <v>48</v>
      </c>
      <c r="L137" s="10">
        <v>54</v>
      </c>
      <c r="M137" s="10">
        <v>59</v>
      </c>
      <c r="N137" s="51">
        <v>57</v>
      </c>
      <c r="O137" s="11">
        <v>49</v>
      </c>
      <c r="P137" s="10"/>
      <c r="Q137" s="40"/>
      <c r="R137" s="2">
        <v>100</v>
      </c>
      <c r="S137" s="10">
        <f>IF(T137="",R137,MAX((R137+$R$8)/$R$2,(T137+$T$8)/$T$2)*$R$2-$R$8)</f>
        <v>100</v>
      </c>
      <c r="T137" s="62">
        <v>114</v>
      </c>
      <c r="U137" s="10">
        <f>IF(A137&lt;&gt;"",SUM(B137:I137),"")</f>
        <v>127</v>
      </c>
      <c r="V137" s="10">
        <f>IF(A137&lt;&gt;"",SUM(J137:O137),"")</f>
        <v>267</v>
      </c>
      <c r="W137" s="10">
        <f>IF(A137&lt;&gt;"",SUM(P137:Q137),"")</f>
        <v>0</v>
      </c>
      <c r="X137" s="10">
        <f>IF(A137&lt;&gt;"",SUM(S137:T137),"")</f>
        <v>214</v>
      </c>
      <c r="Y137" s="12">
        <v>3</v>
      </c>
      <c r="Z137" s="12">
        <f>IF(A137&lt;&gt;"",SUM(U137:Y137),"")</f>
        <v>611</v>
      </c>
      <c r="AA137" s="27">
        <f>IF(A137&lt;&gt;"",(Z137+Normalize_To_Add)/(Point_Total_So_Far)*100,"")</f>
        <v>68.609673189131854</v>
      </c>
      <c r="AB137" s="10">
        <f>IF(A137&lt;&gt;"",RANK(AA137,All_Student_XC),"")</f>
        <v>324</v>
      </c>
      <c r="AC137" s="31" t="str">
        <f>IF(A137&lt;&gt;"",CHOOSE(10-MIN(9,TRUNC((AA137+0.5)/10)),"A","B","C","D","F","F","F","F","F","F"),"")</f>
        <v>D</v>
      </c>
      <c r="AD137" s="31" t="str">
        <f>IF(A137&lt;&gt;"",IF(OR(AA137+0.5&gt;=93,AA137+0.5&lt;60),"",IF(MOD(AA137+0.5,10)&gt;=7,"+",IF(MOD(AA137+0.5,10)&lt;3,"-",""))),"")</f>
        <v>+</v>
      </c>
      <c r="AE137" s="31">
        <f>IF(A137&lt;&gt;"",SUM(W137:X137,$W$8:$X$8)/SUM($W$2:$X$2)*100,"")</f>
        <v>57.819346378263681</v>
      </c>
      <c r="AF137" s="43" t="str">
        <f>IF(A137&lt;&gt;"",CHOOSE(10-MIN(9,TRUNC((AE137+0.5)/10)),"A","B","C","D","F","F","F","F","F","F"),"")</f>
        <v>F</v>
      </c>
      <c r="AG137" s="43" t="str">
        <f>IF(A137&lt;&gt;"",IF(OR(AE137+0.5&gt;=93,AE137+0.5&lt;60),"",IF(MOD(AE137+0.5,10)&gt;=7,"+",IF(MOD(AE137+0.5,10)&lt;3,"-",""))),"")</f>
        <v/>
      </c>
      <c r="AH137" s="35">
        <f>IF(A137&lt;&gt;"",MIN(MAX(AA137,AE137),AA137+$AH$8,AE137+$AH$8),"")</f>
        <v>68.609673189131854</v>
      </c>
      <c r="AI137" s="31" t="str">
        <f>IF(A137&lt;&gt;"",CHOOSE(10-MIN(9,TRUNC((AH137+0.5)/10)),"A","B","C","D","F","F","F","F","F","F"),"")</f>
        <v>D</v>
      </c>
      <c r="AJ137" s="31" t="str">
        <f>IF(A137&lt;&gt;"",IF(OR(AH137+0.5&gt;=93,AH137+0.5&lt;60),"",IF(MOD(AH137+0.5,10)&gt;=7,"+",IF(MOD(AH137+0.5,10)&lt;3,"-",""))),"")</f>
        <v>+</v>
      </c>
      <c r="AK137" s="31" t="b">
        <f>IF(A137&lt;&gt;"",OR(AI137&lt;&gt;AC137,AJ137&lt;&gt;AD137),"")</f>
        <v>0</v>
      </c>
      <c r="AL137" s="81">
        <f>IF(AND(A137&lt;&gt;"",U137&gt;0),SUM(U137,$AL$8)/$AL$2*100,"")</f>
        <v>63.5</v>
      </c>
      <c r="AM137" s="24">
        <f>IF(AND(A137&lt;&gt;"",V137&gt;0),SUM(V137,$AM$8)/$AM$2*100,"")</f>
        <v>89</v>
      </c>
      <c r="AN137" s="24" t="str">
        <f>IF(AND(A137&lt;&gt;"",P137&lt;&gt;0),SUM(P137,$AN$8)/$AN$2*100,"")</f>
        <v/>
      </c>
      <c r="AO137" s="24" t="str">
        <f>IF(AND(A137&lt;&gt;"",Q137&lt;&gt;0),SUM(Q137,$AO$8)/$AO$2*100,"")</f>
        <v/>
      </c>
      <c r="AP137" s="24">
        <f>IF(AND(A137&lt;&gt;"",R137&lt;&gt;0),SUM(R137,$AP$8)/$AP$2*100,"")</f>
        <v>64.502659574468083</v>
      </c>
      <c r="AQ137" s="24" t="str">
        <f>IF(AND(A137&lt;&gt;"",W137&gt;0),SUM(W137,$AQ$8)/$AQ$2*100,"")</f>
        <v/>
      </c>
      <c r="AR137" s="24">
        <f>IF(AND(A137&lt;&gt;"",T137&gt;0),SUM(T137,$AR$8)/$AR$2*100,"")</f>
        <v>53.363804247460756</v>
      </c>
      <c r="AS137" s="24">
        <f>IF(AND(A137&lt;&gt;"",X137&lt;&gt;0),SUM(X137,$AS$8)/$AS$2*100,"")</f>
        <v>57.819346378263681</v>
      </c>
      <c r="AT137" s="86">
        <f>IF(A137&lt;&gt;"",SUM(W137:X137,$AT$8)/$AT$2*100,"")</f>
        <v>57.819346378263681</v>
      </c>
      <c r="AU137" s="24">
        <f>AA137</f>
        <v>68.609673189131854</v>
      </c>
      <c r="AV137" s="24"/>
      <c r="AW137" s="27">
        <f>IF(A137&lt;&gt;"",AE137-AA137,"")</f>
        <v>-10.790326810868173</v>
      </c>
      <c r="AY137" s="27">
        <f>AR137-AP137</f>
        <v>-11.138855327007327</v>
      </c>
      <c r="AZ137" s="27">
        <f>ABS(AY137)</f>
        <v>11.138855327007327</v>
      </c>
    </row>
    <row r="138" spans="1:52" s="27" customFormat="1" ht="12.75" customHeight="1" x14ac:dyDescent="0.2">
      <c r="A138" s="50">
        <v>326048</v>
      </c>
      <c r="B138" s="2">
        <v>25</v>
      </c>
      <c r="C138" s="50">
        <v>25</v>
      </c>
      <c r="D138" s="10">
        <v>22</v>
      </c>
      <c r="E138" s="10">
        <v>21</v>
      </c>
      <c r="F138" s="10">
        <v>18</v>
      </c>
      <c r="G138" s="10">
        <v>19</v>
      </c>
      <c r="H138" s="10">
        <v>22</v>
      </c>
      <c r="I138" s="10">
        <v>24</v>
      </c>
      <c r="J138" s="2"/>
      <c r="K138" s="10">
        <v>48</v>
      </c>
      <c r="L138" s="10">
        <v>29</v>
      </c>
      <c r="M138" s="10">
        <v>55</v>
      </c>
      <c r="N138" s="51">
        <v>35</v>
      </c>
      <c r="O138" s="11">
        <v>61</v>
      </c>
      <c r="P138" s="10"/>
      <c r="Q138" s="40"/>
      <c r="R138" s="2">
        <v>115</v>
      </c>
      <c r="S138" s="10">
        <f>IF(T138="",R138,MAX((R138+$R$8)/$R$2,(T138+$T$8)/$T$2)*$R$2-$R$8)</f>
        <v>125.05562267931867</v>
      </c>
      <c r="T138" s="62">
        <v>185</v>
      </c>
      <c r="U138" s="10">
        <f>IF(A138&lt;&gt;"",SUM(B138:I138),"")</f>
        <v>176</v>
      </c>
      <c r="V138" s="10">
        <f>IF(A138&lt;&gt;"",SUM(J138:O138),"")</f>
        <v>228</v>
      </c>
      <c r="W138" s="10">
        <f>IF(A138&lt;&gt;"",SUM(P138:Q138),"")</f>
        <v>0</v>
      </c>
      <c r="X138" s="10">
        <f>IF(A138&lt;&gt;"",SUM(S138:T138),"")</f>
        <v>310.05562267931867</v>
      </c>
      <c r="Y138" s="12">
        <v>3</v>
      </c>
      <c r="Z138" s="12">
        <f>IF(A138&lt;&gt;"",SUM(U138:Y138),"")</f>
        <v>717.05562267931873</v>
      </c>
      <c r="AA138" s="27">
        <f>IF(A138&lt;&gt;"",(Z138+Normalize_To_Add)/(Point_Total_So_Far)*100,"")</f>
        <v>79.215235457063713</v>
      </c>
      <c r="AB138" s="10">
        <f>IF(A138&lt;&gt;"",RANK(AA138,All_Student_XC),"")</f>
        <v>218</v>
      </c>
      <c r="AC138" s="31" t="str">
        <f>IF(A138&lt;&gt;"",CHOOSE(10-MIN(9,TRUNC((AA138+0.5)/10)),"A","B","C","D","F","F","F","F","F","F"),"")</f>
        <v>C</v>
      </c>
      <c r="AD138" s="31" t="str">
        <f>IF(A138&lt;&gt;"",IF(OR(AA138+0.5&gt;=93,AA138+0.5&lt;60),"",IF(MOD(AA138+0.5,10)&gt;=7,"+",IF(MOD(AA138+0.5,10)&lt;3,"-",""))),"")</f>
        <v>+</v>
      </c>
      <c r="AE138" s="31">
        <f>IF(A138&lt;&gt;"",SUM(W138:X138,$W$8:$X$8)/SUM($W$2:$X$2)*100,"")</f>
        <v>77.03047091412742</v>
      </c>
      <c r="AF138" s="43" t="str">
        <f>IF(A138&lt;&gt;"",CHOOSE(10-MIN(9,TRUNC((AE138+0.5)/10)),"A","B","C","D","F","F","F","F","F","F"),"")</f>
        <v>C</v>
      </c>
      <c r="AG138" s="43" t="str">
        <f>IF(A138&lt;&gt;"",IF(OR(AE138+0.5&gt;=93,AE138+0.5&lt;60),"",IF(MOD(AE138+0.5,10)&gt;=7,"+",IF(MOD(AE138+0.5,10)&lt;3,"-",""))),"")</f>
        <v>+</v>
      </c>
      <c r="AH138" s="35">
        <f>IF(A138&lt;&gt;"",MIN(MAX(AA138,AE138),AA138+$AH$8,AE138+$AH$8),"")</f>
        <v>79.215235457063713</v>
      </c>
      <c r="AI138" s="31" t="str">
        <f>IF(A138&lt;&gt;"",CHOOSE(10-MIN(9,TRUNC((AH138+0.5)/10)),"A","B","C","D","F","F","F","F","F","F"),"")</f>
        <v>C</v>
      </c>
      <c r="AJ138" s="31" t="str">
        <f>IF(A138&lt;&gt;"",IF(OR(AH138+0.5&gt;=93,AH138+0.5&lt;60),"",IF(MOD(AH138+0.5,10)&gt;=7,"+",IF(MOD(AH138+0.5,10)&lt;3,"-",""))),"")</f>
        <v>+</v>
      </c>
      <c r="AK138" s="31" t="b">
        <f>IF(A138&lt;&gt;"",OR(AI138&lt;&gt;AC138,AJ138&lt;&gt;AD138),"")</f>
        <v>0</v>
      </c>
      <c r="AL138" s="81">
        <f>IF(AND(A138&lt;&gt;"",U138&gt;0),SUM(U138,$AL$8)/$AL$2*100,"")</f>
        <v>88</v>
      </c>
      <c r="AM138" s="24">
        <f>IF(AND(A138&lt;&gt;"",V138&gt;0),SUM(V138,$AM$8)/$AM$2*100,"")</f>
        <v>76</v>
      </c>
      <c r="AN138" s="24" t="str">
        <f>IF(AND(A138&lt;&gt;"",P138&lt;&gt;0),SUM(P138,$AN$8)/$AN$2*100,"")</f>
        <v/>
      </c>
      <c r="AO138" s="24" t="str">
        <f>IF(AND(A138&lt;&gt;"",Q138&lt;&gt;0),SUM(Q138,$AO$8)/$AO$2*100,"")</f>
        <v/>
      </c>
      <c r="AP138" s="24">
        <f>IF(AND(A138&lt;&gt;"",R138&lt;&gt;0),SUM(R138,$AP$8)/$AP$2*100,"")</f>
        <v>72.002659574468083</v>
      </c>
      <c r="AQ138" s="24" t="str">
        <f>IF(AND(A138&lt;&gt;"",W138&gt;0),SUM(W138,$AQ$8)/$AQ$2*100,"")</f>
        <v/>
      </c>
      <c r="AR138" s="24">
        <f>IF(AND(A138&lt;&gt;"",T138&gt;0),SUM(T138,$AR$8)/$AR$2*100,"")</f>
        <v>77.03047091412742</v>
      </c>
      <c r="AS138" s="24">
        <f>IF(AND(A138&lt;&gt;"",X138&lt;&gt;0),SUM(X138,$AS$8)/$AS$2*100,"")</f>
        <v>77.03047091412742</v>
      </c>
      <c r="AT138" s="86">
        <f>IF(A138&lt;&gt;"",SUM(W138:X138,$AT$8)/$AT$2*100,"")</f>
        <v>77.03047091412742</v>
      </c>
      <c r="AU138" s="24">
        <f>AA138</f>
        <v>79.215235457063713</v>
      </c>
      <c r="AV138" s="24"/>
      <c r="AW138" s="27">
        <f>IF(A138&lt;&gt;"",AE138-AA138,"")</f>
        <v>-2.1847645429362927</v>
      </c>
      <c r="AY138" s="27">
        <f>AR138-AP138</f>
        <v>5.0278113396593369</v>
      </c>
      <c r="AZ138" s="27">
        <f>ABS(AY138)</f>
        <v>5.0278113396593369</v>
      </c>
    </row>
    <row r="139" spans="1:52" s="27" customFormat="1" ht="12.75" customHeight="1" x14ac:dyDescent="0.2">
      <c r="A139" s="50">
        <v>333342</v>
      </c>
      <c r="B139" s="2">
        <v>24</v>
      </c>
      <c r="C139" s="50">
        <v>20</v>
      </c>
      <c r="D139" s="10">
        <v>20</v>
      </c>
      <c r="E139" s="10">
        <v>23</v>
      </c>
      <c r="F139" s="10">
        <v>25</v>
      </c>
      <c r="G139" s="10">
        <v>25</v>
      </c>
      <c r="H139" s="10">
        <v>24</v>
      </c>
      <c r="I139" s="10">
        <v>23</v>
      </c>
      <c r="J139" s="2"/>
      <c r="K139" s="10">
        <v>40</v>
      </c>
      <c r="L139" s="10">
        <v>49</v>
      </c>
      <c r="M139" s="10">
        <v>56</v>
      </c>
      <c r="N139" s="51">
        <v>56</v>
      </c>
      <c r="O139" s="11">
        <v>60</v>
      </c>
      <c r="P139" s="10"/>
      <c r="Q139" s="40"/>
      <c r="R139" s="2">
        <v>110</v>
      </c>
      <c r="S139" s="10">
        <f>IF(T139="",R139,MAX((R139+$R$8)/$R$2,(T139+$T$8)/$T$2)*$R$2-$R$8)</f>
        <v>138.38895601265202</v>
      </c>
      <c r="T139" s="62">
        <v>205</v>
      </c>
      <c r="U139" s="10">
        <f>IF(A139&lt;&gt;"",SUM(B139:I139),"")</f>
        <v>184</v>
      </c>
      <c r="V139" s="10">
        <f>IF(A139&lt;&gt;"",SUM(J139:O139),"")</f>
        <v>261</v>
      </c>
      <c r="W139" s="10">
        <f>IF(A139&lt;&gt;"",SUM(P139:Q139),"")</f>
        <v>0</v>
      </c>
      <c r="X139" s="10">
        <f>IF(A139&lt;&gt;"",SUM(S139:T139),"")</f>
        <v>343.38895601265199</v>
      </c>
      <c r="Y139" s="12">
        <v>3</v>
      </c>
      <c r="Z139" s="12">
        <f>IF(A139&lt;&gt;"",SUM(U139:Y139),"")</f>
        <v>791.38895601265199</v>
      </c>
      <c r="AA139" s="27">
        <f>IF(A139&lt;&gt;"",(Z139+Normalize_To_Add)/(Point_Total_So_Far)*100,"")</f>
        <v>86.648568790397036</v>
      </c>
      <c r="AB139" s="10">
        <f>IF(A139&lt;&gt;"",RANK(AA139,All_Student_XC),"")</f>
        <v>130</v>
      </c>
      <c r="AC139" s="31" t="str">
        <f>IF(A139&lt;&gt;"",CHOOSE(10-MIN(9,TRUNC((AA139+0.5)/10)),"A","B","C","D","F","F","F","F","F","F"),"")</f>
        <v>B</v>
      </c>
      <c r="AD139" s="31" t="str">
        <f>IF(A139&lt;&gt;"",IF(OR(AA139+0.5&gt;=93,AA139+0.5&lt;60),"",IF(MOD(AA139+0.5,10)&gt;=7,"+",IF(MOD(AA139+0.5,10)&lt;3,"-",""))),"")</f>
        <v>+</v>
      </c>
      <c r="AE139" s="31">
        <f>IF(A139&lt;&gt;"",SUM(W139:X139,$W$8:$X$8)/SUM($W$2:$X$2)*100,"")</f>
        <v>83.697137580794077</v>
      </c>
      <c r="AF139" s="43" t="str">
        <f>IF(A139&lt;&gt;"",CHOOSE(10-MIN(9,TRUNC((AE139+0.5)/10)),"A","B","C","D","F","F","F","F","F","F"),"")</f>
        <v>B</v>
      </c>
      <c r="AG139" s="43" t="str">
        <f>IF(A139&lt;&gt;"",IF(OR(AE139+0.5&gt;=93,AE139+0.5&lt;60),"",IF(MOD(AE139+0.5,10)&gt;=7,"+",IF(MOD(AE139+0.5,10)&lt;3,"-",""))),"")</f>
        <v/>
      </c>
      <c r="AH139" s="35">
        <f>IF(A139&lt;&gt;"",MIN(MAX(AA139,AE139),AA139+$AH$8,AE139+$AH$8),"")</f>
        <v>86.648568790397036</v>
      </c>
      <c r="AI139" s="31" t="str">
        <f>IF(A139&lt;&gt;"",CHOOSE(10-MIN(9,TRUNC((AH139+0.5)/10)),"A","B","C","D","F","F","F","F","F","F"),"")</f>
        <v>B</v>
      </c>
      <c r="AJ139" s="31" t="str">
        <f>IF(A139&lt;&gt;"",IF(OR(AH139+0.5&gt;=93,AH139+0.5&lt;60),"",IF(MOD(AH139+0.5,10)&gt;=7,"+",IF(MOD(AH139+0.5,10)&lt;3,"-",""))),"")</f>
        <v>+</v>
      </c>
      <c r="AK139" s="31" t="b">
        <f>IF(A139&lt;&gt;"",OR(AI139&lt;&gt;AC139,AJ139&lt;&gt;AD139),"")</f>
        <v>0</v>
      </c>
      <c r="AL139" s="81">
        <f>IF(AND(A139&lt;&gt;"",U139&gt;0),SUM(U139,$AL$8)/$AL$2*100,"")</f>
        <v>92</v>
      </c>
      <c r="AM139" s="24">
        <f>IF(AND(A139&lt;&gt;"",V139&gt;0),SUM(V139,$AM$8)/$AM$2*100,"")</f>
        <v>87</v>
      </c>
      <c r="AN139" s="24" t="str">
        <f>IF(AND(A139&lt;&gt;"",P139&lt;&gt;0),SUM(P139,$AN$8)/$AN$2*100,"")</f>
        <v/>
      </c>
      <c r="AO139" s="24" t="str">
        <f>IF(AND(A139&lt;&gt;"",Q139&lt;&gt;0),SUM(Q139,$AO$8)/$AO$2*100,"")</f>
        <v/>
      </c>
      <c r="AP139" s="24">
        <f>IF(AND(A139&lt;&gt;"",R139&lt;&gt;0),SUM(R139,$AP$8)/$AP$2*100,"")</f>
        <v>69.502659574468083</v>
      </c>
      <c r="AQ139" s="24" t="str">
        <f>IF(AND(A139&lt;&gt;"",W139&gt;0),SUM(W139,$AQ$8)/$AQ$2*100,"")</f>
        <v/>
      </c>
      <c r="AR139" s="24">
        <f>IF(AND(A139&lt;&gt;"",T139&gt;0),SUM(T139,$AR$8)/$AR$2*100,"")</f>
        <v>83.697137580794092</v>
      </c>
      <c r="AS139" s="24">
        <f>IF(AND(A139&lt;&gt;"",X139&lt;&gt;0),SUM(X139,$AS$8)/$AS$2*100,"")</f>
        <v>83.697137580794077</v>
      </c>
      <c r="AT139" s="86">
        <f>IF(A139&lt;&gt;"",SUM(W139:X139,$AT$8)/$AT$2*100,"")</f>
        <v>83.697137580794077</v>
      </c>
      <c r="AU139" s="24">
        <f>AA139</f>
        <v>86.648568790397036</v>
      </c>
      <c r="AV139" s="24"/>
      <c r="AW139" s="27">
        <f>IF(A139&lt;&gt;"",AE139-AA139,"")</f>
        <v>-2.9514312096029585</v>
      </c>
      <c r="AY139" s="27">
        <f>AR139-AP139</f>
        <v>14.194478006326008</v>
      </c>
      <c r="AZ139" s="27">
        <f>ABS(AY139)</f>
        <v>14.194478006326008</v>
      </c>
    </row>
    <row r="140" spans="1:52" s="27" customFormat="1" ht="12.75" customHeight="1" x14ac:dyDescent="0.2">
      <c r="A140" s="50">
        <v>335134</v>
      </c>
      <c r="B140" s="2">
        <v>25</v>
      </c>
      <c r="C140" s="50">
        <v>25</v>
      </c>
      <c r="D140" s="10">
        <v>22</v>
      </c>
      <c r="E140" s="10">
        <v>19</v>
      </c>
      <c r="F140" s="10">
        <v>24</v>
      </c>
      <c r="G140" s="10">
        <v>25</v>
      </c>
      <c r="H140" s="10">
        <v>22</v>
      </c>
      <c r="I140" s="10">
        <v>23</v>
      </c>
      <c r="J140" s="2"/>
      <c r="K140" s="10">
        <v>61</v>
      </c>
      <c r="L140" s="10">
        <v>42</v>
      </c>
      <c r="M140" s="10">
        <v>24</v>
      </c>
      <c r="N140" s="51">
        <v>8</v>
      </c>
      <c r="O140" s="11">
        <v>60</v>
      </c>
      <c r="P140" s="10"/>
      <c r="Q140" s="40"/>
      <c r="R140" s="2">
        <v>142</v>
      </c>
      <c r="S140" s="10">
        <f>IF(T140="",R140,MAX((R140+$R$8)/$R$2,(T140+$T$8)/$T$2)*$R$2-$R$8)</f>
        <v>144.38895601265199</v>
      </c>
      <c r="T140" s="62">
        <v>214</v>
      </c>
      <c r="U140" s="10">
        <f>IF(A140&lt;&gt;"",SUM(B140:I140),"")</f>
        <v>185</v>
      </c>
      <c r="V140" s="10">
        <f>IF(A140&lt;&gt;"",SUM(J140:O140),"")</f>
        <v>195</v>
      </c>
      <c r="W140" s="10">
        <f>IF(A140&lt;&gt;"",SUM(P140:Q140),"")</f>
        <v>0</v>
      </c>
      <c r="X140" s="10">
        <f>IF(A140&lt;&gt;"",SUM(S140:T140),"")</f>
        <v>358.38895601265199</v>
      </c>
      <c r="Y140" s="12" t="s">
        <v>69</v>
      </c>
      <c r="Z140" s="12">
        <f>IF(A140&lt;&gt;"",SUM(U140:Y140),"")</f>
        <v>738.38895601265199</v>
      </c>
      <c r="AA140" s="27">
        <f>IF(A140&lt;&gt;"",(Z140+Normalize_To_Add)/(Point_Total_So_Far)*100,"")</f>
        <v>81.348568790397053</v>
      </c>
      <c r="AB140" s="10">
        <f>IF(A140&lt;&gt;"",RANK(AA140,All_Student_XC),"")</f>
        <v>191</v>
      </c>
      <c r="AC140" s="31" t="str">
        <f>IF(A140&lt;&gt;"",CHOOSE(10-MIN(9,TRUNC((AA140+0.5)/10)),"A","B","C","D","F","F","F","F","F","F"),"")</f>
        <v>B</v>
      </c>
      <c r="AD140" s="31" t="str">
        <f>IF(A140&lt;&gt;"",IF(OR(AA140+0.5&gt;=93,AA140+0.5&lt;60),"",IF(MOD(AA140+0.5,10)&gt;=7,"+",IF(MOD(AA140+0.5,10)&lt;3,"-",""))),"")</f>
        <v>-</v>
      </c>
      <c r="AE140" s="31">
        <f>IF(A140&lt;&gt;"",SUM(W140:X140,$W$8:$X$8)/SUM($W$2:$X$2)*100,"")</f>
        <v>86.697137580794077</v>
      </c>
      <c r="AF140" s="43" t="str">
        <f>IF(A140&lt;&gt;"",CHOOSE(10-MIN(9,TRUNC((AE140+0.5)/10)),"A","B","C","D","F","F","F","F","F","F"),"")</f>
        <v>B</v>
      </c>
      <c r="AG140" s="43" t="str">
        <f>IF(A140&lt;&gt;"",IF(OR(AE140+0.5&gt;=93,AE140+0.5&lt;60),"",IF(MOD(AE140+0.5,10)&gt;=7,"+",IF(MOD(AE140+0.5,10)&lt;3,"-",""))),"")</f>
        <v>+</v>
      </c>
      <c r="AH140" s="35">
        <f>IF(A140&lt;&gt;"",MIN(MAX(AA140,AE140),AA140+$AH$8,AE140+$AH$8),"")</f>
        <v>86.697137580794077</v>
      </c>
      <c r="AI140" s="31" t="str">
        <f>IF(A140&lt;&gt;"",CHOOSE(10-MIN(9,TRUNC((AH140+0.5)/10)),"A","B","C","D","F","F","F","F","F","F"),"")</f>
        <v>B</v>
      </c>
      <c r="AJ140" s="31" t="str">
        <f>IF(A140&lt;&gt;"",IF(OR(AH140+0.5&gt;=93,AH140+0.5&lt;60),"",IF(MOD(AH140+0.5,10)&gt;=7,"+",IF(MOD(AH140+0.5,10)&lt;3,"-",""))),"")</f>
        <v>+</v>
      </c>
      <c r="AK140" s="31" t="b">
        <f>IF(A140&lt;&gt;"",OR(AI140&lt;&gt;AC140,AJ140&lt;&gt;AD140),"")</f>
        <v>1</v>
      </c>
      <c r="AL140" s="81">
        <f>IF(AND(A140&lt;&gt;"",U140&gt;0),SUM(U140,$AL$8)/$AL$2*100,"")</f>
        <v>92.5</v>
      </c>
      <c r="AM140" s="24">
        <f>IF(AND(A140&lt;&gt;"",V140&gt;0),SUM(V140,$AM$8)/$AM$2*100,"")</f>
        <v>65</v>
      </c>
      <c r="AN140" s="24" t="str">
        <f>IF(AND(A140&lt;&gt;"",P140&lt;&gt;0),SUM(P140,$AN$8)/$AN$2*100,"")</f>
        <v/>
      </c>
      <c r="AO140" s="24" t="str">
        <f>IF(AND(A140&lt;&gt;"",Q140&lt;&gt;0),SUM(Q140,$AO$8)/$AO$2*100,"")</f>
        <v/>
      </c>
      <c r="AP140" s="24">
        <f>IF(AND(A140&lt;&gt;"",R140&lt;&gt;0),SUM(R140,$AP$8)/$AP$2*100,"")</f>
        <v>85.502659574468083</v>
      </c>
      <c r="AQ140" s="24" t="str">
        <f>IF(AND(A140&lt;&gt;"",W140&gt;0),SUM(W140,$AQ$8)/$AQ$2*100,"")</f>
        <v/>
      </c>
      <c r="AR140" s="24">
        <f>IF(AND(A140&lt;&gt;"",T140&gt;0),SUM(T140,$AR$8)/$AR$2*100,"")</f>
        <v>86.697137580794077</v>
      </c>
      <c r="AS140" s="24">
        <f>IF(AND(A140&lt;&gt;"",X140&lt;&gt;0),SUM(X140,$AS$8)/$AS$2*100,"")</f>
        <v>86.697137580794077</v>
      </c>
      <c r="AT140" s="86">
        <f>IF(A140&lt;&gt;"",SUM(W140:X140,$AT$8)/$AT$2*100,"")</f>
        <v>86.697137580794077</v>
      </c>
      <c r="AU140" s="24">
        <f>AA140</f>
        <v>81.348568790397053</v>
      </c>
      <c r="AV140" s="24"/>
      <c r="AW140" s="27">
        <f>IF(A140&lt;&gt;"",AE140-AA140,"")</f>
        <v>5.3485687903970245</v>
      </c>
      <c r="AY140" s="27">
        <f>AR140-AP140</f>
        <v>1.1944780063259941</v>
      </c>
      <c r="AZ140" s="27">
        <f>ABS(AY140)</f>
        <v>1.1944780063259941</v>
      </c>
    </row>
    <row r="141" spans="1:52" s="27" customFormat="1" ht="12.75" customHeight="1" x14ac:dyDescent="0.2">
      <c r="A141" s="10">
        <v>335952</v>
      </c>
      <c r="B141" s="2">
        <v>24</v>
      </c>
      <c r="C141" s="10">
        <v>25</v>
      </c>
      <c r="D141" s="10">
        <v>23</v>
      </c>
      <c r="E141" s="10">
        <v>21</v>
      </c>
      <c r="F141" s="10">
        <v>23</v>
      </c>
      <c r="G141" s="10">
        <v>25</v>
      </c>
      <c r="H141" s="10">
        <v>24</v>
      </c>
      <c r="I141" s="10">
        <v>25</v>
      </c>
      <c r="J141" s="2"/>
      <c r="K141" s="10">
        <v>62</v>
      </c>
      <c r="L141" s="10">
        <v>62</v>
      </c>
      <c r="M141" s="10">
        <v>38</v>
      </c>
      <c r="N141" s="51">
        <v>59</v>
      </c>
      <c r="O141" s="11">
        <v>60</v>
      </c>
      <c r="P141" s="10"/>
      <c r="Q141" s="40"/>
      <c r="R141" s="2">
        <v>157</v>
      </c>
      <c r="S141" s="10">
        <f>IF(T141="",R141,MAX((R141+$R$8)/$R$2,(T141+$T$8)/$T$2)*$R$2-$R$8)</f>
        <v>157</v>
      </c>
      <c r="T141" s="12">
        <v>187</v>
      </c>
      <c r="U141" s="34">
        <f>IF(A141&lt;&gt;"",SUM(B141:I141),"")</f>
        <v>190</v>
      </c>
      <c r="V141" s="10">
        <f>IF(A141&lt;&gt;"",SUM(J141:O141),"")</f>
        <v>281</v>
      </c>
      <c r="W141" s="10">
        <f>IF(A141&lt;&gt;"",SUM(P141:Q141),"")</f>
        <v>0</v>
      </c>
      <c r="X141" s="10">
        <f>IF(A141&lt;&gt;"",SUM(S141:T141),"")</f>
        <v>344</v>
      </c>
      <c r="Y141" s="12">
        <v>3</v>
      </c>
      <c r="Z141" s="12">
        <f>IF(A141&lt;&gt;"",SUM(U141:Y141),"")</f>
        <v>818</v>
      </c>
      <c r="AA141" s="27">
        <f>IF(A141&lt;&gt;"",(Z141+Normalize_To_Add)/(Point_Total_So_Far)*100,"")</f>
        <v>89.309673189131843</v>
      </c>
      <c r="AB141" s="10">
        <f>IF(A141&lt;&gt;"",RANK(AA141,All_Student_XC),"")</f>
        <v>86</v>
      </c>
      <c r="AC141" s="31" t="str">
        <f>IF(A141&lt;&gt;"",CHOOSE(10-MIN(9,TRUNC((AA141+0.5)/10)),"A","B","C","D","F","F","F","F","F","F"),"")</f>
        <v>B</v>
      </c>
      <c r="AD141" s="31" t="str">
        <f>IF(A141&lt;&gt;"",IF(OR(AA141+0.5&gt;=93,AA141+0.5&lt;60),"",IF(MOD(AA141+0.5,10)&gt;=7,"+",IF(MOD(AA141+0.5,10)&lt;3,"-",""))),"")</f>
        <v>+</v>
      </c>
      <c r="AE141" s="31">
        <f>IF(A141&lt;&gt;"",SUM(W141:X141,$W$8:$X$8)/SUM($W$2:$X$2)*100,"")</f>
        <v>83.819346378263688</v>
      </c>
      <c r="AF141" s="31" t="str">
        <f>IF(A141&lt;&gt;"",CHOOSE(10-MIN(9,TRUNC((AE141+0.5)/10)),"A","B","C","D","F","F","F","F","F","F"),"")</f>
        <v>B</v>
      </c>
      <c r="AG141" s="31" t="str">
        <f>IF(A141&lt;&gt;"",IF(OR(AE141+0.5&gt;=93,AE141+0.5&lt;60),"",IF(MOD(AE141+0.5,10)&gt;=7,"+",IF(MOD(AE141+0.5,10)&lt;3,"-",""))),"")</f>
        <v/>
      </c>
      <c r="AH141" s="35">
        <f>IF(A141&lt;&gt;"",MIN(MAX(AA141,AE141),AA141+$AH$8,AE141+$AH$8),"")</f>
        <v>89.309673189131843</v>
      </c>
      <c r="AI141" s="31" t="str">
        <f>IF(A141&lt;&gt;"",CHOOSE(10-MIN(9,TRUNC((AH141+0.5)/10)),"A","B","C","D","F","F","F","F","F","F"),"")</f>
        <v>B</v>
      </c>
      <c r="AJ141" s="31" t="str">
        <f>IF(A141&lt;&gt;"",IF(OR(AH141+0.5&gt;=93,AH141+0.5&lt;60),"",IF(MOD(AH141+0.5,10)&gt;=7,"+",IF(MOD(AH141+0.5,10)&lt;3,"-",""))),"")</f>
        <v>+</v>
      </c>
      <c r="AK141" s="31" t="b">
        <f>IF(A141&lt;&gt;"",OR(AI141&lt;&gt;AC141,AJ141&lt;&gt;AD141),"")</f>
        <v>0</v>
      </c>
      <c r="AL141" s="81">
        <f>IF(AND(A141&lt;&gt;"",U141&gt;0),SUM(U141,$AL$8)/$AL$2*100,"")</f>
        <v>95</v>
      </c>
      <c r="AM141" s="24">
        <f>IF(AND(A141&lt;&gt;"",V141&gt;0),SUM(V141,$AM$8)/$AM$2*100,"")</f>
        <v>93.666666666666671</v>
      </c>
      <c r="AN141" s="24" t="str">
        <f>IF(AND(A141&lt;&gt;"",P141&lt;&gt;0),SUM(P141,$AN$8)/$AN$2*100,"")</f>
        <v/>
      </c>
      <c r="AO141" s="24" t="str">
        <f>IF(AND(A141&lt;&gt;"",Q141&lt;&gt;0),SUM(Q141,$AO$8)/$AO$2*100,"")</f>
        <v/>
      </c>
      <c r="AP141" s="24">
        <f>IF(AND(A141&lt;&gt;"",R141&lt;&gt;0),SUM(R141,$AP$8)/$AP$2*100,"")</f>
        <v>93.002659574468083</v>
      </c>
      <c r="AQ141" s="24" t="str">
        <f>IF(AND(A141&lt;&gt;"",W141&gt;0),SUM(W141,$AQ$8)/$AQ$2*100,"")</f>
        <v/>
      </c>
      <c r="AR141" s="24">
        <f>IF(AND(A141&lt;&gt;"",T141&gt;0),SUM(T141,$AR$8)/$AR$2*100,"")</f>
        <v>77.697137580794077</v>
      </c>
      <c r="AS141" s="24">
        <f>IF(AND(A141&lt;&gt;"",X141&lt;&gt;0),SUM(X141,$AS$8)/$AS$2*100,"")</f>
        <v>83.819346378263688</v>
      </c>
      <c r="AT141" s="86">
        <f>IF(A141&lt;&gt;"",SUM(W141:X141,$AT$8)/$AT$2*100,"")</f>
        <v>83.819346378263688</v>
      </c>
      <c r="AU141" s="24">
        <f>AA141</f>
        <v>89.309673189131843</v>
      </c>
      <c r="AV141" s="24"/>
      <c r="AW141" s="27">
        <f>IF(A141&lt;&gt;"",AE141-AA141,"")</f>
        <v>-5.4903268108681544</v>
      </c>
      <c r="AY141" s="27">
        <f>AR141-AP141</f>
        <v>-15.305521993674006</v>
      </c>
      <c r="AZ141" s="27">
        <f>ABS(AY141)</f>
        <v>15.305521993674006</v>
      </c>
    </row>
    <row r="142" spans="1:52" s="27" customFormat="1" ht="12.75" customHeight="1" x14ac:dyDescent="0.2">
      <c r="A142" s="10">
        <v>336268</v>
      </c>
      <c r="B142" s="2">
        <v>23</v>
      </c>
      <c r="C142" s="10">
        <v>25</v>
      </c>
      <c r="D142" s="10">
        <v>25</v>
      </c>
      <c r="E142" s="10">
        <v>24</v>
      </c>
      <c r="F142" s="10">
        <v>22</v>
      </c>
      <c r="G142" s="10">
        <v>19</v>
      </c>
      <c r="H142" s="10">
        <v>19</v>
      </c>
      <c r="I142" s="10">
        <v>25</v>
      </c>
      <c r="J142" s="2"/>
      <c r="K142" s="10">
        <v>62</v>
      </c>
      <c r="L142" s="10">
        <v>57</v>
      </c>
      <c r="M142" s="10">
        <v>55</v>
      </c>
      <c r="N142" s="51">
        <v>55</v>
      </c>
      <c r="O142" s="11">
        <v>62</v>
      </c>
      <c r="P142" s="10"/>
      <c r="Q142" s="40"/>
      <c r="R142" s="2">
        <v>124</v>
      </c>
      <c r="S142" s="10">
        <f>IF(T142="",R142,MAX((R142+$R$8)/$R$2,(T142+$T$8)/$T$2)*$R$2-$R$8)</f>
        <v>124</v>
      </c>
      <c r="T142" s="12">
        <v>135</v>
      </c>
      <c r="U142" s="34">
        <f>IF(A142&lt;&gt;"",SUM(B142:I142),"")</f>
        <v>182</v>
      </c>
      <c r="V142" s="10">
        <f>IF(A142&lt;&gt;"",SUM(J142:O142),"")</f>
        <v>291</v>
      </c>
      <c r="W142" s="10">
        <f>IF(A142&lt;&gt;"",SUM(P142:Q142),"")</f>
        <v>0</v>
      </c>
      <c r="X142" s="10">
        <f>IF(A142&lt;&gt;"",SUM(S142:T142),"")</f>
        <v>259</v>
      </c>
      <c r="Y142" s="12">
        <v>3</v>
      </c>
      <c r="Z142" s="12">
        <f>IF(A142&lt;&gt;"",SUM(U142:Y142),"")</f>
        <v>735</v>
      </c>
      <c r="AA142" s="27">
        <f>IF(A142&lt;&gt;"",(Z142+Normalize_To_Add)/(Point_Total_So_Far)*100,"")</f>
        <v>81.009673189131846</v>
      </c>
      <c r="AB142" s="10">
        <f>IF(A142&lt;&gt;"",RANK(AA142,All_Student_XC),"")</f>
        <v>198</v>
      </c>
      <c r="AC142" s="31" t="str">
        <f>IF(A142&lt;&gt;"",CHOOSE(10-MIN(9,TRUNC((AA142+0.5)/10)),"A","B","C","D","F","F","F","F","F","F"),"")</f>
        <v>B</v>
      </c>
      <c r="AD142" s="31" t="str">
        <f>IF(A142&lt;&gt;"",IF(OR(AA142+0.5&gt;=93,AA142+0.5&lt;60),"",IF(MOD(AA142+0.5,10)&gt;=7,"+",IF(MOD(AA142+0.5,10)&lt;3,"-",""))),"")</f>
        <v>-</v>
      </c>
      <c r="AE142" s="31">
        <f>IF(A142&lt;&gt;"",SUM(W142:X142,$W$8:$X$8)/SUM($W$2:$X$2)*100,"")</f>
        <v>66.819346378263688</v>
      </c>
      <c r="AF142" s="31" t="str">
        <f>IF(A142&lt;&gt;"",CHOOSE(10-MIN(9,TRUNC((AE142+0.5)/10)),"A","B","C","D","F","F","F","F","F","F"),"")</f>
        <v>D</v>
      </c>
      <c r="AG142" s="31" t="str">
        <f>IF(A142&lt;&gt;"",IF(OR(AE142+0.5&gt;=93,AE142+0.5&lt;60),"",IF(MOD(AE142+0.5,10)&gt;=7,"+",IF(MOD(AE142+0.5,10)&lt;3,"-",""))),"")</f>
        <v>+</v>
      </c>
      <c r="AH142" s="35">
        <f>IF(A142&lt;&gt;"",MIN(MAX(AA142,AE142),AA142+$AH$8,AE142+$AH$8),"")</f>
        <v>81.009673189131846</v>
      </c>
      <c r="AI142" s="31" t="str">
        <f>IF(A142&lt;&gt;"",CHOOSE(10-MIN(9,TRUNC((AH142+0.5)/10)),"A","B","C","D","F","F","F","F","F","F"),"")</f>
        <v>B</v>
      </c>
      <c r="AJ142" s="31" t="str">
        <f>IF(A142&lt;&gt;"",IF(OR(AH142+0.5&gt;=93,AH142+0.5&lt;60),"",IF(MOD(AH142+0.5,10)&gt;=7,"+",IF(MOD(AH142+0.5,10)&lt;3,"-",""))),"")</f>
        <v>-</v>
      </c>
      <c r="AK142" s="31" t="b">
        <f>IF(A142&lt;&gt;"",OR(AI142&lt;&gt;AC142,AJ142&lt;&gt;AD142),"")</f>
        <v>0</v>
      </c>
      <c r="AL142" s="81">
        <f>IF(AND(A142&lt;&gt;"",U142&gt;0),SUM(U142,$AL$8)/$AL$2*100,"")</f>
        <v>91</v>
      </c>
      <c r="AM142" s="24">
        <f>IF(AND(A142&lt;&gt;"",V142&gt;0),SUM(V142,$AM$8)/$AM$2*100,"")</f>
        <v>97</v>
      </c>
      <c r="AN142" s="24" t="str">
        <f>IF(AND(A142&lt;&gt;"",P142&lt;&gt;0),SUM(P142,$AN$8)/$AN$2*100,"")</f>
        <v/>
      </c>
      <c r="AO142" s="24" t="str">
        <f>IF(AND(A142&lt;&gt;"",Q142&lt;&gt;0),SUM(Q142,$AO$8)/$AO$2*100,"")</f>
        <v/>
      </c>
      <c r="AP142" s="24">
        <f>IF(AND(A142&lt;&gt;"",R142&lt;&gt;0),SUM(R142,$AP$8)/$AP$2*100,"")</f>
        <v>76.502659574468083</v>
      </c>
      <c r="AQ142" s="24" t="str">
        <f>IF(AND(A142&lt;&gt;"",W142&gt;0),SUM(W142,$AQ$8)/$AQ$2*100,"")</f>
        <v/>
      </c>
      <c r="AR142" s="24">
        <f>IF(AND(A142&lt;&gt;"",T142&gt;0),SUM(T142,$AR$8)/$AR$2*100,"")</f>
        <v>60.363804247460749</v>
      </c>
      <c r="AS142" s="24">
        <f>IF(AND(A142&lt;&gt;"",X142&lt;&gt;0),SUM(X142,$AS$8)/$AS$2*100,"")</f>
        <v>66.819346378263688</v>
      </c>
      <c r="AT142" s="86">
        <f>IF(A142&lt;&gt;"",SUM(W142:X142,$AT$8)/$AT$2*100,"")</f>
        <v>66.819346378263688</v>
      </c>
      <c r="AU142" s="24">
        <f>AA142</f>
        <v>81.009673189131846</v>
      </c>
      <c r="AV142" s="24"/>
      <c r="AW142" s="27">
        <f>IF(A142&lt;&gt;"",AE142-AA142,"")</f>
        <v>-14.190326810868157</v>
      </c>
      <c r="AY142" s="27">
        <f>AR142-AP142</f>
        <v>-16.138855327007334</v>
      </c>
      <c r="AZ142" s="27">
        <f>ABS(AY142)</f>
        <v>16.138855327007334</v>
      </c>
    </row>
    <row r="143" spans="1:52" s="27" customFormat="1" ht="12.75" customHeight="1" x14ac:dyDescent="0.2">
      <c r="A143" s="10">
        <v>336674</v>
      </c>
      <c r="B143" s="2">
        <v>25</v>
      </c>
      <c r="C143" s="10">
        <v>24</v>
      </c>
      <c r="D143" s="10">
        <v>23</v>
      </c>
      <c r="E143" s="10">
        <v>25</v>
      </c>
      <c r="F143" s="10">
        <v>25</v>
      </c>
      <c r="G143" s="10">
        <v>25</v>
      </c>
      <c r="H143" s="10">
        <v>24</v>
      </c>
      <c r="I143" s="10">
        <v>25</v>
      </c>
      <c r="J143" s="2"/>
      <c r="K143" s="10">
        <v>57</v>
      </c>
      <c r="L143" s="10">
        <v>62</v>
      </c>
      <c r="M143" s="10">
        <v>60</v>
      </c>
      <c r="N143" s="51">
        <v>62</v>
      </c>
      <c r="O143" s="11">
        <v>62</v>
      </c>
      <c r="P143" s="10"/>
      <c r="Q143" s="40"/>
      <c r="R143" s="2">
        <v>141</v>
      </c>
      <c r="S143" s="10">
        <f>IF(T143="",R143,MAX((R143+$R$8)/$R$2,(T143+$T$8)/$T$2)*$R$2-$R$8)</f>
        <v>141</v>
      </c>
      <c r="T143" s="12">
        <v>181</v>
      </c>
      <c r="U143" s="7">
        <f>IF(A143&lt;&gt;"",SUM(B143:I143),"")</f>
        <v>196</v>
      </c>
      <c r="V143" s="10">
        <f>IF(A143&lt;&gt;"",SUM(J143:O143),"")</f>
        <v>303</v>
      </c>
      <c r="W143" s="10">
        <f>IF(A143&lt;&gt;"",SUM(P143:Q143),"")</f>
        <v>0</v>
      </c>
      <c r="X143" s="10">
        <f>IF(A143&lt;&gt;"",SUM(S143:T143),"")</f>
        <v>322</v>
      </c>
      <c r="Y143" s="12">
        <v>3</v>
      </c>
      <c r="Z143" s="12">
        <f>IF(A143&lt;&gt;"",SUM(U143:Y143),"")</f>
        <v>824</v>
      </c>
      <c r="AA143" s="27">
        <f>IF(A143&lt;&gt;"",(Z143+Normalize_To_Add)/(Point_Total_So_Far)*100,"")</f>
        <v>89.909673189131851</v>
      </c>
      <c r="AB143" s="10">
        <f>IF(A143&lt;&gt;"",RANK(AA143,All_Student_XC),"")</f>
        <v>79</v>
      </c>
      <c r="AC143" s="31" t="str">
        <f>IF(A143&lt;&gt;"",CHOOSE(10-MIN(9,TRUNC((AA143+0.5)/10)),"A","B","C","D","F","F","F","F","F","F"),"")</f>
        <v>A</v>
      </c>
      <c r="AD143" s="31" t="str">
        <f>IF(A143&lt;&gt;"",IF(OR(AA143+0.5&gt;=93,AA143+0.5&lt;60),"",IF(MOD(AA143+0.5,10)&gt;=7,"+",IF(MOD(AA143+0.5,10)&lt;3,"-",""))),"")</f>
        <v>-</v>
      </c>
      <c r="AE143" s="31">
        <f>IF(A143&lt;&gt;"",SUM(W143:X143,$W$8:$X$8)/SUM($W$2:$X$2)*100,"")</f>
        <v>79.419346378263683</v>
      </c>
      <c r="AF143" s="43" t="str">
        <f>IF(A143&lt;&gt;"",CHOOSE(10-MIN(9,TRUNC((AE143+0.5)/10)),"A","B","C","D","F","F","F","F","F","F"),"")</f>
        <v>C</v>
      </c>
      <c r="AG143" s="43" t="str">
        <f>IF(A143&lt;&gt;"",IF(OR(AE143+0.5&gt;=93,AE143+0.5&lt;60),"",IF(MOD(AE143+0.5,10)&gt;=7,"+",IF(MOD(AE143+0.5,10)&lt;3,"-",""))),"")</f>
        <v>+</v>
      </c>
      <c r="AH143" s="35">
        <f>IF(A143&lt;&gt;"",MIN(MAX(AA143,AE143),AA143+$AH$8,AE143+$AH$8),"")</f>
        <v>89.909673189131851</v>
      </c>
      <c r="AI143" s="31" t="str">
        <f>IF(A143&lt;&gt;"",CHOOSE(10-MIN(9,TRUNC((AH143+0.5)/10)),"A","B","C","D","F","F","F","F","F","F"),"")</f>
        <v>A</v>
      </c>
      <c r="AJ143" s="31" t="str">
        <f>IF(A143&lt;&gt;"",IF(OR(AH143+0.5&gt;=93,AH143+0.5&lt;60),"",IF(MOD(AH143+0.5,10)&gt;=7,"+",IF(MOD(AH143+0.5,10)&lt;3,"-",""))),"")</f>
        <v>-</v>
      </c>
      <c r="AK143" s="31" t="b">
        <f>IF(A143&lt;&gt;"",OR(AI143&lt;&gt;AC143,AJ143&lt;&gt;AD143),"")</f>
        <v>0</v>
      </c>
      <c r="AL143" s="81">
        <f>IF(AND(A143&lt;&gt;"",U143&gt;0),SUM(U143,$AL$8)/$AL$2*100,"")</f>
        <v>98</v>
      </c>
      <c r="AM143" s="24">
        <f>IF(AND(A143&lt;&gt;"",V143&gt;0),SUM(V143,$AM$8)/$AM$2*100,"")</f>
        <v>101</v>
      </c>
      <c r="AN143" s="24" t="str">
        <f>IF(AND(A143&lt;&gt;"",P143&lt;&gt;0),SUM(P143,$AN$8)/$AN$2*100,"")</f>
        <v/>
      </c>
      <c r="AO143" s="24" t="str">
        <f>IF(AND(A143&lt;&gt;"",Q143&lt;&gt;0),SUM(Q143,$AO$8)/$AO$2*100,"")</f>
        <v/>
      </c>
      <c r="AP143" s="24">
        <f>IF(AND(A143&lt;&gt;"",R143&lt;&gt;0),SUM(R143,$AP$8)/$AP$2*100,"")</f>
        <v>85.002659574468083</v>
      </c>
      <c r="AQ143" s="24" t="str">
        <f>IF(AND(A143&lt;&gt;"",W143&gt;0),SUM(W143,$AQ$8)/$AQ$2*100,"")</f>
        <v/>
      </c>
      <c r="AR143" s="24">
        <f>IF(AND(A143&lt;&gt;"",T143&gt;0),SUM(T143,$AR$8)/$AR$2*100,"")</f>
        <v>75.697137580794077</v>
      </c>
      <c r="AS143" s="24">
        <f>IF(AND(A143&lt;&gt;"",X143&lt;&gt;0),SUM(X143,$AS$8)/$AS$2*100,"")</f>
        <v>79.419346378263683</v>
      </c>
      <c r="AT143" s="86">
        <f>IF(A143&lt;&gt;"",SUM(W143:X143,$AT$8)/$AT$2*100,"")</f>
        <v>79.419346378263683</v>
      </c>
      <c r="AU143" s="24">
        <f>AA143</f>
        <v>89.909673189131851</v>
      </c>
      <c r="AV143" s="24"/>
      <c r="AW143" s="27">
        <f>IF(A143&lt;&gt;"",AE143-AA143,"")</f>
        <v>-10.490326810868169</v>
      </c>
      <c r="AY143" s="27">
        <f>AR143-AP143</f>
        <v>-9.3055219936740059</v>
      </c>
      <c r="AZ143" s="27">
        <f>ABS(AY143)</f>
        <v>9.3055219936740059</v>
      </c>
    </row>
    <row r="144" spans="1:52" s="27" customFormat="1" ht="12.75" customHeight="1" x14ac:dyDescent="0.2">
      <c r="A144" s="50">
        <v>340286</v>
      </c>
      <c r="B144" s="2">
        <v>10</v>
      </c>
      <c r="C144" s="50">
        <v>23</v>
      </c>
      <c r="D144" s="10">
        <v>24</v>
      </c>
      <c r="E144" s="10">
        <v>25</v>
      </c>
      <c r="F144" s="10">
        <v>16</v>
      </c>
      <c r="G144" s="10">
        <v>25</v>
      </c>
      <c r="H144" s="10">
        <v>14</v>
      </c>
      <c r="I144" s="10">
        <v>19</v>
      </c>
      <c r="J144" s="2"/>
      <c r="K144" s="10">
        <v>47</v>
      </c>
      <c r="L144" s="10">
        <v>41</v>
      </c>
      <c r="M144" s="10">
        <v>28</v>
      </c>
      <c r="N144" s="51">
        <v>36</v>
      </c>
      <c r="O144" s="11">
        <v>62</v>
      </c>
      <c r="P144" s="10"/>
      <c r="Q144" s="40"/>
      <c r="R144" s="2">
        <v>86</v>
      </c>
      <c r="S144" s="10">
        <f>IF(T144="",R144,MAX((R144+$R$8)/$R$2,(T144+$T$8)/$T$2)*$R$2-$R$8)</f>
        <v>135.72228934598536</v>
      </c>
      <c r="T144" s="62">
        <v>201</v>
      </c>
      <c r="U144" s="10">
        <f>IF(A144&lt;&gt;"",SUM(B144:I144),"")</f>
        <v>156</v>
      </c>
      <c r="V144" s="10">
        <f>IF(A144&lt;&gt;"",SUM(J144:O144),"")</f>
        <v>214</v>
      </c>
      <c r="W144" s="10">
        <f>IF(A144&lt;&gt;"",SUM(P144:Q144),"")</f>
        <v>0</v>
      </c>
      <c r="X144" s="10">
        <f>IF(A144&lt;&gt;"",SUM(S144:T144),"")</f>
        <v>336.72228934598536</v>
      </c>
      <c r="Y144" s="12">
        <v>3</v>
      </c>
      <c r="Z144" s="12">
        <f>IF(A144&lt;&gt;"",SUM(U144:Y144),"")</f>
        <v>709.72228934598536</v>
      </c>
      <c r="AA144" s="27">
        <f>IF(A144&lt;&gt;"",(Z144+Normalize_To_Add)/(Point_Total_So_Far)*100,"")</f>
        <v>78.481902123730379</v>
      </c>
      <c r="AB144" s="10">
        <f>IF(A144&lt;&gt;"",RANK(AA144,All_Student_XC),"")</f>
        <v>235</v>
      </c>
      <c r="AC144" s="31" t="str">
        <f>IF(A144&lt;&gt;"",CHOOSE(10-MIN(9,TRUNC((AA144+0.5)/10)),"A","B","C","D","F","F","F","F","F","F"),"")</f>
        <v>C</v>
      </c>
      <c r="AD144" s="31" t="str">
        <f>IF(A144&lt;&gt;"",IF(OR(AA144+0.5&gt;=93,AA144+0.5&lt;60),"",IF(MOD(AA144+0.5,10)&gt;=7,"+",IF(MOD(AA144+0.5,10)&lt;3,"-",""))),"")</f>
        <v>+</v>
      </c>
      <c r="AE144" s="31">
        <f>IF(A144&lt;&gt;"",SUM(W144:X144,$W$8:$X$8)/SUM($W$2:$X$2)*100,"")</f>
        <v>82.363804247460763</v>
      </c>
      <c r="AF144" s="43" t="str">
        <f>IF(A144&lt;&gt;"",CHOOSE(10-MIN(9,TRUNC((AE144+0.5)/10)),"A","B","C","D","F","F","F","F","F","F"),"")</f>
        <v>B</v>
      </c>
      <c r="AG144" s="43" t="str">
        <f>IF(A144&lt;&gt;"",IF(OR(AE144+0.5&gt;=93,AE144+0.5&lt;60),"",IF(MOD(AE144+0.5,10)&gt;=7,"+",IF(MOD(AE144+0.5,10)&lt;3,"-",""))),"")</f>
        <v>-</v>
      </c>
      <c r="AH144" s="35">
        <f>IF(A144&lt;&gt;"",MIN(MAX(AA144,AE144),AA144+$AH$8,AE144+$AH$8),"")</f>
        <v>82.363804247460763</v>
      </c>
      <c r="AI144" s="31" t="str">
        <f>IF(A144&lt;&gt;"",CHOOSE(10-MIN(9,TRUNC((AH144+0.5)/10)),"A","B","C","D","F","F","F","F","F","F"),"")</f>
        <v>B</v>
      </c>
      <c r="AJ144" s="31" t="str">
        <f>IF(A144&lt;&gt;"",IF(OR(AH144+0.5&gt;=93,AH144+0.5&lt;60),"",IF(MOD(AH144+0.5,10)&gt;=7,"+",IF(MOD(AH144+0.5,10)&lt;3,"-",""))),"")</f>
        <v>-</v>
      </c>
      <c r="AK144" s="31" t="b">
        <f>IF(A144&lt;&gt;"",OR(AI144&lt;&gt;AC144,AJ144&lt;&gt;AD144),"")</f>
        <v>1</v>
      </c>
      <c r="AL144" s="81">
        <f>IF(AND(A144&lt;&gt;"",U144&gt;0),SUM(U144,$AL$8)/$AL$2*100,"")</f>
        <v>78</v>
      </c>
      <c r="AM144" s="24">
        <f>IF(AND(A144&lt;&gt;"",V144&gt;0),SUM(V144,$AM$8)/$AM$2*100,"")</f>
        <v>71.333333333333343</v>
      </c>
      <c r="AN144" s="24" t="str">
        <f>IF(AND(A144&lt;&gt;"",P144&lt;&gt;0),SUM(P144,$AN$8)/$AN$2*100,"")</f>
        <v/>
      </c>
      <c r="AO144" s="24" t="str">
        <f>IF(AND(A144&lt;&gt;"",Q144&lt;&gt;0),SUM(Q144,$AO$8)/$AO$2*100,"")</f>
        <v/>
      </c>
      <c r="AP144" s="24">
        <f>IF(AND(A144&lt;&gt;"",R144&lt;&gt;0),SUM(R144,$AP$8)/$AP$2*100,"")</f>
        <v>57.502659574468083</v>
      </c>
      <c r="AQ144" s="24" t="str">
        <f>IF(AND(A144&lt;&gt;"",W144&gt;0),SUM(W144,$AQ$8)/$AQ$2*100,"")</f>
        <v/>
      </c>
      <c r="AR144" s="24">
        <f>IF(AND(A144&lt;&gt;"",T144&gt;0),SUM(T144,$AR$8)/$AR$2*100,"")</f>
        <v>82.363804247460763</v>
      </c>
      <c r="AS144" s="24">
        <f>IF(AND(A144&lt;&gt;"",X144&lt;&gt;0),SUM(X144,$AS$8)/$AS$2*100,"")</f>
        <v>82.363804247460763</v>
      </c>
      <c r="AT144" s="86">
        <f>IF(A144&lt;&gt;"",SUM(W144:X144,$AT$8)/$AT$2*100,"")</f>
        <v>82.363804247460763</v>
      </c>
      <c r="AU144" s="24">
        <f>AA144</f>
        <v>78.481902123730379</v>
      </c>
      <c r="AV144" s="24"/>
      <c r="AW144" s="27">
        <f>IF(A144&lt;&gt;"",AE144-AA144,"")</f>
        <v>3.8819021237303843</v>
      </c>
      <c r="AY144" s="27">
        <f>AR144-AP144</f>
        <v>24.86114467299268</v>
      </c>
      <c r="AZ144" s="27">
        <f>ABS(AY144)</f>
        <v>24.86114467299268</v>
      </c>
    </row>
    <row r="145" spans="1:52" s="27" customFormat="1" ht="12.75" customHeight="1" x14ac:dyDescent="0.2">
      <c r="A145" s="50">
        <v>347000</v>
      </c>
      <c r="B145" s="2">
        <v>25</v>
      </c>
      <c r="C145" s="50">
        <v>25</v>
      </c>
      <c r="D145" s="10">
        <v>24</v>
      </c>
      <c r="E145" s="10">
        <v>20</v>
      </c>
      <c r="F145" s="10">
        <v>25</v>
      </c>
      <c r="G145" s="10">
        <v>25</v>
      </c>
      <c r="H145" s="10">
        <v>12</v>
      </c>
      <c r="I145" s="10">
        <v>25</v>
      </c>
      <c r="J145" s="2"/>
      <c r="K145" s="10">
        <v>57</v>
      </c>
      <c r="L145" s="10">
        <v>48</v>
      </c>
      <c r="M145" s="10">
        <v>36</v>
      </c>
      <c r="N145" s="51">
        <v>41</v>
      </c>
      <c r="O145" s="11">
        <v>60</v>
      </c>
      <c r="P145" s="10"/>
      <c r="Q145" s="40"/>
      <c r="R145" s="2">
        <v>129</v>
      </c>
      <c r="S145" s="10">
        <f>IF(T145="",R145,MAX((R145+$R$8)/$R$2,(T145+$T$8)/$T$2)*$R$2-$R$8)</f>
        <v>129</v>
      </c>
      <c r="T145" s="62">
        <v>161</v>
      </c>
      <c r="U145" s="10">
        <f>IF(A145&lt;&gt;"",SUM(B145:I145),"")</f>
        <v>181</v>
      </c>
      <c r="V145" s="10">
        <f>IF(A145&lt;&gt;"",SUM(J145:O145),"")</f>
        <v>242</v>
      </c>
      <c r="W145" s="10">
        <f>IF(A145&lt;&gt;"",SUM(P145:Q145),"")</f>
        <v>0</v>
      </c>
      <c r="X145" s="10">
        <f>IF(A145&lt;&gt;"",SUM(S145:T145),"")</f>
        <v>290</v>
      </c>
      <c r="Y145" s="12">
        <v>3</v>
      </c>
      <c r="Z145" s="12">
        <f>IF(A145&lt;&gt;"",SUM(U145:Y145),"")</f>
        <v>716</v>
      </c>
      <c r="AA145" s="27">
        <f>IF(A145&lt;&gt;"",(Z145+Normalize_To_Add)/(Point_Total_So_Far)*100,"")</f>
        <v>79.10967318913184</v>
      </c>
      <c r="AB145" s="10">
        <f>IF(A145&lt;&gt;"",RANK(AA145,All_Student_XC),"")</f>
        <v>222</v>
      </c>
      <c r="AC145" s="31" t="str">
        <f>IF(A145&lt;&gt;"",CHOOSE(10-MIN(9,TRUNC((AA145+0.5)/10)),"A","B","C","D","F","F","F","F","F","F"),"")</f>
        <v>C</v>
      </c>
      <c r="AD145" s="31" t="str">
        <f>IF(A145&lt;&gt;"",IF(OR(AA145+0.5&gt;=93,AA145+0.5&lt;60),"",IF(MOD(AA145+0.5,10)&gt;=7,"+",IF(MOD(AA145+0.5,10)&lt;3,"-",""))),"")</f>
        <v>+</v>
      </c>
      <c r="AE145" s="31">
        <f>IF(A145&lt;&gt;"",SUM(W145:X145,$W$8:$X$8)/SUM($W$2:$X$2)*100,"")</f>
        <v>73.019346378263677</v>
      </c>
      <c r="AF145" s="43" t="str">
        <f>IF(A145&lt;&gt;"",CHOOSE(10-MIN(9,TRUNC((AE145+0.5)/10)),"A","B","C","D","F","F","F","F","F","F"),"")</f>
        <v>C</v>
      </c>
      <c r="AG145" s="43" t="str">
        <f>IF(A145&lt;&gt;"",IF(OR(AE145+0.5&gt;=93,AE145+0.5&lt;60),"",IF(MOD(AE145+0.5,10)&gt;=7,"+",IF(MOD(AE145+0.5,10)&lt;3,"-",""))),"")</f>
        <v/>
      </c>
      <c r="AH145" s="35">
        <f>IF(A145&lt;&gt;"",MIN(MAX(AA145,AE145),AA145+$AH$8,AE145+$AH$8),"")</f>
        <v>79.10967318913184</v>
      </c>
      <c r="AI145" s="31" t="str">
        <f>IF(A145&lt;&gt;"",CHOOSE(10-MIN(9,TRUNC((AH145+0.5)/10)),"A","B","C","D","F","F","F","F","F","F"),"")</f>
        <v>C</v>
      </c>
      <c r="AJ145" s="31" t="str">
        <f>IF(A145&lt;&gt;"",IF(OR(AH145+0.5&gt;=93,AH145+0.5&lt;60),"",IF(MOD(AH145+0.5,10)&gt;=7,"+",IF(MOD(AH145+0.5,10)&lt;3,"-",""))),"")</f>
        <v>+</v>
      </c>
      <c r="AK145" s="31" t="b">
        <f>IF(A145&lt;&gt;"",OR(AI145&lt;&gt;AC145,AJ145&lt;&gt;AD145),"")</f>
        <v>0</v>
      </c>
      <c r="AL145" s="81">
        <f>IF(AND(A145&lt;&gt;"",U145&gt;0),SUM(U145,$AL$8)/$AL$2*100,"")</f>
        <v>90.5</v>
      </c>
      <c r="AM145" s="24">
        <f>IF(AND(A145&lt;&gt;"",V145&gt;0),SUM(V145,$AM$8)/$AM$2*100,"")</f>
        <v>80.666666666666657</v>
      </c>
      <c r="AN145" s="24" t="str">
        <f>IF(AND(A145&lt;&gt;"",P145&lt;&gt;0),SUM(P145,$AN$8)/$AN$2*100,"")</f>
        <v/>
      </c>
      <c r="AO145" s="24" t="str">
        <f>IF(AND(A145&lt;&gt;"",Q145&lt;&gt;0),SUM(Q145,$AO$8)/$AO$2*100,"")</f>
        <v/>
      </c>
      <c r="AP145" s="24">
        <f>IF(AND(A145&lt;&gt;"",R145&lt;&gt;0),SUM(R145,$AP$8)/$AP$2*100,"")</f>
        <v>79.002659574468083</v>
      </c>
      <c r="AQ145" s="24" t="str">
        <f>IF(AND(A145&lt;&gt;"",W145&gt;0),SUM(W145,$AQ$8)/$AQ$2*100,"")</f>
        <v/>
      </c>
      <c r="AR145" s="24">
        <f>IF(AND(A145&lt;&gt;"",T145&gt;0),SUM(T145,$AR$8)/$AR$2*100,"")</f>
        <v>69.03047091412742</v>
      </c>
      <c r="AS145" s="24">
        <f>IF(AND(A145&lt;&gt;"",X145&lt;&gt;0),SUM(X145,$AS$8)/$AS$2*100,"")</f>
        <v>73.019346378263677</v>
      </c>
      <c r="AT145" s="86">
        <f>IF(A145&lt;&gt;"",SUM(W145:X145,$AT$8)/$AT$2*100,"")</f>
        <v>73.019346378263677</v>
      </c>
      <c r="AU145" s="24">
        <f>AA145</f>
        <v>79.10967318913184</v>
      </c>
      <c r="AV145" s="24"/>
      <c r="AW145" s="27">
        <f>IF(A145&lt;&gt;"",AE145-AA145,"")</f>
        <v>-6.090326810868163</v>
      </c>
      <c r="AY145" s="27">
        <f>AR145-AP145</f>
        <v>-9.9721886603406631</v>
      </c>
      <c r="AZ145" s="27">
        <f>ABS(AY145)</f>
        <v>9.9721886603406631</v>
      </c>
    </row>
    <row r="146" spans="1:52" s="27" customFormat="1" ht="12.75" customHeight="1" x14ac:dyDescent="0.2">
      <c r="A146" s="10">
        <v>353908</v>
      </c>
      <c r="B146" s="2">
        <v>23</v>
      </c>
      <c r="C146" s="10">
        <v>25</v>
      </c>
      <c r="D146" s="10">
        <v>20</v>
      </c>
      <c r="E146" s="10">
        <v>20</v>
      </c>
      <c r="F146" s="10">
        <v>22</v>
      </c>
      <c r="G146" s="10">
        <v>9</v>
      </c>
      <c r="H146" s="10">
        <v>9</v>
      </c>
      <c r="I146" s="10">
        <v>24</v>
      </c>
      <c r="J146" s="2"/>
      <c r="K146" s="10">
        <v>59</v>
      </c>
      <c r="L146" s="10">
        <v>48</v>
      </c>
      <c r="M146" s="10">
        <v>9</v>
      </c>
      <c r="N146" s="51">
        <v>25</v>
      </c>
      <c r="O146" s="11">
        <v>56</v>
      </c>
      <c r="P146" s="40"/>
      <c r="Q146" s="40"/>
      <c r="R146" s="2">
        <v>123</v>
      </c>
      <c r="S146" s="10">
        <f>IF(T146="",R146,MAX((R146+$R$8)/$R$2,(T146+$T$8)/$T$2)*$R$2-$R$8)</f>
        <v>125.05562267931867</v>
      </c>
      <c r="T146" s="12">
        <v>185</v>
      </c>
      <c r="U146" s="7">
        <f>IF(A146&lt;&gt;"",SUM(B146:I146),"")</f>
        <v>152</v>
      </c>
      <c r="V146" s="10">
        <f>IF(A146&lt;&gt;"",SUM(J146:O146),"")</f>
        <v>197</v>
      </c>
      <c r="W146" s="10">
        <f>IF(A146&lt;&gt;"",SUM(P146:Q146),"")</f>
        <v>0</v>
      </c>
      <c r="X146" s="10">
        <f>IF(A146&lt;&gt;"",SUM(S146:T146),"")</f>
        <v>310.05562267931867</v>
      </c>
      <c r="Y146" s="12">
        <v>3</v>
      </c>
      <c r="Z146" s="12">
        <f>IF(A146&lt;&gt;"",SUM(U146:Y146),"")</f>
        <v>662.05562267931873</v>
      </c>
      <c r="AA146" s="27">
        <f>IF(A146&lt;&gt;"",(Z146+Normalize_To_Add)/(Point_Total_So_Far)*100,"")</f>
        <v>73.715235457063713</v>
      </c>
      <c r="AB146" s="10">
        <f>IF(A146&lt;&gt;"",RANK(AA146,All_Student_XC),"")</f>
        <v>283</v>
      </c>
      <c r="AC146" s="31" t="str">
        <f>IF(A146&lt;&gt;"",CHOOSE(10-MIN(9,TRUNC((AA146+0.5)/10)),"A","B","C","D","F","F","F","F","F","F"),"")</f>
        <v>C</v>
      </c>
      <c r="AD146" s="31" t="str">
        <f>IF(A146&lt;&gt;"",IF(OR(AA146+0.5&gt;=93,AA146+0.5&lt;60),"",IF(MOD(AA146+0.5,10)&gt;=7,"+",IF(MOD(AA146+0.5,10)&lt;3,"-",""))),"")</f>
        <v/>
      </c>
      <c r="AE146" s="31">
        <f>IF(A146&lt;&gt;"",SUM(W146:X146,$W$8:$X$8)/SUM($W$2:$X$2)*100,"")</f>
        <v>77.03047091412742</v>
      </c>
      <c r="AF146" s="31" t="str">
        <f>IF(A146&lt;&gt;"",CHOOSE(10-MIN(9,TRUNC((AE146+0.5)/10)),"A","B","C","D","F","F","F","F","F","F"),"")</f>
        <v>C</v>
      </c>
      <c r="AG146" s="31" t="str">
        <f>IF(A146&lt;&gt;"",IF(OR(AE146+0.5&gt;=93,AE146+0.5&lt;60),"",IF(MOD(AE146+0.5,10)&gt;=7,"+",IF(MOD(AE146+0.5,10)&lt;3,"-",""))),"")</f>
        <v>+</v>
      </c>
      <c r="AH146" s="35">
        <f>IF(A146&lt;&gt;"",MIN(MAX(AA146,AE146),AA146+$AH$8,AE146+$AH$8),"")</f>
        <v>77.03047091412742</v>
      </c>
      <c r="AI146" s="31" t="str">
        <f>IF(A146&lt;&gt;"",CHOOSE(10-MIN(9,TRUNC((AH146+0.5)/10)),"A","B","C","D","F","F","F","F","F","F"),"")</f>
        <v>C</v>
      </c>
      <c r="AJ146" s="31" t="str">
        <f>IF(A146&lt;&gt;"",IF(OR(AH146+0.5&gt;=93,AH146+0.5&lt;60),"",IF(MOD(AH146+0.5,10)&gt;=7,"+",IF(MOD(AH146+0.5,10)&lt;3,"-",""))),"")</f>
        <v>+</v>
      </c>
      <c r="AK146" s="31" t="b">
        <f>IF(A146&lt;&gt;"",OR(AI146&lt;&gt;AC146,AJ146&lt;&gt;AD146),"")</f>
        <v>1</v>
      </c>
      <c r="AL146" s="81">
        <f>IF(AND(A146&lt;&gt;"",U146&gt;0),SUM(U146,$AL$8)/$AL$2*100,"")</f>
        <v>76</v>
      </c>
      <c r="AM146" s="24">
        <f>IF(AND(A146&lt;&gt;"",V146&gt;0),SUM(V146,$AM$8)/$AM$2*100,"")</f>
        <v>65.666666666666657</v>
      </c>
      <c r="AN146" s="24" t="str">
        <f>IF(AND(A146&lt;&gt;"",P146&lt;&gt;0),SUM(P146,$AN$8)/$AN$2*100,"")</f>
        <v/>
      </c>
      <c r="AO146" s="24" t="str">
        <f>IF(AND(A146&lt;&gt;"",Q146&lt;&gt;0),SUM(Q146,$AO$8)/$AO$2*100,"")</f>
        <v/>
      </c>
      <c r="AP146" s="24">
        <f>IF(AND(A146&lt;&gt;"",R146&lt;&gt;0),SUM(R146,$AP$8)/$AP$2*100,"")</f>
        <v>76.002659574468083</v>
      </c>
      <c r="AQ146" s="24" t="str">
        <f>IF(AND(A146&lt;&gt;"",W146&gt;0),SUM(W146,$AQ$8)/$AQ$2*100,"")</f>
        <v/>
      </c>
      <c r="AR146" s="24">
        <f>IF(AND(A146&lt;&gt;"",T146&gt;0),SUM(T146,$AR$8)/$AR$2*100,"")</f>
        <v>77.03047091412742</v>
      </c>
      <c r="AS146" s="24">
        <f>IF(AND(A146&lt;&gt;"",X146&lt;&gt;0),SUM(X146,$AS$8)/$AS$2*100,"")</f>
        <v>77.03047091412742</v>
      </c>
      <c r="AT146" s="86">
        <f>IF(A146&lt;&gt;"",SUM(W146:X146,$AT$8)/$AT$2*100,"")</f>
        <v>77.03047091412742</v>
      </c>
      <c r="AU146" s="24">
        <f>AA146</f>
        <v>73.715235457063713</v>
      </c>
      <c r="AV146" s="24"/>
      <c r="AW146" s="27">
        <f>IF(A146&lt;&gt;"",AE146-AA146,"")</f>
        <v>3.3152354570637073</v>
      </c>
      <c r="AY146" s="27">
        <f>AR146-AP146</f>
        <v>1.0278113396593369</v>
      </c>
      <c r="AZ146" s="27">
        <f>ABS(AY146)</f>
        <v>1.0278113396593369</v>
      </c>
    </row>
    <row r="147" spans="1:52" s="27" customFormat="1" ht="12.75" customHeight="1" x14ac:dyDescent="0.2">
      <c r="A147" s="50">
        <v>354274</v>
      </c>
      <c r="B147" s="2">
        <v>4</v>
      </c>
      <c r="C147" s="50">
        <v>21</v>
      </c>
      <c r="D147" s="10">
        <v>16</v>
      </c>
      <c r="E147" s="10">
        <v>18</v>
      </c>
      <c r="F147" s="10">
        <v>23</v>
      </c>
      <c r="G147" s="10">
        <v>25</v>
      </c>
      <c r="H147" s="10">
        <v>10</v>
      </c>
      <c r="I147" s="10" t="s">
        <v>69</v>
      </c>
      <c r="J147" s="2"/>
      <c r="K147" s="10" t="s">
        <v>69</v>
      </c>
      <c r="L147" s="10">
        <v>37</v>
      </c>
      <c r="M147" s="10">
        <v>8</v>
      </c>
      <c r="N147" s="51">
        <v>10</v>
      </c>
      <c r="O147" s="11" t="s">
        <v>69</v>
      </c>
      <c r="P147" s="10"/>
      <c r="Q147" s="40"/>
      <c r="R147" s="2">
        <v>113</v>
      </c>
      <c r="S147" s="10">
        <f>IF(T147="",R147,MAX((R147+$R$8)/$R$2,(T147+$T$8)/$T$2)*$R$2-$R$8)</f>
        <v>113</v>
      </c>
      <c r="T147" s="62" t="s">
        <v>69</v>
      </c>
      <c r="U147" s="10">
        <f>IF(A147&lt;&gt;"",SUM(B147:I147),"")</f>
        <v>117</v>
      </c>
      <c r="V147" s="10">
        <f>IF(A147&lt;&gt;"",SUM(J147:O147),"")</f>
        <v>55</v>
      </c>
      <c r="W147" s="10">
        <f>IF(A147&lt;&gt;"",SUM(P147:Q147),"")</f>
        <v>0</v>
      </c>
      <c r="X147" s="10">
        <f>IF(A147&lt;&gt;"",SUM(S147:T147),"")</f>
        <v>113</v>
      </c>
      <c r="Y147" s="12">
        <v>3</v>
      </c>
      <c r="Z147" s="12">
        <f>IF(A147&lt;&gt;"",SUM(U147:Y147),"")</f>
        <v>288</v>
      </c>
      <c r="AA147" s="27">
        <f>IF(A147&lt;&gt;"",(Z147+Normalize_To_Add)/(Point_Total_So_Far)*100,"")</f>
        <v>36.309673189131843</v>
      </c>
      <c r="AB147" s="10">
        <f>IF(A147&lt;&gt;"",RANK(AA147,All_Student_XC),"")</f>
        <v>367</v>
      </c>
      <c r="AC147" s="31" t="str">
        <f>IF(A147&lt;&gt;"",CHOOSE(10-MIN(9,TRUNC((AA147+0.5)/10)),"A","B","C","D","F","F","F","F","F","F"),"")</f>
        <v>F</v>
      </c>
      <c r="AD147" s="31" t="str">
        <f>IF(A147&lt;&gt;"",IF(OR(AA147+0.5&gt;=93,AA147+0.5&lt;60),"",IF(MOD(AA147+0.5,10)&gt;=7,"+",IF(MOD(AA147+0.5,10)&lt;3,"-",""))),"")</f>
        <v/>
      </c>
      <c r="AE147" s="31">
        <f>IF(A147&lt;&gt;"",SUM(W147:X147,$W$8:$X$8)/SUM($W$2:$X$2)*100,"")</f>
        <v>37.619346378263685</v>
      </c>
      <c r="AF147" s="43" t="str">
        <f>IF(A147&lt;&gt;"",CHOOSE(10-MIN(9,TRUNC((AE147+0.5)/10)),"A","B","C","D","F","F","F","F","F","F"),"")</f>
        <v>F</v>
      </c>
      <c r="AG147" s="43" t="str">
        <f>IF(A147&lt;&gt;"",IF(OR(AE147+0.5&gt;=93,AE147+0.5&lt;60),"",IF(MOD(AE147+0.5,10)&gt;=7,"+",IF(MOD(AE147+0.5,10)&lt;3,"-",""))),"")</f>
        <v/>
      </c>
      <c r="AH147" s="35">
        <f>IF(A147&lt;&gt;"",MIN(MAX(AA147,AE147),AA147+$AH$8,AE147+$AH$8),"")</f>
        <v>37.619346378263685</v>
      </c>
      <c r="AI147" s="31" t="str">
        <f>IF(A147&lt;&gt;"",CHOOSE(10-MIN(9,TRUNC((AH147+0.5)/10)),"A","B","C","D","F","F","F","F","F","F"),"")</f>
        <v>F</v>
      </c>
      <c r="AJ147" s="31" t="str">
        <f>IF(A147&lt;&gt;"",IF(OR(AH147+0.5&gt;=93,AH147+0.5&lt;60),"",IF(MOD(AH147+0.5,10)&gt;=7,"+",IF(MOD(AH147+0.5,10)&lt;3,"-",""))),"")</f>
        <v/>
      </c>
      <c r="AK147" s="31" t="b">
        <f>IF(A147&lt;&gt;"",OR(AI147&lt;&gt;AC147,AJ147&lt;&gt;AD147),"")</f>
        <v>0</v>
      </c>
      <c r="AL147" s="81">
        <f>IF(AND(A147&lt;&gt;"",U147&gt;0),SUM(U147,$AL$8)/$AL$2*100,"")</f>
        <v>58.5</v>
      </c>
      <c r="AM147" s="24">
        <f>IF(AND(A147&lt;&gt;"",V147&gt;0),SUM(V147,$AM$8)/$AM$2*100,"")</f>
        <v>18.333333333333332</v>
      </c>
      <c r="AN147" s="24" t="str">
        <f>IF(AND(A147&lt;&gt;"",P147&lt;&gt;0),SUM(P147,$AN$8)/$AN$2*100,"")</f>
        <v/>
      </c>
      <c r="AO147" s="24" t="str">
        <f>IF(AND(A147&lt;&gt;"",Q147&lt;&gt;0),SUM(Q147,$AO$8)/$AO$2*100,"")</f>
        <v/>
      </c>
      <c r="AP147" s="24">
        <f>IF(AND(A147&lt;&gt;"",R147&lt;&gt;0),SUM(R147,$AP$8)/$AP$2*100,"")</f>
        <v>71.002659574468083</v>
      </c>
      <c r="AQ147" s="24" t="str">
        <f>IF(AND(A147&lt;&gt;"",W147&gt;0),SUM(W147,$AQ$8)/$AQ$2*100,"")</f>
        <v/>
      </c>
      <c r="AR147" s="24">
        <f>IF(AND(A147&lt;&gt;"",T147&gt;0),SUM(T147,$AR$8)/$AR$2*100,"")</f>
        <v>15.363804247460756</v>
      </c>
      <c r="AS147" s="24">
        <f>IF(AND(A147&lt;&gt;"",X147&lt;&gt;0),SUM(X147,$AS$8)/$AS$2*100,"")</f>
        <v>37.619346378263685</v>
      </c>
      <c r="AT147" s="86">
        <f>IF(A147&lt;&gt;"",SUM(W147:X147,$AT$8)/$AT$2*100,"")</f>
        <v>37.619346378263685</v>
      </c>
      <c r="AU147" s="24">
        <f>AA147</f>
        <v>36.309673189131843</v>
      </c>
      <c r="AV147" s="24"/>
      <c r="AW147" s="27">
        <f>IF(A147&lt;&gt;"",AE147-AA147,"")</f>
        <v>1.3096731891318427</v>
      </c>
      <c r="AY147" s="27">
        <f>AR147-AP147</f>
        <v>-55.638855327007327</v>
      </c>
      <c r="AZ147" s="27">
        <f>ABS(AY147)</f>
        <v>55.638855327007327</v>
      </c>
    </row>
    <row r="148" spans="1:52" s="27" customFormat="1" ht="12.75" customHeight="1" x14ac:dyDescent="0.2">
      <c r="A148" s="50">
        <v>357272</v>
      </c>
      <c r="B148" s="2">
        <v>25</v>
      </c>
      <c r="C148" s="50">
        <v>25</v>
      </c>
      <c r="D148" s="10">
        <v>24</v>
      </c>
      <c r="E148" s="10">
        <v>22</v>
      </c>
      <c r="F148" s="10">
        <v>24</v>
      </c>
      <c r="G148" s="10">
        <v>25</v>
      </c>
      <c r="H148" s="10">
        <v>24</v>
      </c>
      <c r="I148" s="10">
        <v>25</v>
      </c>
      <c r="J148" s="2"/>
      <c r="K148" s="10">
        <v>61</v>
      </c>
      <c r="L148" s="10">
        <v>60</v>
      </c>
      <c r="M148" s="10">
        <v>60</v>
      </c>
      <c r="N148" s="51">
        <v>55</v>
      </c>
      <c r="O148" s="11">
        <v>62</v>
      </c>
      <c r="P148" s="10"/>
      <c r="Q148" s="40"/>
      <c r="R148" s="2">
        <v>116</v>
      </c>
      <c r="S148" s="10">
        <f>IF(T148="",R148,MAX((R148+$R$8)/$R$2,(T148+$T$8)/$T$2)*$R$2-$R$8)</f>
        <v>152.38895601265202</v>
      </c>
      <c r="T148" s="62">
        <v>226</v>
      </c>
      <c r="U148" s="10">
        <f>IF(A148&lt;&gt;"",SUM(B148:I148),"")</f>
        <v>194</v>
      </c>
      <c r="V148" s="10">
        <f>IF(A148&lt;&gt;"",SUM(J148:O148),"")</f>
        <v>298</v>
      </c>
      <c r="W148" s="10">
        <f>IF(A148&lt;&gt;"",SUM(P148:Q148),"")</f>
        <v>0</v>
      </c>
      <c r="X148" s="10">
        <f>IF(A148&lt;&gt;"",SUM(S148:T148),"")</f>
        <v>378.38895601265199</v>
      </c>
      <c r="Y148" s="12">
        <v>3</v>
      </c>
      <c r="Z148" s="12">
        <f>IF(A148&lt;&gt;"",SUM(U148:Y148),"")</f>
        <v>873.38895601265199</v>
      </c>
      <c r="AA148" s="27">
        <f>IF(A148&lt;&gt;"",(Z148+Normalize_To_Add)/(Point_Total_So_Far)*100,"")</f>
        <v>94.848568790397039</v>
      </c>
      <c r="AB148" s="10">
        <f>IF(A148&lt;&gt;"",RANK(AA148,All_Student_XC),"")</f>
        <v>33</v>
      </c>
      <c r="AC148" s="31" t="str">
        <f>IF(A148&lt;&gt;"",CHOOSE(10-MIN(9,TRUNC((AA148+0.5)/10)),"A","B","C","D","F","F","F","F","F","F"),"")</f>
        <v>A</v>
      </c>
      <c r="AD148" s="31" t="str">
        <f>IF(A148&lt;&gt;"",IF(OR(AA148+0.5&gt;=93,AA148+0.5&lt;60),"",IF(MOD(AA148+0.5,10)&gt;=7,"+",IF(MOD(AA148+0.5,10)&lt;3,"-",""))),"")</f>
        <v/>
      </c>
      <c r="AE148" s="31">
        <f>IF(A148&lt;&gt;"",SUM(W148:X148,$W$8:$X$8)/SUM($W$2:$X$2)*100,"")</f>
        <v>90.697137580794092</v>
      </c>
      <c r="AF148" s="43" t="str">
        <f>IF(A148&lt;&gt;"",CHOOSE(10-MIN(9,TRUNC((AE148+0.5)/10)),"A","B","C","D","F","F","F","F","F","F"),"")</f>
        <v>A</v>
      </c>
      <c r="AG148" s="43" t="str">
        <f>IF(A148&lt;&gt;"",IF(OR(AE148+0.5&gt;=93,AE148+0.5&lt;60),"",IF(MOD(AE148+0.5,10)&gt;=7,"+",IF(MOD(AE148+0.5,10)&lt;3,"-",""))),"")</f>
        <v>-</v>
      </c>
      <c r="AH148" s="35">
        <f>IF(A148&lt;&gt;"",MIN(MAX(AA148,AE148),AA148+$AH$8,AE148+$AH$8),"")</f>
        <v>94.848568790397039</v>
      </c>
      <c r="AI148" s="31" t="str">
        <f>IF(A148&lt;&gt;"",CHOOSE(10-MIN(9,TRUNC((AH148+0.5)/10)),"A","B","C","D","F","F","F","F","F","F"),"")</f>
        <v>A</v>
      </c>
      <c r="AJ148" s="31" t="str">
        <f>IF(A148&lt;&gt;"",IF(OR(AH148+0.5&gt;=93,AH148+0.5&lt;60),"",IF(MOD(AH148+0.5,10)&gt;=7,"+",IF(MOD(AH148+0.5,10)&lt;3,"-",""))),"")</f>
        <v/>
      </c>
      <c r="AK148" s="31" t="b">
        <f>IF(A148&lt;&gt;"",OR(AI148&lt;&gt;AC148,AJ148&lt;&gt;AD148),"")</f>
        <v>0</v>
      </c>
      <c r="AL148" s="81">
        <f>IF(AND(A148&lt;&gt;"",U148&gt;0),SUM(U148,$AL$8)/$AL$2*100,"")</f>
        <v>97</v>
      </c>
      <c r="AM148" s="24">
        <f>IF(AND(A148&lt;&gt;"",V148&gt;0),SUM(V148,$AM$8)/$AM$2*100,"")</f>
        <v>99.333333333333329</v>
      </c>
      <c r="AN148" s="24" t="str">
        <f>IF(AND(A148&lt;&gt;"",P148&lt;&gt;0),SUM(P148,$AN$8)/$AN$2*100,"")</f>
        <v/>
      </c>
      <c r="AO148" s="24" t="str">
        <f>IF(AND(A148&lt;&gt;"",Q148&lt;&gt;0),SUM(Q148,$AO$8)/$AO$2*100,"")</f>
        <v/>
      </c>
      <c r="AP148" s="24">
        <f>IF(AND(A148&lt;&gt;"",R148&lt;&gt;0),SUM(R148,$AP$8)/$AP$2*100,"")</f>
        <v>72.502659574468083</v>
      </c>
      <c r="AQ148" s="24" t="str">
        <f>IF(AND(A148&lt;&gt;"",W148&gt;0),SUM(W148,$AQ$8)/$AQ$2*100,"")</f>
        <v/>
      </c>
      <c r="AR148" s="24">
        <f>IF(AND(A148&lt;&gt;"",T148&gt;0),SUM(T148,$AR$8)/$AR$2*100,"")</f>
        <v>90.697137580794092</v>
      </c>
      <c r="AS148" s="24">
        <f>IF(AND(A148&lt;&gt;"",X148&lt;&gt;0),SUM(X148,$AS$8)/$AS$2*100,"")</f>
        <v>90.697137580794092</v>
      </c>
      <c r="AT148" s="86">
        <f>IF(A148&lt;&gt;"",SUM(W148:X148,$AT$8)/$AT$2*100,"")</f>
        <v>90.697137580794092</v>
      </c>
      <c r="AU148" s="24">
        <f>AA148</f>
        <v>94.848568790397039</v>
      </c>
      <c r="AV148" s="24"/>
      <c r="AW148" s="27">
        <f>IF(A148&lt;&gt;"",AE148-AA148,"")</f>
        <v>-4.1514312096029471</v>
      </c>
      <c r="AY148" s="27">
        <f>AR148-AP148</f>
        <v>18.194478006326008</v>
      </c>
      <c r="AZ148" s="27">
        <f>ABS(AY148)</f>
        <v>18.194478006326008</v>
      </c>
    </row>
    <row r="149" spans="1:52" s="27" customFormat="1" ht="12.75" customHeight="1" x14ac:dyDescent="0.2">
      <c r="A149" s="50">
        <v>360576</v>
      </c>
      <c r="B149" s="2">
        <v>25</v>
      </c>
      <c r="C149" s="50">
        <v>18</v>
      </c>
      <c r="D149" s="10">
        <v>21</v>
      </c>
      <c r="E149" s="10">
        <v>18</v>
      </c>
      <c r="F149" s="10">
        <v>16</v>
      </c>
      <c r="G149" s="10" t="s">
        <v>69</v>
      </c>
      <c r="H149" s="10" t="s">
        <v>69</v>
      </c>
      <c r="I149" s="10">
        <v>25</v>
      </c>
      <c r="J149" s="2"/>
      <c r="K149" s="10">
        <v>53</v>
      </c>
      <c r="L149" s="10">
        <v>41</v>
      </c>
      <c r="M149" s="10">
        <v>59</v>
      </c>
      <c r="N149" s="51">
        <v>49</v>
      </c>
      <c r="O149" s="11">
        <v>45</v>
      </c>
      <c r="P149" s="10"/>
      <c r="Q149" s="40"/>
      <c r="R149" s="2">
        <v>138</v>
      </c>
      <c r="S149" s="10">
        <f>IF(T149="",R149,MAX((R149+$R$8)/$R$2,(T149+$T$8)/$T$2)*$R$2-$R$8)</f>
        <v>138</v>
      </c>
      <c r="T149" s="62">
        <v>126</v>
      </c>
      <c r="U149" s="10">
        <f>IF(A149&lt;&gt;"",SUM(B149:I149),"")</f>
        <v>123</v>
      </c>
      <c r="V149" s="10">
        <f>IF(A149&lt;&gt;"",SUM(J149:O149),"")</f>
        <v>247</v>
      </c>
      <c r="W149" s="10">
        <f>IF(A149&lt;&gt;"",SUM(P149:Q149),"")</f>
        <v>0</v>
      </c>
      <c r="X149" s="10">
        <f>IF(A149&lt;&gt;"",SUM(S149:T149),"")</f>
        <v>264</v>
      </c>
      <c r="Y149" s="12" t="s">
        <v>69</v>
      </c>
      <c r="Z149" s="12">
        <f>IF(A149&lt;&gt;"",SUM(U149:Y149),"")</f>
        <v>634</v>
      </c>
      <c r="AA149" s="27">
        <f>IF(A149&lt;&gt;"",(Z149+Normalize_To_Add)/(Point_Total_So_Far)*100,"")</f>
        <v>70.909673189131837</v>
      </c>
      <c r="AB149" s="10">
        <f>IF(A149&lt;&gt;"",RANK(AA149,All_Student_XC),"")</f>
        <v>304</v>
      </c>
      <c r="AC149" s="31" t="str">
        <f>IF(A149&lt;&gt;"",CHOOSE(10-MIN(9,TRUNC((AA149+0.5)/10)),"A","B","C","D","F","F","F","F","F","F"),"")</f>
        <v>C</v>
      </c>
      <c r="AD149" s="31" t="str">
        <f>IF(A149&lt;&gt;"",IF(OR(AA149+0.5&gt;=93,AA149+0.5&lt;60),"",IF(MOD(AA149+0.5,10)&gt;=7,"+",IF(MOD(AA149+0.5,10)&lt;3,"-",""))),"")</f>
        <v>-</v>
      </c>
      <c r="AE149" s="31">
        <f>IF(A149&lt;&gt;"",SUM(W149:X149,$W$8:$X$8)/SUM($W$2:$X$2)*100,"")</f>
        <v>67.819346378263688</v>
      </c>
      <c r="AF149" s="43" t="str">
        <f>IF(A149&lt;&gt;"",CHOOSE(10-MIN(9,TRUNC((AE149+0.5)/10)),"A","B","C","D","F","F","F","F","F","F"),"")</f>
        <v>D</v>
      </c>
      <c r="AG149" s="43" t="str">
        <f>IF(A149&lt;&gt;"",IF(OR(AE149+0.5&gt;=93,AE149+0.5&lt;60),"",IF(MOD(AE149+0.5,10)&gt;=7,"+",IF(MOD(AE149+0.5,10)&lt;3,"-",""))),"")</f>
        <v>+</v>
      </c>
      <c r="AH149" s="35">
        <f>IF(A149&lt;&gt;"",MIN(MAX(AA149,AE149),AA149+$AH$8,AE149+$AH$8),"")</f>
        <v>70.909673189131837</v>
      </c>
      <c r="AI149" s="31" t="str">
        <f>IF(A149&lt;&gt;"",CHOOSE(10-MIN(9,TRUNC((AH149+0.5)/10)),"A","B","C","D","F","F","F","F","F","F"),"")</f>
        <v>C</v>
      </c>
      <c r="AJ149" s="31" t="str">
        <f>IF(A149&lt;&gt;"",IF(OR(AH149+0.5&gt;=93,AH149+0.5&lt;60),"",IF(MOD(AH149+0.5,10)&gt;=7,"+",IF(MOD(AH149+0.5,10)&lt;3,"-",""))),"")</f>
        <v>-</v>
      </c>
      <c r="AK149" s="31" t="b">
        <f>IF(A149&lt;&gt;"",OR(AI149&lt;&gt;AC149,AJ149&lt;&gt;AD149),"")</f>
        <v>0</v>
      </c>
      <c r="AL149" s="81">
        <f>IF(AND(A149&lt;&gt;"",U149&gt;0),SUM(U149,$AL$8)/$AL$2*100,"")</f>
        <v>61.5</v>
      </c>
      <c r="AM149" s="24">
        <f>IF(AND(A149&lt;&gt;"",V149&gt;0),SUM(V149,$AM$8)/$AM$2*100,"")</f>
        <v>82.333333333333343</v>
      </c>
      <c r="AN149" s="24" t="str">
        <f>IF(AND(A149&lt;&gt;"",P149&lt;&gt;0),SUM(P149,$AN$8)/$AN$2*100,"")</f>
        <v/>
      </c>
      <c r="AO149" s="24" t="str">
        <f>IF(AND(A149&lt;&gt;"",Q149&lt;&gt;0),SUM(Q149,$AO$8)/$AO$2*100,"")</f>
        <v/>
      </c>
      <c r="AP149" s="24">
        <f>IF(AND(A149&lt;&gt;"",R149&lt;&gt;0),SUM(R149,$AP$8)/$AP$2*100,"")</f>
        <v>83.502659574468083</v>
      </c>
      <c r="AQ149" s="24" t="str">
        <f>IF(AND(A149&lt;&gt;"",W149&gt;0),SUM(W149,$AQ$8)/$AQ$2*100,"")</f>
        <v/>
      </c>
      <c r="AR149" s="24">
        <f>IF(AND(A149&lt;&gt;"",T149&gt;0),SUM(T149,$AR$8)/$AR$2*100,"")</f>
        <v>57.363804247460756</v>
      </c>
      <c r="AS149" s="24">
        <f>IF(AND(A149&lt;&gt;"",X149&lt;&gt;0),SUM(X149,$AS$8)/$AS$2*100,"")</f>
        <v>67.819346378263688</v>
      </c>
      <c r="AT149" s="86">
        <f>IF(A149&lt;&gt;"",SUM(W149:X149,$AT$8)/$AT$2*100,"")</f>
        <v>67.819346378263688</v>
      </c>
      <c r="AU149" s="24">
        <f>AA149</f>
        <v>70.909673189131837</v>
      </c>
      <c r="AV149" s="24"/>
      <c r="AW149" s="27">
        <f>IF(A149&lt;&gt;"",AE149-AA149,"")</f>
        <v>-3.0903268108681488</v>
      </c>
      <c r="AY149" s="27">
        <f>AR149-AP149</f>
        <v>-26.138855327007327</v>
      </c>
      <c r="AZ149" s="27">
        <f>ABS(AY149)</f>
        <v>26.138855327007327</v>
      </c>
    </row>
    <row r="150" spans="1:52" s="27" customFormat="1" ht="12.75" customHeight="1" x14ac:dyDescent="0.2">
      <c r="A150" s="50">
        <v>361904</v>
      </c>
      <c r="B150" s="2">
        <v>25</v>
      </c>
      <c r="C150" s="50">
        <v>25</v>
      </c>
      <c r="D150" s="10">
        <v>22</v>
      </c>
      <c r="E150" s="10">
        <v>21</v>
      </c>
      <c r="F150" s="10">
        <v>14</v>
      </c>
      <c r="G150" s="10">
        <v>25</v>
      </c>
      <c r="H150" s="10">
        <v>24</v>
      </c>
      <c r="I150" s="10">
        <v>17</v>
      </c>
      <c r="J150" s="2"/>
      <c r="K150" s="10">
        <v>62</v>
      </c>
      <c r="L150" s="10">
        <v>55</v>
      </c>
      <c r="M150" s="10">
        <v>56</v>
      </c>
      <c r="N150" s="51">
        <v>61</v>
      </c>
      <c r="O150" s="11">
        <v>62</v>
      </c>
      <c r="P150" s="10"/>
      <c r="Q150" s="40"/>
      <c r="R150" s="2">
        <v>132</v>
      </c>
      <c r="S150" s="10">
        <f>IF(T150="",R150,MAX((R150+$R$8)/$R$2,(T150+$T$8)/$T$2)*$R$2-$R$8)</f>
        <v>132</v>
      </c>
      <c r="T150" s="62">
        <v>173</v>
      </c>
      <c r="U150" s="10">
        <f>IF(A150&lt;&gt;"",SUM(B150:I150),"")</f>
        <v>173</v>
      </c>
      <c r="V150" s="10">
        <f>IF(A150&lt;&gt;"",SUM(J150:O150),"")</f>
        <v>296</v>
      </c>
      <c r="W150" s="10">
        <f>IF(A150&lt;&gt;"",SUM(P150:Q150),"")</f>
        <v>0</v>
      </c>
      <c r="X150" s="10">
        <f>IF(A150&lt;&gt;"",SUM(S150:T150),"")</f>
        <v>305</v>
      </c>
      <c r="Y150" s="12">
        <v>3</v>
      </c>
      <c r="Z150" s="12">
        <f>IF(A150&lt;&gt;"",SUM(U150:Y150),"")</f>
        <v>777</v>
      </c>
      <c r="AA150" s="27">
        <f>IF(A150&lt;&gt;"",(Z150+Normalize_To_Add)/(Point_Total_So_Far)*100,"")</f>
        <v>85.209673189131834</v>
      </c>
      <c r="AB150" s="10">
        <f>IF(A150&lt;&gt;"",RANK(AA150,All_Student_XC),"")</f>
        <v>156</v>
      </c>
      <c r="AC150" s="31" t="str">
        <f>IF(A150&lt;&gt;"",CHOOSE(10-MIN(9,TRUNC((AA150+0.5)/10)),"A","B","C","D","F","F","F","F","F","F"),"")</f>
        <v>B</v>
      </c>
      <c r="AD150" s="31" t="str">
        <f>IF(A150&lt;&gt;"",IF(OR(AA150+0.5&gt;=93,AA150+0.5&lt;60),"",IF(MOD(AA150+0.5,10)&gt;=7,"+",IF(MOD(AA150+0.5,10)&lt;3,"-",""))),"")</f>
        <v/>
      </c>
      <c r="AE150" s="31">
        <f>IF(A150&lt;&gt;"",SUM(W150:X150,$W$8:$X$8)/SUM($W$2:$X$2)*100,"")</f>
        <v>76.019346378263691</v>
      </c>
      <c r="AF150" s="43" t="str">
        <f>IF(A150&lt;&gt;"",CHOOSE(10-MIN(9,TRUNC((AE150+0.5)/10)),"A","B","C","D","F","F","F","F","F","F"),"")</f>
        <v>C</v>
      </c>
      <c r="AG150" s="43" t="str">
        <f>IF(A150&lt;&gt;"",IF(OR(AE150+0.5&gt;=93,AE150+0.5&lt;60),"",IF(MOD(AE150+0.5,10)&gt;=7,"+",IF(MOD(AE150+0.5,10)&lt;3,"-",""))),"")</f>
        <v/>
      </c>
      <c r="AH150" s="35">
        <f>IF(A150&lt;&gt;"",MIN(MAX(AA150,AE150),AA150+$AH$8,AE150+$AH$8),"")</f>
        <v>85.209673189131834</v>
      </c>
      <c r="AI150" s="31" t="str">
        <f>IF(A150&lt;&gt;"",CHOOSE(10-MIN(9,TRUNC((AH150+0.5)/10)),"A","B","C","D","F","F","F","F","F","F"),"")</f>
        <v>B</v>
      </c>
      <c r="AJ150" s="31" t="str">
        <f>IF(A150&lt;&gt;"",IF(OR(AH150+0.5&gt;=93,AH150+0.5&lt;60),"",IF(MOD(AH150+0.5,10)&gt;=7,"+",IF(MOD(AH150+0.5,10)&lt;3,"-",""))),"")</f>
        <v/>
      </c>
      <c r="AK150" s="31" t="b">
        <f>IF(A150&lt;&gt;"",OR(AI150&lt;&gt;AC150,AJ150&lt;&gt;AD150),"")</f>
        <v>0</v>
      </c>
      <c r="AL150" s="81">
        <f>IF(AND(A150&lt;&gt;"",U150&gt;0),SUM(U150,$AL$8)/$AL$2*100,"")</f>
        <v>86.5</v>
      </c>
      <c r="AM150" s="24">
        <f>IF(AND(A150&lt;&gt;"",V150&gt;0),SUM(V150,$AM$8)/$AM$2*100,"")</f>
        <v>98.666666666666671</v>
      </c>
      <c r="AN150" s="24" t="str">
        <f>IF(AND(A150&lt;&gt;"",P150&lt;&gt;0),SUM(P150,$AN$8)/$AN$2*100,"")</f>
        <v/>
      </c>
      <c r="AO150" s="24" t="str">
        <f>IF(AND(A150&lt;&gt;"",Q150&lt;&gt;0),SUM(Q150,$AO$8)/$AO$2*100,"")</f>
        <v/>
      </c>
      <c r="AP150" s="24">
        <f>IF(AND(A150&lt;&gt;"",R150&lt;&gt;0),SUM(R150,$AP$8)/$AP$2*100,"")</f>
        <v>80.502659574468083</v>
      </c>
      <c r="AQ150" s="24" t="str">
        <f>IF(AND(A150&lt;&gt;"",W150&gt;0),SUM(W150,$AQ$8)/$AQ$2*100,"")</f>
        <v/>
      </c>
      <c r="AR150" s="24">
        <f>IF(AND(A150&lt;&gt;"",T150&gt;0),SUM(T150,$AR$8)/$AR$2*100,"")</f>
        <v>73.03047091412742</v>
      </c>
      <c r="AS150" s="24">
        <f>IF(AND(A150&lt;&gt;"",X150&lt;&gt;0),SUM(X150,$AS$8)/$AS$2*100,"")</f>
        <v>76.019346378263691</v>
      </c>
      <c r="AT150" s="86">
        <f>IF(A150&lt;&gt;"",SUM(W150:X150,$AT$8)/$AT$2*100,"")</f>
        <v>76.019346378263691</v>
      </c>
      <c r="AU150" s="24">
        <f>AA150</f>
        <v>85.209673189131834</v>
      </c>
      <c r="AV150" s="24"/>
      <c r="AW150" s="27">
        <f>IF(A150&lt;&gt;"",AE150-AA150,"")</f>
        <v>-9.1903268108681431</v>
      </c>
      <c r="AY150" s="27">
        <f>AR150-AP150</f>
        <v>-7.4721886603406631</v>
      </c>
      <c r="AZ150" s="27">
        <f>ABS(AY150)</f>
        <v>7.4721886603406631</v>
      </c>
    </row>
    <row r="151" spans="1:52" s="27" customFormat="1" ht="12.75" customHeight="1" x14ac:dyDescent="0.2">
      <c r="A151" s="10">
        <v>366402</v>
      </c>
      <c r="B151" s="2">
        <v>25</v>
      </c>
      <c r="C151" s="10">
        <v>23</v>
      </c>
      <c r="D151" s="10">
        <v>19</v>
      </c>
      <c r="E151" s="10">
        <v>24</v>
      </c>
      <c r="F151" s="10">
        <v>23</v>
      </c>
      <c r="G151" s="10">
        <v>23</v>
      </c>
      <c r="H151" s="10">
        <v>19</v>
      </c>
      <c r="I151" s="10">
        <v>24</v>
      </c>
      <c r="J151" s="2"/>
      <c r="K151" s="10">
        <v>63</v>
      </c>
      <c r="L151" s="10">
        <v>59</v>
      </c>
      <c r="M151" s="10">
        <v>58</v>
      </c>
      <c r="N151" s="51">
        <v>48</v>
      </c>
      <c r="O151" s="11">
        <v>60</v>
      </c>
      <c r="Q151" s="40"/>
      <c r="R151" s="2">
        <v>136</v>
      </c>
      <c r="S151" s="10">
        <f>IF(T151="",R151,MAX((R151+$R$8)/$R$2,(T151+$T$8)/$T$2)*$R$2-$R$8)</f>
        <v>136</v>
      </c>
      <c r="T151" s="12">
        <v>192</v>
      </c>
      <c r="U151" s="7">
        <f>IF(A151&lt;&gt;"",SUM(B151:I151),"")</f>
        <v>180</v>
      </c>
      <c r="V151" s="10">
        <f>IF(A151&lt;&gt;"",SUM(J151:O151),"")</f>
        <v>288</v>
      </c>
      <c r="W151" s="10">
        <f>IF(A151&lt;&gt;"",SUM(P151:Q151),"")</f>
        <v>0</v>
      </c>
      <c r="X151" s="10">
        <f>IF(A151&lt;&gt;"",SUM(S151:T151),"")</f>
        <v>328</v>
      </c>
      <c r="Y151" s="12">
        <v>3</v>
      </c>
      <c r="Z151" s="12">
        <f>IF(A151&lt;&gt;"",SUM(U151:Y151),"")</f>
        <v>799</v>
      </c>
      <c r="AA151" s="27">
        <f>IF(A151&lt;&gt;"",(Z151+Normalize_To_Add)/(Point_Total_So_Far)*100,"")</f>
        <v>87.409673189131837</v>
      </c>
      <c r="AB151" s="10">
        <f>IF(A151&lt;&gt;"",RANK(AA151,All_Student_XC),"")</f>
        <v>119</v>
      </c>
      <c r="AC151" s="31" t="str">
        <f>IF(A151&lt;&gt;"",CHOOSE(10-MIN(9,TRUNC((AA151+0.5)/10)),"A","B","C","D","F","F","F","F","F","F"),"")</f>
        <v>B</v>
      </c>
      <c r="AD151" s="31" t="str">
        <f>IF(A151&lt;&gt;"",IF(OR(AA151+0.5&gt;=93,AA151+0.5&lt;60),"",IF(MOD(AA151+0.5,10)&gt;=7,"+",IF(MOD(AA151+0.5,10)&lt;3,"-",""))),"")</f>
        <v>+</v>
      </c>
      <c r="AE151" s="31">
        <f>IF(A151&lt;&gt;"",SUM(W151:X151,$W$8:$X$8)/SUM($W$2:$X$2)*100,"")</f>
        <v>80.619346378263685</v>
      </c>
      <c r="AF151" s="31" t="str">
        <f>IF(A151&lt;&gt;"",CHOOSE(10-MIN(9,TRUNC((AE151+0.5)/10)),"A","B","C","D","F","F","F","F","F","F"),"")</f>
        <v>B</v>
      </c>
      <c r="AG151" s="31" t="str">
        <f>IF(A151&lt;&gt;"",IF(OR(AE151+0.5&gt;=93,AE151+0.5&lt;60),"",IF(MOD(AE151+0.5,10)&gt;=7,"+",IF(MOD(AE151+0.5,10)&lt;3,"-",""))),"")</f>
        <v>-</v>
      </c>
      <c r="AH151" s="35">
        <f>IF(A151&lt;&gt;"",MIN(MAX(AA151,AE151),AA151+$AH$8,AE151+$AH$8),"")</f>
        <v>87.409673189131837</v>
      </c>
      <c r="AI151" s="31" t="str">
        <f>IF(A151&lt;&gt;"",CHOOSE(10-MIN(9,TRUNC((AH151+0.5)/10)),"A","B","C","D","F","F","F","F","F","F"),"")</f>
        <v>B</v>
      </c>
      <c r="AJ151" s="31" t="str">
        <f>IF(A151&lt;&gt;"",IF(OR(AH151+0.5&gt;=93,AH151+0.5&lt;60),"",IF(MOD(AH151+0.5,10)&gt;=7,"+",IF(MOD(AH151+0.5,10)&lt;3,"-",""))),"")</f>
        <v>+</v>
      </c>
      <c r="AK151" s="31" t="b">
        <f>IF(A151&lt;&gt;"",OR(AI151&lt;&gt;AC151,AJ151&lt;&gt;AD151),"")</f>
        <v>0</v>
      </c>
      <c r="AL151" s="81">
        <f>IF(AND(A151&lt;&gt;"",U151&gt;0),SUM(U151,$AL$8)/$AL$2*100,"")</f>
        <v>90</v>
      </c>
      <c r="AM151" s="24">
        <f>IF(AND(A151&lt;&gt;"",V151&gt;0),SUM(V151,$AM$8)/$AM$2*100,"")</f>
        <v>96</v>
      </c>
      <c r="AN151" s="24" t="str">
        <f>IF(AND(A151&lt;&gt;"",P151&lt;&gt;0),SUM(P151,$AN$8)/$AN$2*100,"")</f>
        <v/>
      </c>
      <c r="AO151" s="24" t="str">
        <f>IF(AND(A151&lt;&gt;"",Q151&lt;&gt;0),SUM(Q151,$AO$8)/$AO$2*100,"")</f>
        <v/>
      </c>
      <c r="AP151" s="24">
        <f>IF(AND(A151&lt;&gt;"",R151&lt;&gt;0),SUM(R151,$AP$8)/$AP$2*100,"")</f>
        <v>82.502659574468083</v>
      </c>
      <c r="AQ151" s="24" t="str">
        <f>IF(AND(A151&lt;&gt;"",W151&gt;0),SUM(W151,$AQ$8)/$AQ$2*100,"")</f>
        <v/>
      </c>
      <c r="AR151" s="24">
        <f>IF(AND(A151&lt;&gt;"",T151&gt;0),SUM(T151,$AR$8)/$AR$2*100,"")</f>
        <v>79.363804247460763</v>
      </c>
      <c r="AS151" s="24">
        <f>IF(AND(A151&lt;&gt;"",X151&lt;&gt;0),SUM(X151,$AS$8)/$AS$2*100,"")</f>
        <v>80.619346378263685</v>
      </c>
      <c r="AT151" s="86">
        <f>IF(A151&lt;&gt;"",SUM(W151:X151,$AT$8)/$AT$2*100,"")</f>
        <v>80.619346378263685</v>
      </c>
      <c r="AU151" s="24">
        <f>AA151</f>
        <v>87.409673189131837</v>
      </c>
      <c r="AV151" s="24"/>
      <c r="AW151" s="27">
        <f>IF(A151&lt;&gt;"",AE151-AA151,"")</f>
        <v>-6.7903268108681516</v>
      </c>
      <c r="AY151" s="27">
        <f>AR151-AP151</f>
        <v>-3.1388553270073203</v>
      </c>
      <c r="AZ151" s="27">
        <f>ABS(AY151)</f>
        <v>3.1388553270073203</v>
      </c>
    </row>
    <row r="152" spans="1:52" s="27" customFormat="1" ht="12.75" customHeight="1" x14ac:dyDescent="0.2">
      <c r="A152" s="10">
        <v>367110</v>
      </c>
      <c r="B152" s="2">
        <v>23</v>
      </c>
      <c r="C152" s="10">
        <v>25</v>
      </c>
      <c r="D152" s="10">
        <v>21</v>
      </c>
      <c r="E152" s="10">
        <v>19</v>
      </c>
      <c r="F152" s="10">
        <v>20</v>
      </c>
      <c r="G152" s="10">
        <v>25</v>
      </c>
      <c r="H152" s="10">
        <v>24</v>
      </c>
      <c r="I152" s="10">
        <v>25</v>
      </c>
      <c r="J152" s="2"/>
      <c r="K152" s="10">
        <v>57</v>
      </c>
      <c r="L152" s="10">
        <v>59</v>
      </c>
      <c r="M152" s="10">
        <v>58</v>
      </c>
      <c r="N152" s="51">
        <v>57</v>
      </c>
      <c r="O152" s="11">
        <v>61</v>
      </c>
      <c r="P152" s="10"/>
      <c r="Q152" s="40"/>
      <c r="R152" s="2">
        <v>94</v>
      </c>
      <c r="S152" s="10">
        <f>IF(T152="",R152,MAX((R152+$R$8)/$R$2,(T152+$T$8)/$T$2)*$R$2-$R$8)</f>
        <v>129.72228934598536</v>
      </c>
      <c r="T152" s="12">
        <v>192</v>
      </c>
      <c r="U152" s="34">
        <f>IF(A152&lt;&gt;"",SUM(B152:I152),"")</f>
        <v>182</v>
      </c>
      <c r="V152" s="10">
        <f>IF(A152&lt;&gt;"",SUM(J152:O152),"")</f>
        <v>292</v>
      </c>
      <c r="W152" s="10">
        <f>IF(A152&lt;&gt;"",SUM(P152:Q152),"")</f>
        <v>0</v>
      </c>
      <c r="X152" s="10">
        <f>IF(A152&lt;&gt;"",SUM(S152:T152),"")</f>
        <v>321.72228934598536</v>
      </c>
      <c r="Y152" s="12">
        <v>3</v>
      </c>
      <c r="Z152" s="12">
        <f>IF(A152&lt;&gt;"",SUM(U152:Y152),"")</f>
        <v>798.72228934598536</v>
      </c>
      <c r="AA152" s="27">
        <f>IF(A152&lt;&gt;"",(Z152+Normalize_To_Add)/(Point_Total_So_Far)*100,"")</f>
        <v>87.381902123730384</v>
      </c>
      <c r="AB152" s="10">
        <f>IF(A152&lt;&gt;"",RANK(AA152,All_Student_XC),"")</f>
        <v>121</v>
      </c>
      <c r="AC152" s="31" t="str">
        <f>IF(A152&lt;&gt;"",CHOOSE(10-MIN(9,TRUNC((AA152+0.5)/10)),"A","B","C","D","F","F","F","F","F","F"),"")</f>
        <v>B</v>
      </c>
      <c r="AD152" s="31" t="str">
        <f>IF(A152&lt;&gt;"",IF(OR(AA152+0.5&gt;=93,AA152+0.5&lt;60),"",IF(MOD(AA152+0.5,10)&gt;=7,"+",IF(MOD(AA152+0.5,10)&lt;3,"-",""))),"")</f>
        <v>+</v>
      </c>
      <c r="AE152" s="31">
        <f>IF(A152&lt;&gt;"",SUM(W152:X152,$W$8:$X$8)/SUM($W$2:$X$2)*100,"")</f>
        <v>79.363804247460763</v>
      </c>
      <c r="AF152" s="31" t="str">
        <f>IF(A152&lt;&gt;"",CHOOSE(10-MIN(9,TRUNC((AE152+0.5)/10)),"A","B","C","D","F","F","F","F","F","F"),"")</f>
        <v>C</v>
      </c>
      <c r="AG152" s="31" t="str">
        <f>IF(A152&lt;&gt;"",IF(OR(AE152+0.5&gt;=93,AE152+0.5&lt;60),"",IF(MOD(AE152+0.5,10)&gt;=7,"+",IF(MOD(AE152+0.5,10)&lt;3,"-",""))),"")</f>
        <v>+</v>
      </c>
      <c r="AH152" s="35">
        <f>IF(A152&lt;&gt;"",MIN(MAX(AA152,AE152),AA152+$AH$8,AE152+$AH$8),"")</f>
        <v>87.381902123730384</v>
      </c>
      <c r="AI152" s="31" t="str">
        <f>IF(A152&lt;&gt;"",CHOOSE(10-MIN(9,TRUNC((AH152+0.5)/10)),"A","B","C","D","F","F","F","F","F","F"),"")</f>
        <v>B</v>
      </c>
      <c r="AJ152" s="31" t="str">
        <f>IF(A152&lt;&gt;"",IF(OR(AH152+0.5&gt;=93,AH152+0.5&lt;60),"",IF(MOD(AH152+0.5,10)&gt;=7,"+",IF(MOD(AH152+0.5,10)&lt;3,"-",""))),"")</f>
        <v>+</v>
      </c>
      <c r="AK152" s="31" t="b">
        <f>IF(A152&lt;&gt;"",OR(AI152&lt;&gt;AC152,AJ152&lt;&gt;AD152),"")</f>
        <v>0</v>
      </c>
      <c r="AL152" s="81">
        <f>IF(AND(A152&lt;&gt;"",U152&gt;0),SUM(U152,$AL$8)/$AL$2*100,"")</f>
        <v>91</v>
      </c>
      <c r="AM152" s="24">
        <f>IF(AND(A152&lt;&gt;"",V152&gt;0),SUM(V152,$AM$8)/$AM$2*100,"")</f>
        <v>97.333333333333343</v>
      </c>
      <c r="AN152" s="24" t="str">
        <f>IF(AND(A152&lt;&gt;"",P152&lt;&gt;0),SUM(P152,$AN$8)/$AN$2*100,"")</f>
        <v/>
      </c>
      <c r="AO152" s="24" t="str">
        <f>IF(AND(A152&lt;&gt;"",Q152&lt;&gt;0),SUM(Q152,$AO$8)/$AO$2*100,"")</f>
        <v/>
      </c>
      <c r="AP152" s="24">
        <f>IF(AND(A152&lt;&gt;"",R152&lt;&gt;0),SUM(R152,$AP$8)/$AP$2*100,"")</f>
        <v>61.50265957446809</v>
      </c>
      <c r="AQ152" s="24" t="str">
        <f>IF(AND(A152&lt;&gt;"",W152&gt;0),SUM(W152,$AQ$8)/$AQ$2*100,"")</f>
        <v/>
      </c>
      <c r="AR152" s="24">
        <f>IF(AND(A152&lt;&gt;"",T152&gt;0),SUM(T152,$AR$8)/$AR$2*100,"")</f>
        <v>79.363804247460763</v>
      </c>
      <c r="AS152" s="24">
        <f>IF(AND(A152&lt;&gt;"",X152&lt;&gt;0),SUM(X152,$AS$8)/$AS$2*100,"")</f>
        <v>79.363804247460763</v>
      </c>
      <c r="AT152" s="86">
        <f>IF(A152&lt;&gt;"",SUM(W152:X152,$AT$8)/$AT$2*100,"")</f>
        <v>79.363804247460763</v>
      </c>
      <c r="AU152" s="24">
        <f>AA152</f>
        <v>87.381902123730384</v>
      </c>
      <c r="AV152" s="24"/>
      <c r="AW152" s="27">
        <f>IF(A152&lt;&gt;"",AE152-AA152,"")</f>
        <v>-8.0180978762696213</v>
      </c>
      <c r="AY152" s="27">
        <f>AR152-AP152</f>
        <v>17.861144672992673</v>
      </c>
      <c r="AZ152" s="27">
        <f>ABS(AY152)</f>
        <v>17.861144672992673</v>
      </c>
    </row>
    <row r="153" spans="1:52" s="27" customFormat="1" ht="12.75" customHeight="1" x14ac:dyDescent="0.2">
      <c r="A153" s="10">
        <v>367550</v>
      </c>
      <c r="B153" s="2">
        <v>23</v>
      </c>
      <c r="C153" s="10">
        <v>25</v>
      </c>
      <c r="D153" s="10">
        <v>23</v>
      </c>
      <c r="E153" s="10">
        <v>19</v>
      </c>
      <c r="F153" s="10">
        <v>21</v>
      </c>
      <c r="G153" s="10">
        <v>25</v>
      </c>
      <c r="H153" s="10">
        <v>24</v>
      </c>
      <c r="I153" s="10">
        <v>25</v>
      </c>
      <c r="J153" s="2"/>
      <c r="K153" s="10">
        <v>61</v>
      </c>
      <c r="L153" s="10">
        <v>50</v>
      </c>
      <c r="M153" s="10" t="s">
        <v>69</v>
      </c>
      <c r="N153" s="51">
        <v>55</v>
      </c>
      <c r="O153" s="11">
        <v>60</v>
      </c>
      <c r="P153" s="10"/>
      <c r="Q153" s="40"/>
      <c r="R153" s="2">
        <v>123</v>
      </c>
      <c r="S153" s="10">
        <f>IF(T153="",R153,MAX((R153+$R$8)/$R$2,(T153+$T$8)/$T$2)*$R$2-$R$8)</f>
        <v>123.05562267931867</v>
      </c>
      <c r="T153" s="12">
        <v>182</v>
      </c>
      <c r="U153" s="34">
        <f>IF(A153&lt;&gt;"",SUM(B153:I153),"")</f>
        <v>185</v>
      </c>
      <c r="V153" s="10">
        <f>IF(A153&lt;&gt;"",SUM(J153:O153),"")</f>
        <v>226</v>
      </c>
      <c r="W153" s="10">
        <f>IF(A153&lt;&gt;"",SUM(P153:Q153),"")</f>
        <v>0</v>
      </c>
      <c r="X153" s="10">
        <f>IF(A153&lt;&gt;"",SUM(S153:T153),"")</f>
        <v>305.05562267931867</v>
      </c>
      <c r="Y153" s="12" t="s">
        <v>69</v>
      </c>
      <c r="Z153" s="12">
        <f>IF(A153&lt;&gt;"",SUM(U153:Y153),"")</f>
        <v>716.05562267931873</v>
      </c>
      <c r="AA153" s="27">
        <f>IF(A153&lt;&gt;"",(Z153+Normalize_To_Add)/(Point_Total_So_Far)*100,"")</f>
        <v>79.115235457063719</v>
      </c>
      <c r="AB153" s="10">
        <f>IF(A153&lt;&gt;"",RANK(AA153,All_Student_XC),"")</f>
        <v>221</v>
      </c>
      <c r="AC153" s="31" t="str">
        <f>IF(A153&lt;&gt;"",CHOOSE(10-MIN(9,TRUNC((AA153+0.5)/10)),"A","B","C","D","F","F","F","F","F","F"),"")</f>
        <v>C</v>
      </c>
      <c r="AD153" s="31" t="str">
        <f>IF(A153&lt;&gt;"",IF(OR(AA153+0.5&gt;=93,AA153+0.5&lt;60),"",IF(MOD(AA153+0.5,10)&gt;=7,"+",IF(MOD(AA153+0.5,10)&lt;3,"-",""))),"")</f>
        <v>+</v>
      </c>
      <c r="AE153" s="31">
        <f>IF(A153&lt;&gt;"",SUM(W153:X153,$W$8:$X$8)/SUM($W$2:$X$2)*100,"")</f>
        <v>76.03047091412742</v>
      </c>
      <c r="AF153" s="31" t="str">
        <f>IF(A153&lt;&gt;"",CHOOSE(10-MIN(9,TRUNC((AE153+0.5)/10)),"A","B","C","D","F","F","F","F","F","F"),"")</f>
        <v>C</v>
      </c>
      <c r="AG153" s="31" t="str">
        <f>IF(A153&lt;&gt;"",IF(OR(AE153+0.5&gt;=93,AE153+0.5&lt;60),"",IF(MOD(AE153+0.5,10)&gt;=7,"+",IF(MOD(AE153+0.5,10)&lt;3,"-",""))),"")</f>
        <v/>
      </c>
      <c r="AH153" s="35">
        <f>IF(A153&lt;&gt;"",MIN(MAX(AA153,AE153),AA153+$AH$8,AE153+$AH$8),"")</f>
        <v>79.115235457063719</v>
      </c>
      <c r="AI153" s="31" t="str">
        <f>IF(A153&lt;&gt;"",CHOOSE(10-MIN(9,TRUNC((AH153+0.5)/10)),"A","B","C","D","F","F","F","F","F","F"),"")</f>
        <v>C</v>
      </c>
      <c r="AJ153" s="31" t="str">
        <f>IF(A153&lt;&gt;"",IF(OR(AH153+0.5&gt;=93,AH153+0.5&lt;60),"",IF(MOD(AH153+0.5,10)&gt;=7,"+",IF(MOD(AH153+0.5,10)&lt;3,"-",""))),"")</f>
        <v>+</v>
      </c>
      <c r="AK153" s="31" t="b">
        <f>IF(A153&lt;&gt;"",OR(AI153&lt;&gt;AC153,AJ153&lt;&gt;AD153),"")</f>
        <v>0</v>
      </c>
      <c r="AL153" s="81">
        <f>IF(AND(A153&lt;&gt;"",U153&gt;0),SUM(U153,$AL$8)/$AL$2*100,"")</f>
        <v>92.5</v>
      </c>
      <c r="AM153" s="24">
        <f>IF(AND(A153&lt;&gt;"",V153&gt;0),SUM(V153,$AM$8)/$AM$2*100,"")</f>
        <v>75.333333333333329</v>
      </c>
      <c r="AN153" s="24" t="str">
        <f>IF(AND(A153&lt;&gt;"",P153&lt;&gt;0),SUM(P153,$AN$8)/$AN$2*100,"")</f>
        <v/>
      </c>
      <c r="AO153" s="24" t="str">
        <f>IF(AND(A153&lt;&gt;"",Q153&lt;&gt;0),SUM(Q153,$AO$8)/$AO$2*100,"")</f>
        <v/>
      </c>
      <c r="AP153" s="24">
        <f>IF(AND(A153&lt;&gt;"",R153&lt;&gt;0),SUM(R153,$AP$8)/$AP$2*100,"")</f>
        <v>76.002659574468083</v>
      </c>
      <c r="AQ153" s="24" t="str">
        <f>IF(AND(A153&lt;&gt;"",W153&gt;0),SUM(W153,$AQ$8)/$AQ$2*100,"")</f>
        <v/>
      </c>
      <c r="AR153" s="24">
        <f>IF(AND(A153&lt;&gt;"",T153&gt;0),SUM(T153,$AR$8)/$AR$2*100,"")</f>
        <v>76.03047091412742</v>
      </c>
      <c r="AS153" s="24">
        <f>IF(AND(A153&lt;&gt;"",X153&lt;&gt;0),SUM(X153,$AS$8)/$AS$2*100,"")</f>
        <v>76.03047091412742</v>
      </c>
      <c r="AT153" s="86">
        <f>IF(A153&lt;&gt;"",SUM(W153:X153,$AT$8)/$AT$2*100,"")</f>
        <v>76.03047091412742</v>
      </c>
      <c r="AU153" s="24">
        <f>AA153</f>
        <v>79.115235457063719</v>
      </c>
      <c r="AV153" s="24"/>
      <c r="AW153" s="27">
        <f>IF(A153&lt;&gt;"",AE153-AA153,"")</f>
        <v>-3.0847645429362984</v>
      </c>
      <c r="AY153" s="27">
        <f>AR153-AP153</f>
        <v>2.7811339659336909E-2</v>
      </c>
      <c r="AZ153" s="27">
        <f>ABS(AY153)</f>
        <v>2.7811339659336909E-2</v>
      </c>
    </row>
    <row r="154" spans="1:52" s="27" customFormat="1" ht="12.75" customHeight="1" x14ac:dyDescent="0.2">
      <c r="A154" s="50">
        <v>381614</v>
      </c>
      <c r="B154" s="2">
        <v>25</v>
      </c>
      <c r="C154" s="10">
        <v>25</v>
      </c>
      <c r="D154" s="10">
        <v>23</v>
      </c>
      <c r="E154" s="10">
        <v>25</v>
      </c>
      <c r="F154" s="10">
        <v>23</v>
      </c>
      <c r="G154" s="10">
        <v>25</v>
      </c>
      <c r="H154" s="10">
        <v>25</v>
      </c>
      <c r="I154" s="10">
        <v>18</v>
      </c>
      <c r="J154" s="2"/>
      <c r="K154" s="10">
        <v>62</v>
      </c>
      <c r="L154" s="10">
        <v>60</v>
      </c>
      <c r="M154" s="10">
        <v>60</v>
      </c>
      <c r="N154" s="51">
        <v>58</v>
      </c>
      <c r="O154" s="11">
        <v>61</v>
      </c>
      <c r="P154" s="10"/>
      <c r="Q154" s="40"/>
      <c r="R154" s="2">
        <v>160</v>
      </c>
      <c r="S154" s="10">
        <f>IF(T154="",R154,MAX((R154+$R$8)/$R$2,(T154+$T$8)/$T$2)*$R$2-$R$8)</f>
        <v>167.05562267931867</v>
      </c>
      <c r="T154" s="12">
        <v>248</v>
      </c>
      <c r="U154" s="7">
        <f>IF(A154&lt;&gt;"",SUM(B154:I154),"")</f>
        <v>189</v>
      </c>
      <c r="V154" s="10">
        <f>IF(A154&lt;&gt;"",SUM(J154:O154),"")</f>
        <v>301</v>
      </c>
      <c r="W154" s="10">
        <f>IF(A154&lt;&gt;"",SUM(P154:Q154),"")</f>
        <v>0</v>
      </c>
      <c r="X154" s="10">
        <f>IF(A154&lt;&gt;"",SUM(S154:T154),"")</f>
        <v>415.05562267931867</v>
      </c>
      <c r="Y154" s="12">
        <v>3</v>
      </c>
      <c r="Z154" s="12">
        <f>IF(A154&lt;&gt;"",SUM(U154:Y154),"")</f>
        <v>908.05562267931873</v>
      </c>
      <c r="AA154" s="27">
        <f>IF(A154&lt;&gt;"",(Z154+Normalize_To_Add)/(Point_Total_So_Far)*100,"")</f>
        <v>98.315235457063721</v>
      </c>
      <c r="AB154" s="10">
        <f>IF(A154&lt;&gt;"",RANK(AA154,All_Student_XC),"")</f>
        <v>14</v>
      </c>
      <c r="AC154" s="31" t="str">
        <f>IF(A154&lt;&gt;"",CHOOSE(10-MIN(9,TRUNC((AA154+0.5)/10)),"A","B","C","D","F","F","F","F","F","F"),"")</f>
        <v>A</v>
      </c>
      <c r="AD154" s="31" t="str">
        <f>IF(A154&lt;&gt;"",IF(OR(AA154+0.5&gt;=93,AA154+0.5&lt;60),"",IF(MOD(AA154+0.5,10)&gt;=7,"+",IF(MOD(AA154+0.5,10)&lt;3,"-",""))),"")</f>
        <v/>
      </c>
      <c r="AE154" s="31">
        <f>IF(A154&lt;&gt;"",SUM(W154:X154,$W$8:$X$8)/SUM($W$2:$X$2)*100,"")</f>
        <v>98.03047091412742</v>
      </c>
      <c r="AF154" s="43" t="str">
        <f>IF(A154&lt;&gt;"",CHOOSE(10-MIN(9,TRUNC((AE154+0.5)/10)),"A","B","C","D","F","F","F","F","F","F"),"")</f>
        <v>A</v>
      </c>
      <c r="AG154" s="43" t="str">
        <f>IF(A154&lt;&gt;"",IF(OR(AE154+0.5&gt;=93,AE154+0.5&lt;60),"",IF(MOD(AE154+0.5,10)&gt;=7,"+",IF(MOD(AE154+0.5,10)&lt;3,"-",""))),"")</f>
        <v/>
      </c>
      <c r="AH154" s="35">
        <f>IF(A154&lt;&gt;"",MIN(MAX(AA154,AE154),AA154+$AH$8,AE154+$AH$8),"")</f>
        <v>98.315235457063721</v>
      </c>
      <c r="AI154" s="31" t="str">
        <f>IF(A154&lt;&gt;"",CHOOSE(10-MIN(9,TRUNC((AH154+0.5)/10)),"A","B","C","D","F","F","F","F","F","F"),"")</f>
        <v>A</v>
      </c>
      <c r="AJ154" s="31" t="str">
        <f>IF(A154&lt;&gt;"",IF(OR(AH154+0.5&gt;=93,AH154+0.5&lt;60),"",IF(MOD(AH154+0.5,10)&gt;=7,"+",IF(MOD(AH154+0.5,10)&lt;3,"-",""))),"")</f>
        <v/>
      </c>
      <c r="AK154" s="31" t="b">
        <f>IF(A154&lt;&gt;"",OR(AI154&lt;&gt;AC154,AJ154&lt;&gt;AD154),"")</f>
        <v>0</v>
      </c>
      <c r="AL154" s="81">
        <f>IF(AND(A154&lt;&gt;"",U154&gt;0),SUM(U154,$AL$8)/$AL$2*100,"")</f>
        <v>94.5</v>
      </c>
      <c r="AM154" s="24">
        <f>IF(AND(A154&lt;&gt;"",V154&gt;0),SUM(V154,$AM$8)/$AM$2*100,"")</f>
        <v>100.33333333333334</v>
      </c>
      <c r="AN154" s="24" t="str">
        <f>IF(AND(A154&lt;&gt;"",P154&lt;&gt;0),SUM(P154,$AN$8)/$AN$2*100,"")</f>
        <v/>
      </c>
      <c r="AO154" s="24" t="str">
        <f>IF(AND(A154&lt;&gt;"",Q154&lt;&gt;0),SUM(Q154,$AO$8)/$AO$2*100,"")</f>
        <v/>
      </c>
      <c r="AP154" s="24">
        <f>IF(AND(A154&lt;&gt;"",R154&lt;&gt;0),SUM(R154,$AP$8)/$AP$2*100,"")</f>
        <v>94.502659574468083</v>
      </c>
      <c r="AQ154" s="24" t="str">
        <f>IF(AND(A154&lt;&gt;"",W154&gt;0),SUM(W154,$AQ$8)/$AQ$2*100,"")</f>
        <v/>
      </c>
      <c r="AR154" s="24">
        <f>IF(AND(A154&lt;&gt;"",T154&gt;0),SUM(T154,$AR$8)/$AR$2*100,"")</f>
        <v>98.03047091412742</v>
      </c>
      <c r="AS154" s="24">
        <f>IF(AND(A154&lt;&gt;"",X154&lt;&gt;0),SUM(X154,$AS$8)/$AS$2*100,"")</f>
        <v>98.03047091412742</v>
      </c>
      <c r="AT154" s="86">
        <f>IF(A154&lt;&gt;"",SUM(W154:X154,$AT$8)/$AT$2*100,"")</f>
        <v>98.03047091412742</v>
      </c>
      <c r="AU154" s="24">
        <f>AA154</f>
        <v>98.315235457063721</v>
      </c>
      <c r="AV154" s="24"/>
      <c r="AW154" s="27">
        <f>IF(A154&lt;&gt;"",AE154-AA154,"")</f>
        <v>-0.28476454293630127</v>
      </c>
      <c r="AY154" s="27">
        <f>AR154-AP154</f>
        <v>3.5278113396593369</v>
      </c>
      <c r="AZ154" s="27">
        <f>ABS(AY154)</f>
        <v>3.5278113396593369</v>
      </c>
    </row>
    <row r="155" spans="1:52" s="27" customFormat="1" ht="12.75" customHeight="1" x14ac:dyDescent="0.2">
      <c r="A155" s="10">
        <v>385854</v>
      </c>
      <c r="B155" s="2">
        <v>23</v>
      </c>
      <c r="C155" s="10">
        <v>18</v>
      </c>
      <c r="D155" s="10">
        <v>19</v>
      </c>
      <c r="E155" s="10">
        <v>14</v>
      </c>
      <c r="F155" s="10">
        <v>13</v>
      </c>
      <c r="G155" s="10">
        <v>25</v>
      </c>
      <c r="H155" s="10">
        <v>12</v>
      </c>
      <c r="I155" s="10">
        <v>21</v>
      </c>
      <c r="J155" s="2"/>
      <c r="K155" s="10">
        <v>47</v>
      </c>
      <c r="L155" s="10">
        <v>50</v>
      </c>
      <c r="M155" s="10">
        <v>59</v>
      </c>
      <c r="N155" s="51">
        <v>15</v>
      </c>
      <c r="O155" s="11">
        <v>12</v>
      </c>
      <c r="P155" s="10"/>
      <c r="Q155" s="40"/>
      <c r="R155" s="2">
        <v>160</v>
      </c>
      <c r="S155" s="10">
        <f>IF(T155="",R155,MAX((R155+$R$8)/$R$2,(T155+$T$8)/$T$2)*$R$2-$R$8)</f>
        <v>160</v>
      </c>
      <c r="T155" s="12">
        <v>193</v>
      </c>
      <c r="U155" s="34">
        <f>IF(A155&lt;&gt;"",SUM(B155:I155),"")</f>
        <v>145</v>
      </c>
      <c r="V155" s="10">
        <f>IF(A155&lt;&gt;"",SUM(J155:O155),"")</f>
        <v>183</v>
      </c>
      <c r="W155" s="10">
        <f>IF(A155&lt;&gt;"",SUM(P155:Q155),"")</f>
        <v>0</v>
      </c>
      <c r="X155" s="10">
        <f>IF(A155&lt;&gt;"",SUM(S155:T155),"")</f>
        <v>353</v>
      </c>
      <c r="Y155" s="12">
        <v>3</v>
      </c>
      <c r="Z155" s="12">
        <f>IF(A155&lt;&gt;"",SUM(U155:Y155),"")</f>
        <v>684</v>
      </c>
      <c r="AA155" s="27">
        <f>IF(A155&lt;&gt;"",(Z155+Normalize_To_Add)/(Point_Total_So_Far)*100,"")</f>
        <v>75.909673189131837</v>
      </c>
      <c r="AB155" s="10">
        <f>IF(A155&lt;&gt;"",RANK(AA155,All_Student_XC),"")</f>
        <v>264</v>
      </c>
      <c r="AC155" s="31" t="str">
        <f>IF(A155&lt;&gt;"",CHOOSE(10-MIN(9,TRUNC((AA155+0.5)/10)),"A","B","C","D","F","F","F","F","F","F"),"")</f>
        <v>C</v>
      </c>
      <c r="AD155" s="31" t="str">
        <f>IF(A155&lt;&gt;"",IF(OR(AA155+0.5&gt;=93,AA155+0.5&lt;60),"",IF(MOD(AA155+0.5,10)&gt;=7,"+",IF(MOD(AA155+0.5,10)&lt;3,"-",""))),"")</f>
        <v/>
      </c>
      <c r="AE155" s="31">
        <f>IF(A155&lt;&gt;"",SUM(W155:X155,$W$8:$X$8)/SUM($W$2:$X$2)*100,"")</f>
        <v>85.619346378263685</v>
      </c>
      <c r="AF155" s="31" t="str">
        <f>IF(A155&lt;&gt;"",CHOOSE(10-MIN(9,TRUNC((AE155+0.5)/10)),"A","B","C","D","F","F","F","F","F","F"),"")</f>
        <v>B</v>
      </c>
      <c r="AG155" s="31" t="str">
        <f>IF(A155&lt;&gt;"",IF(OR(AE155+0.5&gt;=93,AE155+0.5&lt;60),"",IF(MOD(AE155+0.5,10)&gt;=7,"+",IF(MOD(AE155+0.5,10)&lt;3,"-",""))),"")</f>
        <v/>
      </c>
      <c r="AH155" s="35">
        <f>IF(A155&lt;&gt;"",MIN(MAX(AA155,AE155),AA155+$AH$8,AE155+$AH$8),"")</f>
        <v>85.619346378263685</v>
      </c>
      <c r="AI155" s="31" t="str">
        <f>IF(A155&lt;&gt;"",CHOOSE(10-MIN(9,TRUNC((AH155+0.5)/10)),"A","B","C","D","F","F","F","F","F","F"),"")</f>
        <v>B</v>
      </c>
      <c r="AJ155" s="31" t="str">
        <f>IF(A155&lt;&gt;"",IF(OR(AH155+0.5&gt;=93,AH155+0.5&lt;60),"",IF(MOD(AH155+0.5,10)&gt;=7,"+",IF(MOD(AH155+0.5,10)&lt;3,"-",""))),"")</f>
        <v/>
      </c>
      <c r="AK155" s="31" t="b">
        <f>IF(A155&lt;&gt;"",OR(AI155&lt;&gt;AC155,AJ155&lt;&gt;AD155),"")</f>
        <v>1</v>
      </c>
      <c r="AL155" s="81">
        <f>IF(AND(A155&lt;&gt;"",U155&gt;0),SUM(U155,$AL$8)/$AL$2*100,"")</f>
        <v>72.5</v>
      </c>
      <c r="AM155" s="24">
        <f>IF(AND(A155&lt;&gt;"",V155&gt;0),SUM(V155,$AM$8)/$AM$2*100,"")</f>
        <v>61</v>
      </c>
      <c r="AN155" s="24" t="str">
        <f>IF(AND(A155&lt;&gt;"",P155&lt;&gt;0),SUM(P155,$AN$8)/$AN$2*100,"")</f>
        <v/>
      </c>
      <c r="AO155" s="24" t="str">
        <f>IF(AND(A155&lt;&gt;"",Q155&lt;&gt;0),SUM(Q155,$AO$8)/$AO$2*100,"")</f>
        <v/>
      </c>
      <c r="AP155" s="24">
        <f>IF(AND(A155&lt;&gt;"",R155&lt;&gt;0),SUM(R155,$AP$8)/$AP$2*100,"")</f>
        <v>94.502659574468083</v>
      </c>
      <c r="AQ155" s="24" t="str">
        <f>IF(AND(A155&lt;&gt;"",W155&gt;0),SUM(W155,$AQ$8)/$AQ$2*100,"")</f>
        <v/>
      </c>
      <c r="AR155" s="24">
        <f>IF(AND(A155&lt;&gt;"",T155&gt;0),SUM(T155,$AR$8)/$AR$2*100,"")</f>
        <v>79.697137580794092</v>
      </c>
      <c r="AS155" s="24">
        <f>IF(AND(A155&lt;&gt;"",X155&lt;&gt;0),SUM(X155,$AS$8)/$AS$2*100,"")</f>
        <v>85.619346378263685</v>
      </c>
      <c r="AT155" s="86">
        <f>IF(A155&lt;&gt;"",SUM(W155:X155,$AT$8)/$AT$2*100,"")</f>
        <v>85.619346378263685</v>
      </c>
      <c r="AU155" s="24">
        <f>AA155</f>
        <v>75.909673189131837</v>
      </c>
      <c r="AV155" s="24"/>
      <c r="AW155" s="27">
        <f>IF(A155&lt;&gt;"",AE155-AA155,"")</f>
        <v>9.7096731891318484</v>
      </c>
      <c r="AY155" s="27">
        <f>AR155-AP155</f>
        <v>-14.805521993673992</v>
      </c>
      <c r="AZ155" s="27">
        <f>ABS(AY155)</f>
        <v>14.805521993673992</v>
      </c>
    </row>
    <row r="156" spans="1:52" s="27" customFormat="1" ht="12.75" customHeight="1" x14ac:dyDescent="0.2">
      <c r="A156" s="10">
        <v>389396</v>
      </c>
      <c r="B156" s="2">
        <v>20</v>
      </c>
      <c r="C156" s="10">
        <v>23</v>
      </c>
      <c r="D156" s="10">
        <v>23</v>
      </c>
      <c r="E156" s="10">
        <v>25</v>
      </c>
      <c r="F156" s="10">
        <v>13</v>
      </c>
      <c r="G156" s="10">
        <v>25</v>
      </c>
      <c r="H156" s="10">
        <v>24</v>
      </c>
      <c r="I156" s="10">
        <v>23</v>
      </c>
      <c r="J156" s="2"/>
      <c r="K156" s="10">
        <v>57</v>
      </c>
      <c r="L156" s="10">
        <v>60</v>
      </c>
      <c r="M156" s="10">
        <v>55</v>
      </c>
      <c r="N156" s="51">
        <v>49</v>
      </c>
      <c r="O156" s="11">
        <v>43</v>
      </c>
      <c r="P156" s="10"/>
      <c r="Q156" s="40"/>
      <c r="R156" s="2">
        <v>111</v>
      </c>
      <c r="S156" s="10">
        <f>IF(T156="",R156,MAX((R156+$R$8)/$R$2,(T156+$T$8)/$T$2)*$R$2-$R$8)</f>
        <v>117.72228934598533</v>
      </c>
      <c r="T156" s="12">
        <v>174</v>
      </c>
      <c r="U156" s="34">
        <f>IF(A156&lt;&gt;"",SUM(B156:I156),"")</f>
        <v>176</v>
      </c>
      <c r="V156" s="10">
        <f>IF(A156&lt;&gt;"",SUM(J156:O156),"")</f>
        <v>264</v>
      </c>
      <c r="W156" s="10">
        <f>IF(A156&lt;&gt;"",SUM(P156:Q156),"")</f>
        <v>0</v>
      </c>
      <c r="X156" s="10">
        <f>IF(A156&lt;&gt;"",SUM(S156:T156),"")</f>
        <v>291.72228934598536</v>
      </c>
      <c r="Y156" s="12">
        <v>3</v>
      </c>
      <c r="Z156" s="12">
        <f>IF(A156&lt;&gt;"",SUM(U156:Y156),"")</f>
        <v>734.72228934598536</v>
      </c>
      <c r="AA156" s="27">
        <f>IF(A156&lt;&gt;"",(Z156+Normalize_To_Add)/(Point_Total_So_Far)*100,"")</f>
        <v>80.981902123730379</v>
      </c>
      <c r="AB156" s="10">
        <f>IF(A156&lt;&gt;"",RANK(AA156,All_Student_XC),"")</f>
        <v>199</v>
      </c>
      <c r="AC156" s="31" t="str">
        <f>IF(A156&lt;&gt;"",CHOOSE(10-MIN(9,TRUNC((AA156+0.5)/10)),"A","B","C","D","F","F","F","F","F","F"),"")</f>
        <v>B</v>
      </c>
      <c r="AD156" s="31" t="str">
        <f>IF(A156&lt;&gt;"",IF(OR(AA156+0.5&gt;=93,AA156+0.5&lt;60),"",IF(MOD(AA156+0.5,10)&gt;=7,"+",IF(MOD(AA156+0.5,10)&lt;3,"-",""))),"")</f>
        <v>-</v>
      </c>
      <c r="AE156" s="31">
        <f>IF(A156&lt;&gt;"",SUM(W156:X156,$W$8:$X$8)/SUM($W$2:$X$2)*100,"")</f>
        <v>73.363804247460763</v>
      </c>
      <c r="AF156" s="31" t="str">
        <f>IF(A156&lt;&gt;"",CHOOSE(10-MIN(9,TRUNC((AE156+0.5)/10)),"A","B","C","D","F","F","F","F","F","F"),"")</f>
        <v>C</v>
      </c>
      <c r="AG156" s="31" t="str">
        <f>IF(A156&lt;&gt;"",IF(OR(AE156+0.5&gt;=93,AE156+0.5&lt;60),"",IF(MOD(AE156+0.5,10)&gt;=7,"+",IF(MOD(AE156+0.5,10)&lt;3,"-",""))),"")</f>
        <v/>
      </c>
      <c r="AH156" s="35">
        <f>IF(A156&lt;&gt;"",MIN(MAX(AA156,AE156),AA156+$AH$8,AE156+$AH$8),"")</f>
        <v>80.981902123730379</v>
      </c>
      <c r="AI156" s="31" t="str">
        <f>IF(A156&lt;&gt;"",CHOOSE(10-MIN(9,TRUNC((AH156+0.5)/10)),"A","B","C","D","F","F","F","F","F","F"),"")</f>
        <v>B</v>
      </c>
      <c r="AJ156" s="31" t="str">
        <f>IF(A156&lt;&gt;"",IF(OR(AH156+0.5&gt;=93,AH156+0.5&lt;60),"",IF(MOD(AH156+0.5,10)&gt;=7,"+",IF(MOD(AH156+0.5,10)&lt;3,"-",""))),"")</f>
        <v>-</v>
      </c>
      <c r="AK156" s="31" t="b">
        <f>IF(A156&lt;&gt;"",OR(AI156&lt;&gt;AC156,AJ156&lt;&gt;AD156),"")</f>
        <v>0</v>
      </c>
      <c r="AL156" s="81">
        <f>IF(AND(A156&lt;&gt;"",U156&gt;0),SUM(U156,$AL$8)/$AL$2*100,"")</f>
        <v>88</v>
      </c>
      <c r="AM156" s="24">
        <f>IF(AND(A156&lt;&gt;"",V156&gt;0),SUM(V156,$AM$8)/$AM$2*100,"")</f>
        <v>88</v>
      </c>
      <c r="AN156" s="24" t="str">
        <f>IF(AND(A156&lt;&gt;"",P156&lt;&gt;0),SUM(P156,$AN$8)/$AN$2*100,"")</f>
        <v/>
      </c>
      <c r="AO156" s="24" t="str">
        <f>IF(AND(A156&lt;&gt;"",Q156&lt;&gt;0),SUM(Q156,$AO$8)/$AO$2*100,"")</f>
        <v/>
      </c>
      <c r="AP156" s="24">
        <f>IF(AND(A156&lt;&gt;"",R156&lt;&gt;0),SUM(R156,$AP$8)/$AP$2*100,"")</f>
        <v>70.002659574468083</v>
      </c>
      <c r="AQ156" s="24" t="str">
        <f>IF(AND(A156&lt;&gt;"",W156&gt;0),SUM(W156,$AQ$8)/$AQ$2*100,"")</f>
        <v/>
      </c>
      <c r="AR156" s="24">
        <f>IF(AND(A156&lt;&gt;"",T156&gt;0),SUM(T156,$AR$8)/$AR$2*100,"")</f>
        <v>73.363804247460749</v>
      </c>
      <c r="AS156" s="24">
        <f>IF(AND(A156&lt;&gt;"",X156&lt;&gt;0),SUM(X156,$AS$8)/$AS$2*100,"")</f>
        <v>73.363804247460763</v>
      </c>
      <c r="AT156" s="86">
        <f>IF(A156&lt;&gt;"",SUM(W156:X156,$AT$8)/$AT$2*100,"")</f>
        <v>73.363804247460763</v>
      </c>
      <c r="AU156" s="24">
        <f>AA156</f>
        <v>80.981902123730379</v>
      </c>
      <c r="AV156" s="24"/>
      <c r="AW156" s="27">
        <f>IF(A156&lt;&gt;"",AE156-AA156,"")</f>
        <v>-7.6180978762696157</v>
      </c>
      <c r="AY156" s="27">
        <f>AR156-AP156</f>
        <v>3.3611446729926655</v>
      </c>
      <c r="AZ156" s="27">
        <f>ABS(AY156)</f>
        <v>3.3611446729926655</v>
      </c>
    </row>
    <row r="157" spans="1:52" s="27" customFormat="1" ht="12.75" customHeight="1" x14ac:dyDescent="0.2">
      <c r="A157" s="10">
        <v>390194</v>
      </c>
      <c r="B157" s="2">
        <v>25</v>
      </c>
      <c r="C157" s="10">
        <v>25</v>
      </c>
      <c r="D157" s="10">
        <v>20</v>
      </c>
      <c r="E157" s="10">
        <v>24</v>
      </c>
      <c r="F157" s="10">
        <v>19</v>
      </c>
      <c r="G157" s="10">
        <v>25</v>
      </c>
      <c r="H157" s="10">
        <v>12</v>
      </c>
      <c r="I157" s="10">
        <v>23</v>
      </c>
      <c r="J157" s="2"/>
      <c r="K157" s="10">
        <v>59</v>
      </c>
      <c r="L157" s="10">
        <v>55</v>
      </c>
      <c r="M157" s="10">
        <v>54</v>
      </c>
      <c r="N157" s="51">
        <v>55</v>
      </c>
      <c r="O157" s="11">
        <v>60</v>
      </c>
      <c r="P157" s="10"/>
      <c r="Q157" s="40"/>
      <c r="R157" s="2">
        <v>129</v>
      </c>
      <c r="S157" s="10">
        <f>IF(T157="",R157,MAX((R157+$R$8)/$R$2,(T157+$T$8)/$T$2)*$R$2-$R$8)</f>
        <v>139.72228934598533</v>
      </c>
      <c r="T157" s="12">
        <v>207</v>
      </c>
      <c r="U157" s="34">
        <f>IF(A157&lt;&gt;"",SUM(B157:I157),"")</f>
        <v>173</v>
      </c>
      <c r="V157" s="10">
        <f>IF(A157&lt;&gt;"",SUM(J157:O157),"")</f>
        <v>283</v>
      </c>
      <c r="W157" s="10">
        <f>IF(A157&lt;&gt;"",SUM(P157:Q157),"")</f>
        <v>0</v>
      </c>
      <c r="X157" s="10">
        <f>IF(A157&lt;&gt;"",SUM(S157:T157),"")</f>
        <v>346.72228934598536</v>
      </c>
      <c r="Y157" s="12">
        <v>3</v>
      </c>
      <c r="Z157" s="12">
        <f>IF(A157&lt;&gt;"",SUM(U157:Y157),"")</f>
        <v>805.72228934598536</v>
      </c>
      <c r="AA157" s="27">
        <f>IF(A157&lt;&gt;"",(Z157+Normalize_To_Add)/(Point_Total_So_Far)*100,"")</f>
        <v>88.081902123730387</v>
      </c>
      <c r="AB157" s="10">
        <f>IF(A157&lt;&gt;"",RANK(AA157,All_Student_XC),"")</f>
        <v>110</v>
      </c>
      <c r="AC157" s="31" t="str">
        <f>IF(A157&lt;&gt;"",CHOOSE(10-MIN(9,TRUNC((AA157+0.5)/10)),"A","B","C","D","F","F","F","F","F","F"),"")</f>
        <v>B</v>
      </c>
      <c r="AD157" s="31" t="str">
        <f>IF(A157&lt;&gt;"",IF(OR(AA157+0.5&gt;=93,AA157+0.5&lt;60),"",IF(MOD(AA157+0.5,10)&gt;=7,"+",IF(MOD(AA157+0.5,10)&lt;3,"-",""))),"")</f>
        <v>+</v>
      </c>
      <c r="AE157" s="31">
        <f>IF(A157&lt;&gt;"",SUM(W157:X157,$W$8:$X$8)/SUM($W$2:$X$2)*100,"")</f>
        <v>84.363804247460763</v>
      </c>
      <c r="AF157" s="31" t="str">
        <f>IF(A157&lt;&gt;"",CHOOSE(10-MIN(9,TRUNC((AE157+0.5)/10)),"A","B","C","D","F","F","F","F","F","F"),"")</f>
        <v>B</v>
      </c>
      <c r="AG157" s="31" t="str">
        <f>IF(A157&lt;&gt;"",IF(OR(AE157+0.5&gt;=93,AE157+0.5&lt;60),"",IF(MOD(AE157+0.5,10)&gt;=7,"+",IF(MOD(AE157+0.5,10)&lt;3,"-",""))),"")</f>
        <v/>
      </c>
      <c r="AH157" s="35">
        <f>IF(A157&lt;&gt;"",MIN(MAX(AA157,AE157),AA157+$AH$8,AE157+$AH$8),"")</f>
        <v>88.081902123730387</v>
      </c>
      <c r="AI157" s="31" t="str">
        <f>IF(A157&lt;&gt;"",CHOOSE(10-MIN(9,TRUNC((AH157+0.5)/10)),"A","B","C","D","F","F","F","F","F","F"),"")</f>
        <v>B</v>
      </c>
      <c r="AJ157" s="31" t="str">
        <f>IF(A157&lt;&gt;"",IF(OR(AH157+0.5&gt;=93,AH157+0.5&lt;60),"",IF(MOD(AH157+0.5,10)&gt;=7,"+",IF(MOD(AH157+0.5,10)&lt;3,"-",""))),"")</f>
        <v>+</v>
      </c>
      <c r="AK157" s="31" t="b">
        <f>IF(A157&lt;&gt;"",OR(AI157&lt;&gt;AC157,AJ157&lt;&gt;AD157),"")</f>
        <v>0</v>
      </c>
      <c r="AL157" s="81">
        <f>IF(AND(A157&lt;&gt;"",U157&gt;0),SUM(U157,$AL$8)/$AL$2*100,"")</f>
        <v>86.5</v>
      </c>
      <c r="AM157" s="24">
        <f>IF(AND(A157&lt;&gt;"",V157&gt;0),SUM(V157,$AM$8)/$AM$2*100,"")</f>
        <v>94.333333333333343</v>
      </c>
      <c r="AN157" s="24" t="str">
        <f>IF(AND(A157&lt;&gt;"",P157&lt;&gt;0),SUM(P157,$AN$8)/$AN$2*100,"")</f>
        <v/>
      </c>
      <c r="AO157" s="24" t="str">
        <f>IF(AND(A157&lt;&gt;"",Q157&lt;&gt;0),SUM(Q157,$AO$8)/$AO$2*100,"")</f>
        <v/>
      </c>
      <c r="AP157" s="24">
        <f>IF(AND(A157&lt;&gt;"",R157&lt;&gt;0),SUM(R157,$AP$8)/$AP$2*100,"")</f>
        <v>79.002659574468083</v>
      </c>
      <c r="AQ157" s="24" t="str">
        <f>IF(AND(A157&lt;&gt;"",W157&gt;0),SUM(W157,$AQ$8)/$AQ$2*100,"")</f>
        <v/>
      </c>
      <c r="AR157" s="24">
        <f>IF(AND(A157&lt;&gt;"",T157&gt;0),SUM(T157,$AR$8)/$AR$2*100,"")</f>
        <v>84.363804247460749</v>
      </c>
      <c r="AS157" s="24">
        <f>IF(AND(A157&lt;&gt;"",X157&lt;&gt;0),SUM(X157,$AS$8)/$AS$2*100,"")</f>
        <v>84.363804247460763</v>
      </c>
      <c r="AT157" s="86">
        <f>IF(A157&lt;&gt;"",SUM(W157:X157,$AT$8)/$AT$2*100,"")</f>
        <v>84.363804247460763</v>
      </c>
      <c r="AU157" s="24">
        <f>AA157</f>
        <v>88.081902123730387</v>
      </c>
      <c r="AV157" s="24"/>
      <c r="AW157" s="27">
        <f>IF(A157&lt;&gt;"",AE157-AA157,"")</f>
        <v>-3.7180978762696242</v>
      </c>
      <c r="AY157" s="27">
        <f>AR157-AP157</f>
        <v>5.3611446729926655</v>
      </c>
      <c r="AZ157" s="27">
        <f>ABS(AY157)</f>
        <v>5.3611446729926655</v>
      </c>
    </row>
    <row r="158" spans="1:52" s="27" customFormat="1" ht="12.75" customHeight="1" x14ac:dyDescent="0.2">
      <c r="A158" s="50">
        <v>391548</v>
      </c>
      <c r="B158" s="2">
        <v>25</v>
      </c>
      <c r="C158" s="50">
        <v>25</v>
      </c>
      <c r="D158" s="10">
        <v>23</v>
      </c>
      <c r="E158" s="10">
        <v>23</v>
      </c>
      <c r="F158" s="10">
        <v>19</v>
      </c>
      <c r="G158" s="10">
        <v>25</v>
      </c>
      <c r="H158" s="10">
        <v>22</v>
      </c>
      <c r="I158" s="10">
        <v>25</v>
      </c>
      <c r="J158" s="2"/>
      <c r="K158" s="10">
        <v>62</v>
      </c>
      <c r="L158" s="10">
        <v>61</v>
      </c>
      <c r="M158" s="10">
        <v>55</v>
      </c>
      <c r="N158" s="51">
        <v>54</v>
      </c>
      <c r="O158" s="11">
        <v>47</v>
      </c>
      <c r="P158" s="10"/>
      <c r="Q158" s="40"/>
      <c r="R158" s="2">
        <v>140</v>
      </c>
      <c r="S158" s="10">
        <f>IF(T158="",R158,MAX((R158+$R$8)/$R$2,(T158+$T$8)/$T$2)*$R$2-$R$8)</f>
        <v>154.38895601265202</v>
      </c>
      <c r="T158" s="62">
        <v>229</v>
      </c>
      <c r="U158" s="10">
        <f>IF(A158&lt;&gt;"",SUM(B158:I158),"")</f>
        <v>187</v>
      </c>
      <c r="V158" s="10">
        <f>IF(A158&lt;&gt;"",SUM(J158:O158),"")</f>
        <v>279</v>
      </c>
      <c r="W158" s="10">
        <f>IF(A158&lt;&gt;"",SUM(P158:Q158),"")</f>
        <v>0</v>
      </c>
      <c r="X158" s="10">
        <f>IF(A158&lt;&gt;"",SUM(S158:T158),"")</f>
        <v>383.38895601265199</v>
      </c>
      <c r="Y158" s="12" t="s">
        <v>69</v>
      </c>
      <c r="Z158" s="12">
        <f>IF(A158&lt;&gt;"",SUM(U158:Y158),"")</f>
        <v>849.38895601265199</v>
      </c>
      <c r="AA158" s="27">
        <f>IF(A158&lt;&gt;"",(Z158+Normalize_To_Add)/(Point_Total_So_Far)*100,"")</f>
        <v>92.448568790397047</v>
      </c>
      <c r="AB158" s="10">
        <f>IF(A158&lt;&gt;"",RANK(AA158,All_Student_XC),"")</f>
        <v>55</v>
      </c>
      <c r="AC158" s="31" t="str">
        <f>IF(A158&lt;&gt;"",CHOOSE(10-MIN(9,TRUNC((AA158+0.5)/10)),"A","B","C","D","F","F","F","F","F","F"),"")</f>
        <v>A</v>
      </c>
      <c r="AD158" s="31" t="str">
        <f>IF(A158&lt;&gt;"",IF(OR(AA158+0.5&gt;=93,AA158+0.5&lt;60),"",IF(MOD(AA158+0.5,10)&gt;=7,"+",IF(MOD(AA158+0.5,10)&lt;3,"-",""))),"")</f>
        <v>-</v>
      </c>
      <c r="AE158" s="31">
        <f>IF(A158&lt;&gt;"",SUM(W158:X158,$W$8:$X$8)/SUM($W$2:$X$2)*100,"")</f>
        <v>91.697137580794092</v>
      </c>
      <c r="AF158" s="43" t="str">
        <f>IF(A158&lt;&gt;"",CHOOSE(10-MIN(9,TRUNC((AE158+0.5)/10)),"A","B","C","D","F","F","F","F","F","F"),"")</f>
        <v>A</v>
      </c>
      <c r="AG158" s="43" t="str">
        <f>IF(A158&lt;&gt;"",IF(OR(AE158+0.5&gt;=93,AE158+0.5&lt;60),"",IF(MOD(AE158+0.5,10)&gt;=7,"+",IF(MOD(AE158+0.5,10)&lt;3,"-",""))),"")</f>
        <v>-</v>
      </c>
      <c r="AH158" s="35">
        <f>IF(A158&lt;&gt;"",MIN(MAX(AA158,AE158),AA158+$AH$8,AE158+$AH$8),"")</f>
        <v>92.448568790397047</v>
      </c>
      <c r="AI158" s="31" t="str">
        <f>IF(A158&lt;&gt;"",CHOOSE(10-MIN(9,TRUNC((AH158+0.5)/10)),"A","B","C","D","F","F","F","F","F","F"),"")</f>
        <v>A</v>
      </c>
      <c r="AJ158" s="31" t="str">
        <f>IF(A158&lt;&gt;"",IF(OR(AH158+0.5&gt;=93,AH158+0.5&lt;60),"",IF(MOD(AH158+0.5,10)&gt;=7,"+",IF(MOD(AH158+0.5,10)&lt;3,"-",""))),"")</f>
        <v>-</v>
      </c>
      <c r="AK158" s="31" t="b">
        <f>IF(A158&lt;&gt;"",OR(AI158&lt;&gt;AC158,AJ158&lt;&gt;AD158),"")</f>
        <v>0</v>
      </c>
      <c r="AL158" s="81">
        <f>IF(AND(A158&lt;&gt;"",U158&gt;0),SUM(U158,$AL$8)/$AL$2*100,"")</f>
        <v>93.5</v>
      </c>
      <c r="AM158" s="24">
        <f>IF(AND(A158&lt;&gt;"",V158&gt;0),SUM(V158,$AM$8)/$AM$2*100,"")</f>
        <v>93</v>
      </c>
      <c r="AN158" s="24" t="str">
        <f>IF(AND(A158&lt;&gt;"",P158&lt;&gt;0),SUM(P158,$AN$8)/$AN$2*100,"")</f>
        <v/>
      </c>
      <c r="AO158" s="24" t="str">
        <f>IF(AND(A158&lt;&gt;"",Q158&lt;&gt;0),SUM(Q158,$AO$8)/$AO$2*100,"")</f>
        <v/>
      </c>
      <c r="AP158" s="24">
        <f>IF(AND(A158&lt;&gt;"",R158&lt;&gt;0),SUM(R158,$AP$8)/$AP$2*100,"")</f>
        <v>84.502659574468083</v>
      </c>
      <c r="AQ158" s="24" t="str">
        <f>IF(AND(A158&lt;&gt;"",W158&gt;0),SUM(W158,$AQ$8)/$AQ$2*100,"")</f>
        <v/>
      </c>
      <c r="AR158" s="24">
        <f>IF(AND(A158&lt;&gt;"",T158&gt;0),SUM(T158,$AR$8)/$AR$2*100,"")</f>
        <v>91.697137580794092</v>
      </c>
      <c r="AS158" s="24">
        <f>IF(AND(A158&lt;&gt;"",X158&lt;&gt;0),SUM(X158,$AS$8)/$AS$2*100,"")</f>
        <v>91.697137580794092</v>
      </c>
      <c r="AT158" s="86">
        <f>IF(A158&lt;&gt;"",SUM(W158:X158,$AT$8)/$AT$2*100,"")</f>
        <v>91.697137580794092</v>
      </c>
      <c r="AU158" s="24">
        <f>AA158</f>
        <v>92.448568790397047</v>
      </c>
      <c r="AV158" s="24"/>
      <c r="AW158" s="27">
        <f>IF(A158&lt;&gt;"",AE158-AA158,"")</f>
        <v>-0.75143120960295562</v>
      </c>
      <c r="AY158" s="27">
        <f>AR158-AP158</f>
        <v>7.1944780063260083</v>
      </c>
      <c r="AZ158" s="27">
        <f>ABS(AY158)</f>
        <v>7.1944780063260083</v>
      </c>
    </row>
    <row r="159" spans="1:52" s="27" customFormat="1" ht="12.75" customHeight="1" x14ac:dyDescent="0.2">
      <c r="A159" s="50">
        <v>392030</v>
      </c>
      <c r="B159" s="2">
        <v>25</v>
      </c>
      <c r="C159" s="50">
        <v>24</v>
      </c>
      <c r="D159" s="10">
        <v>24</v>
      </c>
      <c r="E159" s="10">
        <v>25</v>
      </c>
      <c r="F159" s="10">
        <v>23</v>
      </c>
      <c r="G159" s="10">
        <v>25</v>
      </c>
      <c r="H159" s="10">
        <v>13</v>
      </c>
      <c r="I159" s="10">
        <v>21</v>
      </c>
      <c r="J159" s="2"/>
      <c r="K159" s="10">
        <v>59</v>
      </c>
      <c r="L159" s="10">
        <v>57</v>
      </c>
      <c r="M159" s="10">
        <v>57</v>
      </c>
      <c r="N159" s="51">
        <v>60</v>
      </c>
      <c r="O159" s="11">
        <v>60</v>
      </c>
      <c r="P159" s="10"/>
      <c r="Q159" s="40"/>
      <c r="R159" s="2">
        <v>134</v>
      </c>
      <c r="S159" s="10">
        <f>IF(T159="",R159,MAX((R159+$R$8)/$R$2,(T159+$T$8)/$T$2)*$R$2-$R$8)</f>
        <v>155.72228934598536</v>
      </c>
      <c r="T159" s="62">
        <v>231</v>
      </c>
      <c r="U159" s="10">
        <f>IF(A159&lt;&gt;"",SUM(B159:I159),"")</f>
        <v>180</v>
      </c>
      <c r="V159" s="10">
        <f>IF(A159&lt;&gt;"",SUM(J159:O159),"")</f>
        <v>293</v>
      </c>
      <c r="W159" s="10">
        <f>IF(A159&lt;&gt;"",SUM(P159:Q159),"")</f>
        <v>0</v>
      </c>
      <c r="X159" s="10">
        <f>IF(A159&lt;&gt;"",SUM(S159:T159),"")</f>
        <v>386.72228934598536</v>
      </c>
      <c r="Y159" s="12">
        <v>3</v>
      </c>
      <c r="Z159" s="12">
        <f>IF(A159&lt;&gt;"",SUM(U159:Y159),"")</f>
        <v>862.72228934598536</v>
      </c>
      <c r="AA159" s="27">
        <f>IF(A159&lt;&gt;"",(Z159+Normalize_To_Add)/(Point_Total_So_Far)*100,"")</f>
        <v>93.781902123730376</v>
      </c>
      <c r="AB159" s="10">
        <f>IF(A159&lt;&gt;"",RANK(AA159,All_Student_XC),"")</f>
        <v>45</v>
      </c>
      <c r="AC159" s="31" t="str">
        <f>IF(A159&lt;&gt;"",CHOOSE(10-MIN(9,TRUNC((AA159+0.5)/10)),"A","B","C","D","F","F","F","F","F","F"),"")</f>
        <v>A</v>
      </c>
      <c r="AD159" s="31" t="str">
        <f>IF(A159&lt;&gt;"",IF(OR(AA159+0.5&gt;=93,AA159+0.5&lt;60),"",IF(MOD(AA159+0.5,10)&gt;=7,"+",IF(MOD(AA159+0.5,10)&lt;3,"-",""))),"")</f>
        <v/>
      </c>
      <c r="AE159" s="31">
        <f>IF(A159&lt;&gt;"",SUM(W159:X159,$W$8:$X$8)/SUM($W$2:$X$2)*100,"")</f>
        <v>92.363804247460763</v>
      </c>
      <c r="AF159" s="43" t="str">
        <f>IF(A159&lt;&gt;"",CHOOSE(10-MIN(9,TRUNC((AE159+0.5)/10)),"A","B","C","D","F","F","F","F","F","F"),"")</f>
        <v>A</v>
      </c>
      <c r="AG159" s="43" t="str">
        <f>IF(A159&lt;&gt;"",IF(OR(AE159+0.5&gt;=93,AE159+0.5&lt;60),"",IF(MOD(AE159+0.5,10)&gt;=7,"+",IF(MOD(AE159+0.5,10)&lt;3,"-",""))),"")</f>
        <v>-</v>
      </c>
      <c r="AH159" s="35">
        <f>IF(A159&lt;&gt;"",MIN(MAX(AA159,AE159),AA159+$AH$8,AE159+$AH$8),"")</f>
        <v>93.781902123730376</v>
      </c>
      <c r="AI159" s="31" t="str">
        <f>IF(A159&lt;&gt;"",CHOOSE(10-MIN(9,TRUNC((AH159+0.5)/10)),"A","B","C","D","F","F","F","F","F","F"),"")</f>
        <v>A</v>
      </c>
      <c r="AJ159" s="31" t="str">
        <f>IF(A159&lt;&gt;"",IF(OR(AH159+0.5&gt;=93,AH159+0.5&lt;60),"",IF(MOD(AH159+0.5,10)&gt;=7,"+",IF(MOD(AH159+0.5,10)&lt;3,"-",""))),"")</f>
        <v/>
      </c>
      <c r="AK159" s="31" t="b">
        <f>IF(A159&lt;&gt;"",OR(AI159&lt;&gt;AC159,AJ159&lt;&gt;AD159),"")</f>
        <v>0</v>
      </c>
      <c r="AL159" s="81">
        <f>IF(AND(A159&lt;&gt;"",U159&gt;0),SUM(U159,$AL$8)/$AL$2*100,"")</f>
        <v>90</v>
      </c>
      <c r="AM159" s="24">
        <f>IF(AND(A159&lt;&gt;"",V159&gt;0),SUM(V159,$AM$8)/$AM$2*100,"")</f>
        <v>97.666666666666671</v>
      </c>
      <c r="AN159" s="24" t="str">
        <f>IF(AND(A159&lt;&gt;"",P159&lt;&gt;0),SUM(P159,$AN$8)/$AN$2*100,"")</f>
        <v/>
      </c>
      <c r="AO159" s="24" t="str">
        <f>IF(AND(A159&lt;&gt;"",Q159&lt;&gt;0),SUM(Q159,$AO$8)/$AO$2*100,"")</f>
        <v/>
      </c>
      <c r="AP159" s="24">
        <f>IF(AND(A159&lt;&gt;"",R159&lt;&gt;0),SUM(R159,$AP$8)/$AP$2*100,"")</f>
        <v>81.502659574468083</v>
      </c>
      <c r="AQ159" s="24" t="str">
        <f>IF(AND(A159&lt;&gt;"",W159&gt;0),SUM(W159,$AQ$8)/$AQ$2*100,"")</f>
        <v/>
      </c>
      <c r="AR159" s="24">
        <f>IF(AND(A159&lt;&gt;"",T159&gt;0),SUM(T159,$AR$8)/$AR$2*100,"")</f>
        <v>92.363804247460763</v>
      </c>
      <c r="AS159" s="24">
        <f>IF(AND(A159&lt;&gt;"",X159&lt;&gt;0),SUM(X159,$AS$8)/$AS$2*100,"")</f>
        <v>92.363804247460763</v>
      </c>
      <c r="AT159" s="86">
        <f>IF(A159&lt;&gt;"",SUM(W159:X159,$AT$8)/$AT$2*100,"")</f>
        <v>92.363804247460763</v>
      </c>
      <c r="AU159" s="24">
        <f>AA159</f>
        <v>93.781902123730376</v>
      </c>
      <c r="AV159" s="24"/>
      <c r="AW159" s="27">
        <f>IF(A159&lt;&gt;"",AE159-AA159,"")</f>
        <v>-1.4180978762696128</v>
      </c>
      <c r="AY159" s="27">
        <f>AR159-AP159</f>
        <v>10.86114467299268</v>
      </c>
      <c r="AZ159" s="27">
        <f>ABS(AY159)</f>
        <v>10.86114467299268</v>
      </c>
    </row>
    <row r="160" spans="1:52" s="27" customFormat="1" ht="12.75" customHeight="1" x14ac:dyDescent="0.2">
      <c r="A160" s="10">
        <v>402180</v>
      </c>
      <c r="B160" s="2">
        <v>16</v>
      </c>
      <c r="C160" s="10">
        <v>21</v>
      </c>
      <c r="D160" s="10">
        <v>22</v>
      </c>
      <c r="E160" s="10">
        <v>25</v>
      </c>
      <c r="F160" s="10">
        <v>19</v>
      </c>
      <c r="G160" s="10">
        <v>16</v>
      </c>
      <c r="H160" s="10">
        <v>10</v>
      </c>
      <c r="I160" s="10">
        <v>19</v>
      </c>
      <c r="J160" s="2"/>
      <c r="K160" s="10">
        <v>42</v>
      </c>
      <c r="L160" s="10">
        <v>60</v>
      </c>
      <c r="M160" s="10">
        <v>60</v>
      </c>
      <c r="N160" s="51">
        <v>60</v>
      </c>
      <c r="O160" s="11">
        <v>33</v>
      </c>
      <c r="P160" s="10"/>
      <c r="Q160" s="40"/>
      <c r="R160" s="2">
        <v>132</v>
      </c>
      <c r="S160" s="10">
        <f>IF(T160="",R160,MAX((R160+$R$8)/$R$2,(T160+$T$8)/$T$2)*$R$2-$R$8)</f>
        <v>132</v>
      </c>
      <c r="T160" s="12">
        <v>189</v>
      </c>
      <c r="U160" s="34">
        <f>IF(A160&lt;&gt;"",SUM(B160:I160),"")</f>
        <v>148</v>
      </c>
      <c r="V160" s="10">
        <f>IF(A160&lt;&gt;"",SUM(J160:O160),"")</f>
        <v>255</v>
      </c>
      <c r="W160" s="10">
        <f>IF(A160&lt;&gt;"",SUM(P160:Q160),"")</f>
        <v>0</v>
      </c>
      <c r="X160" s="10">
        <f>IF(A160&lt;&gt;"",SUM(S160:T160),"")</f>
        <v>321</v>
      </c>
      <c r="Y160" s="12" t="s">
        <v>69</v>
      </c>
      <c r="Z160" s="12">
        <f>IF(A160&lt;&gt;"",SUM(U160:Y160),"")</f>
        <v>724</v>
      </c>
      <c r="AA160" s="27">
        <f>IF(A160&lt;&gt;"",(Z160+Normalize_To_Add)/(Point_Total_So_Far)*100,"")</f>
        <v>79.909673189131851</v>
      </c>
      <c r="AB160" s="10">
        <f>IF(A160&lt;&gt;"",RANK(AA160,All_Student_XC),"")</f>
        <v>211</v>
      </c>
      <c r="AC160" s="31" t="str">
        <f>IF(A160&lt;&gt;"",CHOOSE(10-MIN(9,TRUNC((AA160+0.5)/10)),"A","B","C","D","F","F","F","F","F","F"),"")</f>
        <v>B</v>
      </c>
      <c r="AD160" s="31" t="str">
        <f>IF(A160&lt;&gt;"",IF(OR(AA160+0.5&gt;=93,AA160+0.5&lt;60),"",IF(MOD(AA160+0.5,10)&gt;=7,"+",IF(MOD(AA160+0.5,10)&lt;3,"-",""))),"")</f>
        <v>-</v>
      </c>
      <c r="AE160" s="31">
        <f>IF(A160&lt;&gt;"",SUM(W160:X160,$W$8:$X$8)/SUM($W$2:$X$2)*100,"")</f>
        <v>79.219346378263694</v>
      </c>
      <c r="AF160" s="31" t="str">
        <f>IF(A160&lt;&gt;"",CHOOSE(10-MIN(9,TRUNC((AE160+0.5)/10)),"A","B","C","D","F","F","F","F","F","F"),"")</f>
        <v>C</v>
      </c>
      <c r="AG160" s="31" t="str">
        <f>IF(A160&lt;&gt;"",IF(OR(AE160+0.5&gt;=93,AE160+0.5&lt;60),"",IF(MOD(AE160+0.5,10)&gt;=7,"+",IF(MOD(AE160+0.5,10)&lt;3,"-",""))),"")</f>
        <v>+</v>
      </c>
      <c r="AH160" s="35">
        <f>IF(A160&lt;&gt;"",MIN(MAX(AA160,AE160),AA160+$AH$8,AE160+$AH$8),"")</f>
        <v>79.909673189131851</v>
      </c>
      <c r="AI160" s="31" t="str">
        <f>IF(A160&lt;&gt;"",CHOOSE(10-MIN(9,TRUNC((AH160+0.5)/10)),"A","B","C","D","F","F","F","F","F","F"),"")</f>
        <v>B</v>
      </c>
      <c r="AJ160" s="31" t="str">
        <f>IF(A160&lt;&gt;"",IF(OR(AH160+0.5&gt;=93,AH160+0.5&lt;60),"",IF(MOD(AH160+0.5,10)&gt;=7,"+",IF(MOD(AH160+0.5,10)&lt;3,"-",""))),"")</f>
        <v>-</v>
      </c>
      <c r="AK160" s="31" t="b">
        <f>IF(A160&lt;&gt;"",OR(AI160&lt;&gt;AC160,AJ160&lt;&gt;AD160),"")</f>
        <v>0</v>
      </c>
      <c r="AL160" s="81">
        <f>IF(AND(A160&lt;&gt;"",U160&gt;0),SUM(U160,$AL$8)/$AL$2*100,"")</f>
        <v>74</v>
      </c>
      <c r="AM160" s="24">
        <f>IF(AND(A160&lt;&gt;"",V160&gt;0),SUM(V160,$AM$8)/$AM$2*100,"")</f>
        <v>85</v>
      </c>
      <c r="AN160" s="24" t="str">
        <f>IF(AND(A160&lt;&gt;"",P160&lt;&gt;0),SUM(P160,$AN$8)/$AN$2*100,"")</f>
        <v/>
      </c>
      <c r="AO160" s="24" t="str">
        <f>IF(AND(A160&lt;&gt;"",Q160&lt;&gt;0),SUM(Q160,$AO$8)/$AO$2*100,"")</f>
        <v/>
      </c>
      <c r="AP160" s="24">
        <f>IF(AND(A160&lt;&gt;"",R160&lt;&gt;0),SUM(R160,$AP$8)/$AP$2*100,"")</f>
        <v>80.502659574468083</v>
      </c>
      <c r="AQ160" s="24" t="str">
        <f>IF(AND(A160&lt;&gt;"",W160&gt;0),SUM(W160,$AQ$8)/$AQ$2*100,"")</f>
        <v/>
      </c>
      <c r="AR160" s="24">
        <f>IF(AND(A160&lt;&gt;"",T160&gt;0),SUM(T160,$AR$8)/$AR$2*100,"")</f>
        <v>78.363804247460749</v>
      </c>
      <c r="AS160" s="24">
        <f>IF(AND(A160&lt;&gt;"",X160&lt;&gt;0),SUM(X160,$AS$8)/$AS$2*100,"")</f>
        <v>79.219346378263694</v>
      </c>
      <c r="AT160" s="86">
        <f>IF(A160&lt;&gt;"",SUM(W160:X160,$AT$8)/$AT$2*100,"")</f>
        <v>79.219346378263694</v>
      </c>
      <c r="AU160" s="24">
        <f>AA160</f>
        <v>79.909673189131851</v>
      </c>
      <c r="AV160" s="24"/>
      <c r="AW160" s="27">
        <f>IF(A160&lt;&gt;"",AE160-AA160,"")</f>
        <v>-0.69032681086815728</v>
      </c>
      <c r="AY160" s="27">
        <f>AR160-AP160</f>
        <v>-2.1388553270073345</v>
      </c>
      <c r="AZ160" s="27">
        <f>ABS(AY160)</f>
        <v>2.1388553270073345</v>
      </c>
    </row>
    <row r="161" spans="1:52" s="27" customFormat="1" ht="12.75" customHeight="1" x14ac:dyDescent="0.2">
      <c r="A161" s="50">
        <v>406900</v>
      </c>
      <c r="B161" s="2">
        <v>25</v>
      </c>
      <c r="C161" s="50">
        <v>25</v>
      </c>
      <c r="D161" s="10">
        <v>24</v>
      </c>
      <c r="E161" s="10">
        <v>25</v>
      </c>
      <c r="F161" s="10">
        <v>24</v>
      </c>
      <c r="G161" s="10">
        <v>25</v>
      </c>
      <c r="H161" s="10">
        <v>25</v>
      </c>
      <c r="I161" s="10">
        <v>20</v>
      </c>
      <c r="J161" s="2"/>
      <c r="K161" s="10">
        <v>59</v>
      </c>
      <c r="L161" s="10">
        <v>51</v>
      </c>
      <c r="M161" s="10">
        <v>61</v>
      </c>
      <c r="N161" s="51">
        <v>54</v>
      </c>
      <c r="O161" s="11">
        <v>60</v>
      </c>
      <c r="P161" s="10"/>
      <c r="Q161" s="40"/>
      <c r="R161" s="2">
        <v>126</v>
      </c>
      <c r="S161" s="10">
        <f>IF(T161="",R161,MAX((R161+$R$8)/$R$2,(T161+$T$8)/$T$2)*$R$2-$R$8)</f>
        <v>142.38895601265202</v>
      </c>
      <c r="T161" s="62">
        <v>211</v>
      </c>
      <c r="U161" s="10">
        <f>IF(A161&lt;&gt;"",SUM(B161:I161),"")</f>
        <v>193</v>
      </c>
      <c r="V161" s="10">
        <f>IF(A161&lt;&gt;"",SUM(J161:O161),"")</f>
        <v>285</v>
      </c>
      <c r="W161" s="10">
        <f>IF(A161&lt;&gt;"",SUM(P161:Q161),"")</f>
        <v>0</v>
      </c>
      <c r="X161" s="10">
        <f>IF(A161&lt;&gt;"",SUM(S161:T161),"")</f>
        <v>353.38895601265199</v>
      </c>
      <c r="Y161" s="12">
        <v>3</v>
      </c>
      <c r="Z161" s="12">
        <f>IF(A161&lt;&gt;"",SUM(U161:Y161),"")</f>
        <v>834.38895601265199</v>
      </c>
      <c r="AA161" s="27">
        <f>IF(A161&lt;&gt;"",(Z161+Normalize_To_Add)/(Point_Total_So_Far)*100,"")</f>
        <v>90.948568790397047</v>
      </c>
      <c r="AB161" s="10">
        <f>IF(A161&lt;&gt;"",RANK(AA161,All_Student_XC),"")</f>
        <v>67</v>
      </c>
      <c r="AC161" s="31" t="str">
        <f>IF(A161&lt;&gt;"",CHOOSE(10-MIN(9,TRUNC((AA161+0.5)/10)),"A","B","C","D","F","F","F","F","F","F"),"")</f>
        <v>A</v>
      </c>
      <c r="AD161" s="31" t="str">
        <f>IF(A161&lt;&gt;"",IF(OR(AA161+0.5&gt;=93,AA161+0.5&lt;60),"",IF(MOD(AA161+0.5,10)&gt;=7,"+",IF(MOD(AA161+0.5,10)&lt;3,"-",""))),"")</f>
        <v>-</v>
      </c>
      <c r="AE161" s="31">
        <f>IF(A161&lt;&gt;"",SUM(W161:X161,$W$8:$X$8)/SUM($W$2:$X$2)*100,"")</f>
        <v>85.697137580794077</v>
      </c>
      <c r="AF161" s="43" t="str">
        <f>IF(A161&lt;&gt;"",CHOOSE(10-MIN(9,TRUNC((AE161+0.5)/10)),"A","B","C","D","F","F","F","F","F","F"),"")</f>
        <v>B</v>
      </c>
      <c r="AG161" s="43" t="str">
        <f>IF(A161&lt;&gt;"",IF(OR(AE161+0.5&gt;=93,AE161+0.5&lt;60),"",IF(MOD(AE161+0.5,10)&gt;=7,"+",IF(MOD(AE161+0.5,10)&lt;3,"-",""))),"")</f>
        <v/>
      </c>
      <c r="AH161" s="35">
        <f>IF(A161&lt;&gt;"",MIN(MAX(AA161,AE161),AA161+$AH$8,AE161+$AH$8),"")</f>
        <v>90.948568790397047</v>
      </c>
      <c r="AI161" s="31" t="str">
        <f>IF(A161&lt;&gt;"",CHOOSE(10-MIN(9,TRUNC((AH161+0.5)/10)),"A","B","C","D","F","F","F","F","F","F"),"")</f>
        <v>A</v>
      </c>
      <c r="AJ161" s="31" t="str">
        <f>IF(A161&lt;&gt;"",IF(OR(AH161+0.5&gt;=93,AH161+0.5&lt;60),"",IF(MOD(AH161+0.5,10)&gt;=7,"+",IF(MOD(AH161+0.5,10)&lt;3,"-",""))),"")</f>
        <v>-</v>
      </c>
      <c r="AK161" s="31" t="b">
        <f>IF(A161&lt;&gt;"",OR(AI161&lt;&gt;AC161,AJ161&lt;&gt;AD161),"")</f>
        <v>0</v>
      </c>
      <c r="AL161" s="81">
        <f>IF(AND(A161&lt;&gt;"",U161&gt;0),SUM(U161,$AL$8)/$AL$2*100,"")</f>
        <v>96.5</v>
      </c>
      <c r="AM161" s="24">
        <f>IF(AND(A161&lt;&gt;"",V161&gt;0),SUM(V161,$AM$8)/$AM$2*100,"")</f>
        <v>95</v>
      </c>
      <c r="AN161" s="24" t="str">
        <f>IF(AND(A161&lt;&gt;"",P161&lt;&gt;0),SUM(P161,$AN$8)/$AN$2*100,"")</f>
        <v/>
      </c>
      <c r="AO161" s="24" t="str">
        <f>IF(AND(A161&lt;&gt;"",Q161&lt;&gt;0),SUM(Q161,$AO$8)/$AO$2*100,"")</f>
        <v/>
      </c>
      <c r="AP161" s="24">
        <f>IF(AND(A161&lt;&gt;"",R161&lt;&gt;0),SUM(R161,$AP$8)/$AP$2*100,"")</f>
        <v>77.502659574468083</v>
      </c>
      <c r="AQ161" s="24" t="str">
        <f>IF(AND(A161&lt;&gt;"",W161&gt;0),SUM(W161,$AQ$8)/$AQ$2*100,"")</f>
        <v/>
      </c>
      <c r="AR161" s="24">
        <f>IF(AND(A161&lt;&gt;"",T161&gt;0),SUM(T161,$AR$8)/$AR$2*100,"")</f>
        <v>85.697137580794092</v>
      </c>
      <c r="AS161" s="24">
        <f>IF(AND(A161&lt;&gt;"",X161&lt;&gt;0),SUM(X161,$AS$8)/$AS$2*100,"")</f>
        <v>85.697137580794077</v>
      </c>
      <c r="AT161" s="86">
        <f>IF(A161&lt;&gt;"",SUM(W161:X161,$AT$8)/$AT$2*100,"")</f>
        <v>85.697137580794077</v>
      </c>
      <c r="AU161" s="24">
        <f>AA161</f>
        <v>90.948568790397047</v>
      </c>
      <c r="AV161" s="24"/>
      <c r="AW161" s="27">
        <f>IF(A161&lt;&gt;"",AE161-AA161,"")</f>
        <v>-5.2514312096029698</v>
      </c>
      <c r="AY161" s="27">
        <f>AR161-AP161</f>
        <v>8.1944780063260083</v>
      </c>
      <c r="AZ161" s="27">
        <f>ABS(AY161)</f>
        <v>8.1944780063260083</v>
      </c>
    </row>
    <row r="162" spans="1:52" s="27" customFormat="1" ht="12.75" customHeight="1" x14ac:dyDescent="0.2">
      <c r="A162" s="10">
        <v>412776</v>
      </c>
      <c r="B162" s="2">
        <v>25</v>
      </c>
      <c r="C162" s="10">
        <v>25</v>
      </c>
      <c r="D162" s="10">
        <v>18</v>
      </c>
      <c r="E162" s="10">
        <v>21</v>
      </c>
      <c r="F162" s="10">
        <v>20</v>
      </c>
      <c r="G162" s="10">
        <v>19</v>
      </c>
      <c r="H162" s="10">
        <v>17</v>
      </c>
      <c r="I162" s="10">
        <v>19</v>
      </c>
      <c r="J162" s="2"/>
      <c r="K162" s="10">
        <v>48</v>
      </c>
      <c r="L162" s="10">
        <v>29</v>
      </c>
      <c r="M162" s="10">
        <v>55</v>
      </c>
      <c r="N162" s="51">
        <v>35</v>
      </c>
      <c r="O162" s="11">
        <v>60</v>
      </c>
      <c r="P162" s="10"/>
      <c r="Q162" s="40"/>
      <c r="R162" s="2">
        <v>135</v>
      </c>
      <c r="S162" s="10">
        <f>IF(T162="",R162,MAX((R162+$R$8)/$R$2,(T162+$T$8)/$T$2)*$R$2-$R$8)</f>
        <v>149.05562267931867</v>
      </c>
      <c r="T162" s="12">
        <v>221</v>
      </c>
      <c r="U162" s="34">
        <f>IF(A162&lt;&gt;"",SUM(B162:I162),"")</f>
        <v>164</v>
      </c>
      <c r="V162" s="10">
        <f>IF(A162&lt;&gt;"",SUM(J162:O162),"")</f>
        <v>227</v>
      </c>
      <c r="W162" s="10">
        <f>IF(A162&lt;&gt;"",SUM(P162:Q162),"")</f>
        <v>0</v>
      </c>
      <c r="X162" s="10">
        <f>IF(A162&lt;&gt;"",SUM(S162:T162),"")</f>
        <v>370.05562267931867</v>
      </c>
      <c r="Y162" s="12">
        <v>3</v>
      </c>
      <c r="Z162" s="12">
        <f>IF(A162&lt;&gt;"",SUM(U162:Y162),"")</f>
        <v>764.05562267931873</v>
      </c>
      <c r="AA162" s="27">
        <f>IF(A162&lt;&gt;"",(Z162+Normalize_To_Add)/(Point_Total_So_Far)*100,"")</f>
        <v>83.915235457063716</v>
      </c>
      <c r="AB162" s="10">
        <f>IF(A162&lt;&gt;"",RANK(AA162,All_Student_XC),"")</f>
        <v>168</v>
      </c>
      <c r="AC162" s="31" t="str">
        <f>IF(A162&lt;&gt;"",CHOOSE(10-MIN(9,TRUNC((AA162+0.5)/10)),"A","B","C","D","F","F","F","F","F","F"),"")</f>
        <v>B</v>
      </c>
      <c r="AD162" s="31" t="str">
        <f>IF(A162&lt;&gt;"",IF(OR(AA162+0.5&gt;=93,AA162+0.5&lt;60),"",IF(MOD(AA162+0.5,10)&gt;=7,"+",IF(MOD(AA162+0.5,10)&lt;3,"-",""))),"")</f>
        <v/>
      </c>
      <c r="AE162" s="31">
        <f>IF(A162&lt;&gt;"",SUM(W162:X162,$W$8:$X$8)/SUM($W$2:$X$2)*100,"")</f>
        <v>89.03047091412742</v>
      </c>
      <c r="AF162" s="31" t="str">
        <f>IF(A162&lt;&gt;"",CHOOSE(10-MIN(9,TRUNC((AE162+0.5)/10)),"A","B","C","D","F","F","F","F","F","F"),"")</f>
        <v>B</v>
      </c>
      <c r="AG162" s="31" t="str">
        <f>IF(A162&lt;&gt;"",IF(OR(AE162+0.5&gt;=93,AE162+0.5&lt;60),"",IF(MOD(AE162+0.5,10)&gt;=7,"+",IF(MOD(AE162+0.5,10)&lt;3,"-",""))),"")</f>
        <v>+</v>
      </c>
      <c r="AH162" s="35">
        <f>IF(A162&lt;&gt;"",MIN(MAX(AA162,AE162),AA162+$AH$8,AE162+$AH$8),"")</f>
        <v>89.03047091412742</v>
      </c>
      <c r="AI162" s="31" t="str">
        <f>IF(A162&lt;&gt;"",CHOOSE(10-MIN(9,TRUNC((AH162+0.5)/10)),"A","B","C","D","F","F","F","F","F","F"),"")</f>
        <v>B</v>
      </c>
      <c r="AJ162" s="31" t="str">
        <f>IF(A162&lt;&gt;"",IF(OR(AH162+0.5&gt;=93,AH162+0.5&lt;60),"",IF(MOD(AH162+0.5,10)&gt;=7,"+",IF(MOD(AH162+0.5,10)&lt;3,"-",""))),"")</f>
        <v>+</v>
      </c>
      <c r="AK162" s="31" t="b">
        <f>IF(A162&lt;&gt;"",OR(AI162&lt;&gt;AC162,AJ162&lt;&gt;AD162),"")</f>
        <v>1</v>
      </c>
      <c r="AL162" s="81">
        <f>IF(AND(A162&lt;&gt;"",U162&gt;0),SUM(U162,$AL$8)/$AL$2*100,"")</f>
        <v>82</v>
      </c>
      <c r="AM162" s="24">
        <f>IF(AND(A162&lt;&gt;"",V162&gt;0),SUM(V162,$AM$8)/$AM$2*100,"")</f>
        <v>75.666666666666671</v>
      </c>
      <c r="AN162" s="24" t="str">
        <f>IF(AND(A162&lt;&gt;"",P162&lt;&gt;0),SUM(P162,$AN$8)/$AN$2*100,"")</f>
        <v/>
      </c>
      <c r="AO162" s="24" t="str">
        <f>IF(AND(A162&lt;&gt;"",Q162&lt;&gt;0),SUM(Q162,$AO$8)/$AO$2*100,"")</f>
        <v/>
      </c>
      <c r="AP162" s="24">
        <f>IF(AND(A162&lt;&gt;"",R162&lt;&gt;0),SUM(R162,$AP$8)/$AP$2*100,"")</f>
        <v>82.002659574468083</v>
      </c>
      <c r="AQ162" s="24" t="str">
        <f>IF(AND(A162&lt;&gt;"",W162&gt;0),SUM(W162,$AQ$8)/$AQ$2*100,"")</f>
        <v/>
      </c>
      <c r="AR162" s="24">
        <f>IF(AND(A162&lt;&gt;"",T162&gt;0),SUM(T162,$AR$8)/$AR$2*100,"")</f>
        <v>89.03047091412742</v>
      </c>
      <c r="AS162" s="24">
        <f>IF(AND(A162&lt;&gt;"",X162&lt;&gt;0),SUM(X162,$AS$8)/$AS$2*100,"")</f>
        <v>89.03047091412742</v>
      </c>
      <c r="AT162" s="86">
        <f>IF(A162&lt;&gt;"",SUM(W162:X162,$AT$8)/$AT$2*100,"")</f>
        <v>89.03047091412742</v>
      </c>
      <c r="AU162" s="24">
        <f>AA162</f>
        <v>83.915235457063716</v>
      </c>
      <c r="AV162" s="24"/>
      <c r="AW162" s="27">
        <f>IF(A162&lt;&gt;"",AE162-AA162,"")</f>
        <v>5.1152354570637044</v>
      </c>
      <c r="AY162" s="27">
        <f>AR162-AP162</f>
        <v>7.0278113396593369</v>
      </c>
      <c r="AZ162" s="27">
        <f>ABS(AY162)</f>
        <v>7.0278113396593369</v>
      </c>
    </row>
    <row r="163" spans="1:52" s="27" customFormat="1" ht="12.75" customHeight="1" x14ac:dyDescent="0.2">
      <c r="A163" s="50">
        <v>419024</v>
      </c>
      <c r="B163" s="2">
        <v>25</v>
      </c>
      <c r="C163" s="50">
        <v>24</v>
      </c>
      <c r="D163" s="10">
        <v>24</v>
      </c>
      <c r="E163" s="10">
        <v>25</v>
      </c>
      <c r="F163" s="10">
        <v>25</v>
      </c>
      <c r="G163" s="10">
        <v>25</v>
      </c>
      <c r="H163" s="10">
        <v>24</v>
      </c>
      <c r="I163" s="10">
        <v>24</v>
      </c>
      <c r="J163" s="2"/>
      <c r="K163" s="10">
        <v>60</v>
      </c>
      <c r="L163" s="10">
        <v>61</v>
      </c>
      <c r="M163" s="10">
        <v>57</v>
      </c>
      <c r="N163" s="51">
        <v>57</v>
      </c>
      <c r="O163" s="11">
        <v>62</v>
      </c>
      <c r="P163" s="10"/>
      <c r="Q163" s="40"/>
      <c r="R163" s="2">
        <v>147</v>
      </c>
      <c r="S163" s="10">
        <f>IF(T163="",R163,MAX((R163+$R$8)/$R$2,(T163+$T$8)/$T$2)*$R$2-$R$8)</f>
        <v>147</v>
      </c>
      <c r="T163" s="62">
        <v>193</v>
      </c>
      <c r="U163" s="10">
        <f>IF(A163&lt;&gt;"",SUM(B163:I163),"")</f>
        <v>196</v>
      </c>
      <c r="V163" s="10">
        <f>IF(A163&lt;&gt;"",SUM(J163:O163),"")</f>
        <v>297</v>
      </c>
      <c r="W163" s="10">
        <f>IF(A163&lt;&gt;"",SUM(P163:Q163),"")</f>
        <v>0</v>
      </c>
      <c r="X163" s="10">
        <f>IF(A163&lt;&gt;"",SUM(S163:T163),"")</f>
        <v>340</v>
      </c>
      <c r="Y163" s="12">
        <v>3</v>
      </c>
      <c r="Z163" s="12">
        <f>IF(A163&lt;&gt;"",SUM(U163:Y163),"")</f>
        <v>836</v>
      </c>
      <c r="AA163" s="27">
        <f>IF(A163&lt;&gt;"",(Z163+Normalize_To_Add)/(Point_Total_So_Far)*100,"")</f>
        <v>91.10967318913184</v>
      </c>
      <c r="AB163" s="10">
        <f>IF(A163&lt;&gt;"",RANK(AA163,All_Student_XC),"")</f>
        <v>64</v>
      </c>
      <c r="AC163" s="31" t="str">
        <f>IF(A163&lt;&gt;"",CHOOSE(10-MIN(9,TRUNC((AA163+0.5)/10)),"A","B","C","D","F","F","F","F","F","F"),"")</f>
        <v>A</v>
      </c>
      <c r="AD163" s="31" t="str">
        <f>IF(A163&lt;&gt;"",IF(OR(AA163+0.5&gt;=93,AA163+0.5&lt;60),"",IF(MOD(AA163+0.5,10)&gt;=7,"+",IF(MOD(AA163+0.5,10)&lt;3,"-",""))),"")</f>
        <v>-</v>
      </c>
      <c r="AE163" s="31">
        <f>IF(A163&lt;&gt;"",SUM(W163:X163,$W$8:$X$8)/SUM($W$2:$X$2)*100,"")</f>
        <v>83.019346378263677</v>
      </c>
      <c r="AF163" s="43" t="str">
        <f>IF(A163&lt;&gt;"",CHOOSE(10-MIN(9,TRUNC((AE163+0.5)/10)),"A","B","C","D","F","F","F","F","F","F"),"")</f>
        <v>B</v>
      </c>
      <c r="AG163" s="43" t="str">
        <f>IF(A163&lt;&gt;"",IF(OR(AE163+0.5&gt;=93,AE163+0.5&lt;60),"",IF(MOD(AE163+0.5,10)&gt;=7,"+",IF(MOD(AE163+0.5,10)&lt;3,"-",""))),"")</f>
        <v/>
      </c>
      <c r="AH163" s="35">
        <f>IF(A163&lt;&gt;"",MIN(MAX(AA163,AE163),AA163+$AH$8,AE163+$AH$8),"")</f>
        <v>91.10967318913184</v>
      </c>
      <c r="AI163" s="31" t="str">
        <f>IF(A163&lt;&gt;"",CHOOSE(10-MIN(9,TRUNC((AH163+0.5)/10)),"A","B","C","D","F","F","F","F","F","F"),"")</f>
        <v>A</v>
      </c>
      <c r="AJ163" s="31" t="str">
        <f>IF(A163&lt;&gt;"",IF(OR(AH163+0.5&gt;=93,AH163+0.5&lt;60),"",IF(MOD(AH163+0.5,10)&gt;=7,"+",IF(MOD(AH163+0.5,10)&lt;3,"-",""))),"")</f>
        <v>-</v>
      </c>
      <c r="AK163" s="31" t="b">
        <f>IF(A163&lt;&gt;"",OR(AI163&lt;&gt;AC163,AJ163&lt;&gt;AD163),"")</f>
        <v>0</v>
      </c>
      <c r="AL163" s="81">
        <f>IF(AND(A163&lt;&gt;"",U163&gt;0),SUM(U163,$AL$8)/$AL$2*100,"")</f>
        <v>98</v>
      </c>
      <c r="AM163" s="24">
        <f>IF(AND(A163&lt;&gt;"",V163&gt;0),SUM(V163,$AM$8)/$AM$2*100,"")</f>
        <v>99</v>
      </c>
      <c r="AN163" s="24" t="str">
        <f>IF(AND(A163&lt;&gt;"",P163&lt;&gt;0),SUM(P163,$AN$8)/$AN$2*100,"")</f>
        <v/>
      </c>
      <c r="AO163" s="24" t="str">
        <f>IF(AND(A163&lt;&gt;"",Q163&lt;&gt;0),SUM(Q163,$AO$8)/$AO$2*100,"")</f>
        <v/>
      </c>
      <c r="AP163" s="24">
        <f>IF(AND(A163&lt;&gt;"",R163&lt;&gt;0),SUM(R163,$AP$8)/$AP$2*100,"")</f>
        <v>88.002659574468083</v>
      </c>
      <c r="AQ163" s="24" t="str">
        <f>IF(AND(A163&lt;&gt;"",W163&gt;0),SUM(W163,$AQ$8)/$AQ$2*100,"")</f>
        <v/>
      </c>
      <c r="AR163" s="24">
        <f>IF(AND(A163&lt;&gt;"",T163&gt;0),SUM(T163,$AR$8)/$AR$2*100,"")</f>
        <v>79.697137580794092</v>
      </c>
      <c r="AS163" s="24">
        <f>IF(AND(A163&lt;&gt;"",X163&lt;&gt;0),SUM(X163,$AS$8)/$AS$2*100,"")</f>
        <v>83.019346378263677</v>
      </c>
      <c r="AT163" s="86">
        <f>IF(A163&lt;&gt;"",SUM(W163:X163,$AT$8)/$AT$2*100,"")</f>
        <v>83.019346378263677</v>
      </c>
      <c r="AU163" s="24">
        <f>AA163</f>
        <v>91.10967318913184</v>
      </c>
      <c r="AV163" s="24"/>
      <c r="AW163" s="27">
        <f>IF(A163&lt;&gt;"",AE163-AA163,"")</f>
        <v>-8.090326810868163</v>
      </c>
      <c r="AY163" s="27">
        <f>AR163-AP163</f>
        <v>-8.3055219936739917</v>
      </c>
      <c r="AZ163" s="27">
        <f>ABS(AY163)</f>
        <v>8.3055219936739917</v>
      </c>
    </row>
    <row r="164" spans="1:52" s="27" customFormat="1" ht="12.75" customHeight="1" x14ac:dyDescent="0.2">
      <c r="A164" s="50">
        <v>426186</v>
      </c>
      <c r="B164" s="2">
        <v>25</v>
      </c>
      <c r="C164" s="50">
        <v>23</v>
      </c>
      <c r="D164" s="10">
        <v>17</v>
      </c>
      <c r="E164" s="10">
        <v>22</v>
      </c>
      <c r="F164" s="10">
        <v>24</v>
      </c>
      <c r="G164" s="10">
        <v>25</v>
      </c>
      <c r="H164" s="10">
        <v>24</v>
      </c>
      <c r="I164" s="10">
        <v>19</v>
      </c>
      <c r="J164" s="2"/>
      <c r="K164" s="10">
        <v>59</v>
      </c>
      <c r="L164" s="10">
        <v>62</v>
      </c>
      <c r="M164" s="10">
        <v>62</v>
      </c>
      <c r="N164" s="51">
        <v>61</v>
      </c>
      <c r="O164" s="11">
        <v>60</v>
      </c>
      <c r="P164" s="10"/>
      <c r="Q164" s="40"/>
      <c r="R164" s="2">
        <v>147</v>
      </c>
      <c r="S164" s="10">
        <f>IF(T164="",R164,MAX((R164+$R$8)/$R$2,(T164+$T$8)/$T$2)*$R$2-$R$8)</f>
        <v>147</v>
      </c>
      <c r="T164" s="62">
        <v>194</v>
      </c>
      <c r="U164" s="10">
        <f>IF(A164&lt;&gt;"",SUM(B164:I164),"")</f>
        <v>179</v>
      </c>
      <c r="V164" s="10">
        <f>IF(A164&lt;&gt;"",SUM(J164:O164),"")</f>
        <v>304</v>
      </c>
      <c r="W164" s="10">
        <f>IF(A164&lt;&gt;"",SUM(P164:Q164),"")</f>
        <v>0</v>
      </c>
      <c r="X164" s="10">
        <f>IF(A164&lt;&gt;"",SUM(S164:T164),"")</f>
        <v>341</v>
      </c>
      <c r="Y164" s="12">
        <v>3</v>
      </c>
      <c r="Z164" s="12">
        <f>IF(A164&lt;&gt;"",SUM(U164:Y164),"")</f>
        <v>827</v>
      </c>
      <c r="AA164" s="27">
        <f>IF(A164&lt;&gt;"",(Z164+Normalize_To_Add)/(Point_Total_So_Far)*100,"")</f>
        <v>90.209673189131848</v>
      </c>
      <c r="AB164" s="10">
        <f>IF(A164&lt;&gt;"",RANK(AA164,All_Student_XC),"")</f>
        <v>72</v>
      </c>
      <c r="AC164" s="31" t="str">
        <f>IF(A164&lt;&gt;"",CHOOSE(10-MIN(9,TRUNC((AA164+0.5)/10)),"A","B","C","D","F","F","F","F","F","F"),"")</f>
        <v>A</v>
      </c>
      <c r="AD164" s="31" t="str">
        <f>IF(A164&lt;&gt;"",IF(OR(AA164+0.5&gt;=93,AA164+0.5&lt;60),"",IF(MOD(AA164+0.5,10)&gt;=7,"+",IF(MOD(AA164+0.5,10)&lt;3,"-",""))),"")</f>
        <v>-</v>
      </c>
      <c r="AE164" s="31">
        <f>IF(A164&lt;&gt;"",SUM(W164:X164,$W$8:$X$8)/SUM($W$2:$X$2)*100,"")</f>
        <v>83.21934637826368</v>
      </c>
      <c r="AF164" s="43" t="str">
        <f>IF(A164&lt;&gt;"",CHOOSE(10-MIN(9,TRUNC((AE164+0.5)/10)),"A","B","C","D","F","F","F","F","F","F"),"")</f>
        <v>B</v>
      </c>
      <c r="AG164" s="43" t="str">
        <f>IF(A164&lt;&gt;"",IF(OR(AE164+0.5&gt;=93,AE164+0.5&lt;60),"",IF(MOD(AE164+0.5,10)&gt;=7,"+",IF(MOD(AE164+0.5,10)&lt;3,"-",""))),"")</f>
        <v/>
      </c>
      <c r="AH164" s="35">
        <f>IF(A164&lt;&gt;"",MIN(MAX(AA164,AE164),AA164+$AH$8,AE164+$AH$8),"")</f>
        <v>90.209673189131848</v>
      </c>
      <c r="AI164" s="31" t="str">
        <f>IF(A164&lt;&gt;"",CHOOSE(10-MIN(9,TRUNC((AH164+0.5)/10)),"A","B","C","D","F","F","F","F","F","F"),"")</f>
        <v>A</v>
      </c>
      <c r="AJ164" s="31" t="str">
        <f>IF(A164&lt;&gt;"",IF(OR(AH164+0.5&gt;=93,AH164+0.5&lt;60),"",IF(MOD(AH164+0.5,10)&gt;=7,"+",IF(MOD(AH164+0.5,10)&lt;3,"-",""))),"")</f>
        <v>-</v>
      </c>
      <c r="AK164" s="31" t="b">
        <f>IF(A164&lt;&gt;"",OR(AI164&lt;&gt;AC164,AJ164&lt;&gt;AD164),"")</f>
        <v>0</v>
      </c>
      <c r="AL164" s="81">
        <f>IF(AND(A164&lt;&gt;"",U164&gt;0),SUM(U164,$AL$8)/$AL$2*100,"")</f>
        <v>89.5</v>
      </c>
      <c r="AM164" s="24">
        <f>IF(AND(A164&lt;&gt;"",V164&gt;0),SUM(V164,$AM$8)/$AM$2*100,"")</f>
        <v>101.33333333333334</v>
      </c>
      <c r="AN164" s="24" t="str">
        <f>IF(AND(A164&lt;&gt;"",P164&lt;&gt;0),SUM(P164,$AN$8)/$AN$2*100,"")</f>
        <v/>
      </c>
      <c r="AO164" s="24" t="str">
        <f>IF(AND(A164&lt;&gt;"",Q164&lt;&gt;0),SUM(Q164,$AO$8)/$AO$2*100,"")</f>
        <v/>
      </c>
      <c r="AP164" s="24">
        <f>IF(AND(A164&lt;&gt;"",R164&lt;&gt;0),SUM(R164,$AP$8)/$AP$2*100,"")</f>
        <v>88.002659574468083</v>
      </c>
      <c r="AQ164" s="24" t="str">
        <f>IF(AND(A164&lt;&gt;"",W164&gt;0),SUM(W164,$AQ$8)/$AQ$2*100,"")</f>
        <v/>
      </c>
      <c r="AR164" s="24">
        <f>IF(AND(A164&lt;&gt;"",T164&gt;0),SUM(T164,$AR$8)/$AR$2*100,"")</f>
        <v>80.03047091412742</v>
      </c>
      <c r="AS164" s="24">
        <f>IF(AND(A164&lt;&gt;"",X164&lt;&gt;0),SUM(X164,$AS$8)/$AS$2*100,"")</f>
        <v>83.21934637826368</v>
      </c>
      <c r="AT164" s="86">
        <f>IF(A164&lt;&gt;"",SUM(W164:X164,$AT$8)/$AT$2*100,"")</f>
        <v>83.21934637826368</v>
      </c>
      <c r="AU164" s="24">
        <f>AA164</f>
        <v>90.209673189131848</v>
      </c>
      <c r="AV164" s="24"/>
      <c r="AW164" s="27">
        <f>IF(A164&lt;&gt;"",AE164-AA164,"")</f>
        <v>-6.9903268108681686</v>
      </c>
      <c r="AY164" s="27">
        <f>AR164-AP164</f>
        <v>-7.9721886603406631</v>
      </c>
      <c r="AZ164" s="27">
        <f>ABS(AY164)</f>
        <v>7.9721886603406631</v>
      </c>
    </row>
    <row r="165" spans="1:52" s="27" customFormat="1" ht="12.75" customHeight="1" x14ac:dyDescent="0.2">
      <c r="A165" s="10">
        <v>426538</v>
      </c>
      <c r="B165" s="2">
        <v>8</v>
      </c>
      <c r="C165" s="10">
        <v>11</v>
      </c>
      <c r="D165" s="10">
        <v>22</v>
      </c>
      <c r="E165" s="10">
        <v>20</v>
      </c>
      <c r="F165" s="10">
        <v>9</v>
      </c>
      <c r="G165" s="10">
        <v>25</v>
      </c>
      <c r="H165" s="10">
        <v>11</v>
      </c>
      <c r="I165" s="10">
        <v>12</v>
      </c>
      <c r="J165" s="2"/>
      <c r="K165" s="10">
        <v>48</v>
      </c>
      <c r="L165" s="10">
        <v>28</v>
      </c>
      <c r="M165" s="51">
        <v>9</v>
      </c>
      <c r="N165" s="51">
        <v>11</v>
      </c>
      <c r="O165" s="11">
        <v>45</v>
      </c>
      <c r="P165" s="10"/>
      <c r="Q165" s="40"/>
      <c r="R165" s="2">
        <v>95</v>
      </c>
      <c r="S165" s="10">
        <f>IF(T165="",R165,MAX((R165+$R$8)/$R$2,(T165+$T$8)/$T$2)*$R$2-$R$8)</f>
        <v>95.000000000000014</v>
      </c>
      <c r="T165" s="12">
        <v>125</v>
      </c>
      <c r="U165" s="7">
        <f>IF(A165&lt;&gt;"",SUM(B165:I165),"")</f>
        <v>118</v>
      </c>
      <c r="V165" s="10">
        <f>IF(A165&lt;&gt;"",SUM(J165:O165),"")</f>
        <v>141</v>
      </c>
      <c r="W165" s="10">
        <f>IF(A165&lt;&gt;"",SUM(P165:Q165),"")</f>
        <v>0</v>
      </c>
      <c r="X165" s="10">
        <f>IF(A165&lt;&gt;"",SUM(S165:T165),"")</f>
        <v>220</v>
      </c>
      <c r="Y165" s="12" t="s">
        <v>69</v>
      </c>
      <c r="Z165" s="12">
        <f>IF(A165&lt;&gt;"",SUM(U165:Y165),"")</f>
        <v>479</v>
      </c>
      <c r="AA165" s="27">
        <f>IF(A165&lt;&gt;"",(Z165+Normalize_To_Add)/(Point_Total_So_Far)*100,"")</f>
        <v>55.409673189131844</v>
      </c>
      <c r="AB165" s="10">
        <f>IF(A165&lt;&gt;"",RANK(AA165,All_Student_XC),"")</f>
        <v>349</v>
      </c>
      <c r="AC165" s="31" t="str">
        <f>IF(A165&lt;&gt;"",CHOOSE(10-MIN(9,TRUNC((AA165+0.5)/10)),"A","B","C","D","F","F","F","F","F","F"),"")</f>
        <v>F</v>
      </c>
      <c r="AD165" s="31" t="str">
        <f>IF(A165&lt;&gt;"",IF(OR(AA165+0.5&gt;=93,AA165+0.5&lt;60),"",IF(MOD(AA165+0.5,10)&gt;=7,"+",IF(MOD(AA165+0.5,10)&lt;3,"-",""))),"")</f>
        <v/>
      </c>
      <c r="AE165" s="31">
        <f>IF(A165&lt;&gt;"",SUM(W165:X165,$W$8:$X$8)/SUM($W$2:$X$2)*100,"")</f>
        <v>59.019346378263684</v>
      </c>
      <c r="AF165" s="43" t="str">
        <f>IF(A165&lt;&gt;"",CHOOSE(10-MIN(9,TRUNC((AE165+0.5)/10)),"A","B","C","D","F","F","F","F","F","F"),"")</f>
        <v>F</v>
      </c>
      <c r="AG165" s="43" t="str">
        <f>IF(A165&lt;&gt;"",IF(OR(AE165+0.5&gt;=93,AE165+0.5&lt;60),"",IF(MOD(AE165+0.5,10)&gt;=7,"+",IF(MOD(AE165+0.5,10)&lt;3,"-",""))),"")</f>
        <v/>
      </c>
      <c r="AH165" s="35">
        <f>IF(A165&lt;&gt;"",MIN(MAX(AA165,AE165),AA165+$AH$8,AE165+$AH$8),"")</f>
        <v>59.019346378263684</v>
      </c>
      <c r="AI165" s="31" t="str">
        <f>IF(A165&lt;&gt;"",CHOOSE(10-MIN(9,TRUNC((AH165+0.5)/10)),"A","B","C","D","F","F","F","F","F","F"),"")</f>
        <v>F</v>
      </c>
      <c r="AJ165" s="31" t="str">
        <f>IF(A165&lt;&gt;"",IF(OR(AH165+0.5&gt;=93,AH165+0.5&lt;60),"",IF(MOD(AH165+0.5,10)&gt;=7,"+",IF(MOD(AH165+0.5,10)&lt;3,"-",""))),"")</f>
        <v/>
      </c>
      <c r="AK165" s="31" t="b">
        <f>IF(A165&lt;&gt;"",OR(AI165&lt;&gt;AC165,AJ165&lt;&gt;AD165),"")</f>
        <v>0</v>
      </c>
      <c r="AL165" s="81">
        <f>IF(AND(A165&lt;&gt;"",U165&gt;0),SUM(U165,$AL$8)/$AL$2*100,"")</f>
        <v>59</v>
      </c>
      <c r="AM165" s="24">
        <f>IF(AND(A165&lt;&gt;"",V165&gt;0),SUM(V165,$AM$8)/$AM$2*100,"")</f>
        <v>47</v>
      </c>
      <c r="AN165" s="24" t="str">
        <f>IF(AND(A165&lt;&gt;"",P165&lt;&gt;0),SUM(P165,$AN$8)/$AN$2*100,"")</f>
        <v/>
      </c>
      <c r="AO165" s="24" t="str">
        <f>IF(AND(A165&lt;&gt;"",Q165&lt;&gt;0),SUM(Q165,$AO$8)/$AO$2*100,"")</f>
        <v/>
      </c>
      <c r="AP165" s="24">
        <f>IF(AND(A165&lt;&gt;"",R165&lt;&gt;0),SUM(R165,$AP$8)/$AP$2*100,"")</f>
        <v>62.00265957446809</v>
      </c>
      <c r="AQ165" s="24" t="str">
        <f>IF(AND(A165&lt;&gt;"",W165&gt;0),SUM(W165,$AQ$8)/$AQ$2*100,"")</f>
        <v/>
      </c>
      <c r="AR165" s="24">
        <f>IF(AND(A165&lt;&gt;"",T165&gt;0),SUM(T165,$AR$8)/$AR$2*100,"")</f>
        <v>57.03047091412742</v>
      </c>
      <c r="AS165" s="24">
        <f>IF(AND(A165&lt;&gt;"",X165&lt;&gt;0),SUM(X165,$AS$8)/$AS$2*100,"")</f>
        <v>59.019346378263684</v>
      </c>
      <c r="AT165" s="86">
        <f>IF(A165&lt;&gt;"",SUM(W165:X165,$AT$8)/$AT$2*100,"")</f>
        <v>59.019346378263684</v>
      </c>
      <c r="AU165" s="24">
        <f>AA165</f>
        <v>55.409673189131844</v>
      </c>
      <c r="AV165" s="24"/>
      <c r="AW165" s="27">
        <f>IF(A165&lt;&gt;"",AE165-AA165,"")</f>
        <v>3.6096731891318399</v>
      </c>
      <c r="AY165" s="27">
        <f>AR165-AP165</f>
        <v>-4.9721886603406702</v>
      </c>
      <c r="AZ165" s="27">
        <f>ABS(AY165)</f>
        <v>4.9721886603406702</v>
      </c>
    </row>
    <row r="166" spans="1:52" s="27" customFormat="1" ht="12.75" customHeight="1" x14ac:dyDescent="0.2">
      <c r="A166" s="50">
        <v>429610</v>
      </c>
      <c r="B166" s="2">
        <v>25</v>
      </c>
      <c r="C166" s="50">
        <v>25</v>
      </c>
      <c r="D166" s="10">
        <v>22</v>
      </c>
      <c r="E166" s="10">
        <v>25</v>
      </c>
      <c r="F166" s="10">
        <v>22</v>
      </c>
      <c r="G166" s="10">
        <v>25</v>
      </c>
      <c r="H166" s="10">
        <v>24</v>
      </c>
      <c r="I166" s="10">
        <v>25</v>
      </c>
      <c r="J166" s="2"/>
      <c r="K166" s="10">
        <v>52</v>
      </c>
      <c r="L166" s="10">
        <v>28</v>
      </c>
      <c r="M166" s="10">
        <v>29</v>
      </c>
      <c r="N166" s="51">
        <v>1</v>
      </c>
      <c r="O166" s="11">
        <v>60</v>
      </c>
      <c r="P166" s="10"/>
      <c r="Q166" s="40"/>
      <c r="R166" s="2">
        <v>105</v>
      </c>
      <c r="S166" s="10">
        <f>IF(T166="",R166,MAX((R166+$R$8)/$R$2,(T166+$T$8)/$T$2)*$R$2-$R$8)</f>
        <v>105</v>
      </c>
      <c r="T166" s="62" t="s">
        <v>69</v>
      </c>
      <c r="U166" s="10">
        <f>IF(A166&lt;&gt;"",SUM(B166:I166),"")</f>
        <v>193</v>
      </c>
      <c r="V166" s="10">
        <f>IF(A166&lt;&gt;"",SUM(J166:O166),"")</f>
        <v>170</v>
      </c>
      <c r="W166" s="10">
        <f>IF(A166&lt;&gt;"",SUM(P166:Q166),"")</f>
        <v>0</v>
      </c>
      <c r="X166" s="10">
        <f>IF(A166&lt;&gt;"",SUM(S166:T166),"")</f>
        <v>105</v>
      </c>
      <c r="Y166" s="12">
        <v>3</v>
      </c>
      <c r="Z166" s="12">
        <f>IF(A166&lt;&gt;"",SUM(U166:Y166),"")</f>
        <v>471</v>
      </c>
      <c r="AA166" s="27">
        <f>IF(A166&lt;&gt;"",(Z166+Normalize_To_Add)/(Point_Total_So_Far)*100,"")</f>
        <v>54.609673189131847</v>
      </c>
      <c r="AB166" s="10">
        <f>IF(A166&lt;&gt;"",RANK(AA166,All_Student_XC),"")</f>
        <v>350</v>
      </c>
      <c r="AC166" s="31" t="str">
        <f>IF(A166&lt;&gt;"",CHOOSE(10-MIN(9,TRUNC((AA166+0.5)/10)),"A","B","C","D","F","F","F","F","F","F"),"")</f>
        <v>F</v>
      </c>
      <c r="AD166" s="31" t="str">
        <f>IF(A166&lt;&gt;"",IF(OR(AA166+0.5&gt;=93,AA166+0.5&lt;60),"",IF(MOD(AA166+0.5,10)&gt;=7,"+",IF(MOD(AA166+0.5,10)&lt;3,"-",""))),"")</f>
        <v/>
      </c>
      <c r="AE166" s="31">
        <f>IF(A166&lt;&gt;"",SUM(W166:X166,$W$8:$X$8)/SUM($W$2:$X$2)*100,"")</f>
        <v>36.019346378263684</v>
      </c>
      <c r="AF166" s="43" t="str">
        <f>IF(A166&lt;&gt;"",CHOOSE(10-MIN(9,TRUNC((AE166+0.5)/10)),"A","B","C","D","F","F","F","F","F","F"),"")</f>
        <v>F</v>
      </c>
      <c r="AG166" s="43" t="str">
        <f>IF(A166&lt;&gt;"",IF(OR(AE166+0.5&gt;=93,AE166+0.5&lt;60),"",IF(MOD(AE166+0.5,10)&gt;=7,"+",IF(MOD(AE166+0.5,10)&lt;3,"-",""))),"")</f>
        <v/>
      </c>
      <c r="AH166" s="35">
        <f>IF(A166&lt;&gt;"",MIN(MAX(AA166,AE166),AA166+$AH$8,AE166+$AH$8),"")</f>
        <v>54.609673189131847</v>
      </c>
      <c r="AI166" s="31" t="str">
        <f>IF(A166&lt;&gt;"",CHOOSE(10-MIN(9,TRUNC((AH166+0.5)/10)),"A","B","C","D","F","F","F","F","F","F"),"")</f>
        <v>F</v>
      </c>
      <c r="AJ166" s="31" t="str">
        <f>IF(A166&lt;&gt;"",IF(OR(AH166+0.5&gt;=93,AH166+0.5&lt;60),"",IF(MOD(AH166+0.5,10)&gt;=7,"+",IF(MOD(AH166+0.5,10)&lt;3,"-",""))),"")</f>
        <v/>
      </c>
      <c r="AK166" s="31" t="b">
        <f>IF(A166&lt;&gt;"",OR(AI166&lt;&gt;AC166,AJ166&lt;&gt;AD166),"")</f>
        <v>0</v>
      </c>
      <c r="AL166" s="81">
        <f>IF(AND(A166&lt;&gt;"",U166&gt;0),SUM(U166,$AL$8)/$AL$2*100,"")</f>
        <v>96.5</v>
      </c>
      <c r="AM166" s="24">
        <f>IF(AND(A166&lt;&gt;"",V166&gt;0),SUM(V166,$AM$8)/$AM$2*100,"")</f>
        <v>56.666666666666664</v>
      </c>
      <c r="AN166" s="24" t="str">
        <f>IF(AND(A166&lt;&gt;"",P166&lt;&gt;0),SUM(P166,$AN$8)/$AN$2*100,"")</f>
        <v/>
      </c>
      <c r="AO166" s="24" t="str">
        <f>IF(AND(A166&lt;&gt;"",Q166&lt;&gt;0),SUM(Q166,$AO$8)/$AO$2*100,"")</f>
        <v/>
      </c>
      <c r="AP166" s="24">
        <f>IF(AND(A166&lt;&gt;"",R166&lt;&gt;0),SUM(R166,$AP$8)/$AP$2*100,"")</f>
        <v>67.002659574468083</v>
      </c>
      <c r="AQ166" s="24" t="str">
        <f>IF(AND(A166&lt;&gt;"",W166&gt;0),SUM(W166,$AQ$8)/$AQ$2*100,"")</f>
        <v/>
      </c>
      <c r="AR166" s="24">
        <f>IF(AND(A166&lt;&gt;"",T166&gt;0),SUM(T166,$AR$8)/$AR$2*100,"")</f>
        <v>15.363804247460756</v>
      </c>
      <c r="AS166" s="24">
        <f>IF(AND(A166&lt;&gt;"",X166&lt;&gt;0),SUM(X166,$AS$8)/$AS$2*100,"")</f>
        <v>36.019346378263684</v>
      </c>
      <c r="AT166" s="86">
        <f>IF(A166&lt;&gt;"",SUM(W166:X166,$AT$8)/$AT$2*100,"")</f>
        <v>36.019346378263684</v>
      </c>
      <c r="AU166" s="24">
        <f>AA166</f>
        <v>54.609673189131847</v>
      </c>
      <c r="AV166" s="24"/>
      <c r="AW166" s="27">
        <f>IF(A166&lt;&gt;"",AE166-AA166,"")</f>
        <v>-18.590326810868163</v>
      </c>
      <c r="AY166" s="27">
        <f>AR166-AP166</f>
        <v>-51.638855327007327</v>
      </c>
      <c r="AZ166" s="27">
        <f>ABS(AY166)</f>
        <v>51.638855327007327</v>
      </c>
    </row>
    <row r="167" spans="1:52" s="27" customFormat="1" ht="12.75" customHeight="1" x14ac:dyDescent="0.2">
      <c r="A167" s="10">
        <v>429662</v>
      </c>
      <c r="B167" s="2">
        <v>10</v>
      </c>
      <c r="C167" s="10">
        <v>17</v>
      </c>
      <c r="D167" s="10">
        <v>23</v>
      </c>
      <c r="E167" s="10">
        <v>25</v>
      </c>
      <c r="F167" s="10">
        <v>14</v>
      </c>
      <c r="G167" s="10">
        <v>25</v>
      </c>
      <c r="H167" s="10">
        <v>22</v>
      </c>
      <c r="I167" s="10">
        <v>17</v>
      </c>
      <c r="J167" s="2"/>
      <c r="K167" s="10">
        <v>10</v>
      </c>
      <c r="L167" s="10">
        <v>49</v>
      </c>
      <c r="M167" s="10">
        <v>0</v>
      </c>
      <c r="N167" s="51">
        <v>0</v>
      </c>
      <c r="O167" s="11">
        <v>0</v>
      </c>
      <c r="P167" s="10"/>
      <c r="Q167" s="40"/>
      <c r="R167" s="2">
        <v>126</v>
      </c>
      <c r="S167" s="10">
        <f>IF(T167="",R167,MAX((R167+$R$8)/$R$2,(T167+$T$8)/$T$2)*$R$2-$R$8)</f>
        <v>126</v>
      </c>
      <c r="T167" s="12">
        <v>126</v>
      </c>
      <c r="U167" s="34">
        <f>IF(A167&lt;&gt;"",SUM(B167:I167),"")</f>
        <v>153</v>
      </c>
      <c r="V167" s="10">
        <f>IF(A167&lt;&gt;"",SUM(J167:O167),"")</f>
        <v>59</v>
      </c>
      <c r="W167" s="10">
        <f>IF(A167&lt;&gt;"",SUM(P167:Q167),"")</f>
        <v>0</v>
      </c>
      <c r="X167" s="10">
        <f>IF(A167&lt;&gt;"",SUM(S167:T167),"")</f>
        <v>252</v>
      </c>
      <c r="Y167" s="12">
        <v>3</v>
      </c>
      <c r="Z167" s="12">
        <f>IF(A167&lt;&gt;"",SUM(U167:Y167),"")</f>
        <v>467</v>
      </c>
      <c r="AA167" s="27">
        <f>IF(A167&lt;&gt;"",(Z167+Normalize_To_Add)/(Point_Total_So_Far)*100,"")</f>
        <v>54.209673189131848</v>
      </c>
      <c r="AB167" s="10">
        <f>IF(A167&lt;&gt;"",RANK(AA167,All_Student_XC),"")</f>
        <v>354</v>
      </c>
      <c r="AC167" s="31" t="str">
        <f>IF(A167&lt;&gt;"",CHOOSE(10-MIN(9,TRUNC((AA167+0.5)/10)),"A","B","C","D","F","F","F","F","F","F"),"")</f>
        <v>F</v>
      </c>
      <c r="AD167" s="31" t="str">
        <f>IF(A167&lt;&gt;"",IF(OR(AA167+0.5&gt;=93,AA167+0.5&lt;60),"",IF(MOD(AA167+0.5,10)&gt;=7,"+",IF(MOD(AA167+0.5,10)&lt;3,"-",""))),"")</f>
        <v/>
      </c>
      <c r="AE167" s="31">
        <f>IF(A167&lt;&gt;"",SUM(W167:X167,$W$8:$X$8)/SUM($W$2:$X$2)*100,"")</f>
        <v>65.419346378263683</v>
      </c>
      <c r="AF167" s="31" t="str">
        <f>IF(A167&lt;&gt;"",CHOOSE(10-MIN(9,TRUNC((AE167+0.5)/10)),"A","B","C","D","F","F","F","F","F","F"),"")</f>
        <v>D</v>
      </c>
      <c r="AG167" s="31" t="str">
        <f>IF(A167&lt;&gt;"",IF(OR(AE167+0.5&gt;=93,AE167+0.5&lt;60),"",IF(MOD(AE167+0.5,10)&gt;=7,"+",IF(MOD(AE167+0.5,10)&lt;3,"-",""))),"")</f>
        <v/>
      </c>
      <c r="AH167" s="35">
        <f>IF(A167&lt;&gt;"",MIN(MAX(AA167,AE167),AA167+$AH$8,AE167+$AH$8),"")</f>
        <v>65.419346378263683</v>
      </c>
      <c r="AI167" s="31" t="str">
        <f>IF(A167&lt;&gt;"",CHOOSE(10-MIN(9,TRUNC((AH167+0.5)/10)),"A","B","C","D","F","F","F","F","F","F"),"")</f>
        <v>D</v>
      </c>
      <c r="AJ167" s="31" t="str">
        <f>IF(A167&lt;&gt;"",IF(OR(AH167+0.5&gt;=93,AH167+0.5&lt;60),"",IF(MOD(AH167+0.5,10)&gt;=7,"+",IF(MOD(AH167+0.5,10)&lt;3,"-",""))),"")</f>
        <v/>
      </c>
      <c r="AK167" s="31" t="b">
        <f>IF(A167&lt;&gt;"",OR(AI167&lt;&gt;AC167,AJ167&lt;&gt;AD167),"")</f>
        <v>1</v>
      </c>
      <c r="AL167" s="81">
        <f>IF(AND(A167&lt;&gt;"",U167&gt;0),SUM(U167,$AL$8)/$AL$2*100,"")</f>
        <v>76.5</v>
      </c>
      <c r="AM167" s="24">
        <f>IF(AND(A167&lt;&gt;"",V167&gt;0),SUM(V167,$AM$8)/$AM$2*100,"")</f>
        <v>19.666666666666664</v>
      </c>
      <c r="AN167" s="24" t="str">
        <f>IF(AND(A167&lt;&gt;"",P167&lt;&gt;0),SUM(P167,$AN$8)/$AN$2*100,"")</f>
        <v/>
      </c>
      <c r="AO167" s="24" t="str">
        <f>IF(AND(A167&lt;&gt;"",Q167&lt;&gt;0),SUM(Q167,$AO$8)/$AO$2*100,"")</f>
        <v/>
      </c>
      <c r="AP167" s="24">
        <f>IF(AND(A167&lt;&gt;"",R167&lt;&gt;0),SUM(R167,$AP$8)/$AP$2*100,"")</f>
        <v>77.502659574468083</v>
      </c>
      <c r="AQ167" s="24" t="str">
        <f>IF(AND(A167&lt;&gt;"",W167&gt;0),SUM(W167,$AQ$8)/$AQ$2*100,"")</f>
        <v/>
      </c>
      <c r="AR167" s="24">
        <f>IF(AND(A167&lt;&gt;"",T167&gt;0),SUM(T167,$AR$8)/$AR$2*100,"")</f>
        <v>57.363804247460756</v>
      </c>
      <c r="AS167" s="24">
        <f>IF(AND(A167&lt;&gt;"",X167&lt;&gt;0),SUM(X167,$AS$8)/$AS$2*100,"")</f>
        <v>65.419346378263683</v>
      </c>
      <c r="AT167" s="86">
        <f>IF(A167&lt;&gt;"",SUM(W167:X167,$AT$8)/$AT$2*100,"")</f>
        <v>65.419346378263683</v>
      </c>
      <c r="AU167" s="24">
        <f>AA167</f>
        <v>54.209673189131848</v>
      </c>
      <c r="AV167" s="24"/>
      <c r="AW167" s="27">
        <f>IF(A167&lt;&gt;"",AE167-AA167,"")</f>
        <v>11.209673189131834</v>
      </c>
      <c r="AY167" s="27">
        <f>AR167-AP167</f>
        <v>-20.138855327007327</v>
      </c>
      <c r="AZ167" s="27">
        <f>ABS(AY167)</f>
        <v>20.138855327007327</v>
      </c>
    </row>
    <row r="168" spans="1:52" s="27" customFormat="1" ht="12.75" customHeight="1" x14ac:dyDescent="0.2">
      <c r="A168" s="50">
        <v>434948</v>
      </c>
      <c r="B168" s="2" t="s">
        <v>69</v>
      </c>
      <c r="C168" s="50">
        <v>19</v>
      </c>
      <c r="D168" s="10">
        <v>25</v>
      </c>
      <c r="E168" s="10">
        <v>23</v>
      </c>
      <c r="F168" s="10">
        <v>25</v>
      </c>
      <c r="G168" s="10">
        <v>25</v>
      </c>
      <c r="H168" s="10">
        <v>22</v>
      </c>
      <c r="I168" s="10">
        <v>25</v>
      </c>
      <c r="J168" s="2"/>
      <c r="K168" s="10" t="s">
        <v>69</v>
      </c>
      <c r="L168" s="10">
        <v>32</v>
      </c>
      <c r="M168" s="10">
        <v>53</v>
      </c>
      <c r="N168" s="51">
        <v>60</v>
      </c>
      <c r="O168" s="11">
        <v>61</v>
      </c>
      <c r="P168" s="10"/>
      <c r="Q168" s="40"/>
      <c r="R168" s="2">
        <v>101</v>
      </c>
      <c r="S168" s="10">
        <f>IF(T168="",R168,MAX((R168+$R$8)/$R$2,(T168+$T$8)/$T$2)*$R$2-$R$8)</f>
        <v>118.38895601265202</v>
      </c>
      <c r="T168" s="62">
        <v>175</v>
      </c>
      <c r="U168" s="10">
        <f>IF(A168&lt;&gt;"",SUM(B168:I168),"")</f>
        <v>164</v>
      </c>
      <c r="V168" s="10">
        <f>IF(A168&lt;&gt;"",SUM(J168:O168),"")</f>
        <v>206</v>
      </c>
      <c r="W168" s="10">
        <f>IF(A168&lt;&gt;"",SUM(P168:Q168),"")</f>
        <v>0</v>
      </c>
      <c r="X168" s="10">
        <f>IF(A168&lt;&gt;"",SUM(S168:T168),"")</f>
        <v>293.38895601265199</v>
      </c>
      <c r="Y168" s="12">
        <v>3</v>
      </c>
      <c r="Z168" s="12">
        <f>IF(A168&lt;&gt;"",SUM(U168:Y168),"")</f>
        <v>666.38895601265199</v>
      </c>
      <c r="AA168" s="27">
        <f>IF(A168&lt;&gt;"",(Z168+Normalize_To_Add)/(Point_Total_So_Far)*100,"")</f>
        <v>74.148568790397036</v>
      </c>
      <c r="AB168" s="10">
        <f>IF(A168&lt;&gt;"",RANK(AA168,All_Student_XC),"")</f>
        <v>280</v>
      </c>
      <c r="AC168" s="31" t="str">
        <f>IF(A168&lt;&gt;"",CHOOSE(10-MIN(9,TRUNC((AA168+0.5)/10)),"A","B","C","D","F","F","F","F","F","F"),"")</f>
        <v>C</v>
      </c>
      <c r="AD168" s="31" t="str">
        <f>IF(A168&lt;&gt;"",IF(OR(AA168+0.5&gt;=93,AA168+0.5&lt;60),"",IF(MOD(AA168+0.5,10)&gt;=7,"+",IF(MOD(AA168+0.5,10)&lt;3,"-",""))),"")</f>
        <v/>
      </c>
      <c r="AE168" s="31">
        <f>IF(A168&lt;&gt;"",SUM(W168:X168,$W$8:$X$8)/SUM($W$2:$X$2)*100,"")</f>
        <v>73.697137580794077</v>
      </c>
      <c r="AF168" s="43" t="str">
        <f>IF(A168&lt;&gt;"",CHOOSE(10-MIN(9,TRUNC((AE168+0.5)/10)),"A","B","C","D","F","F","F","F","F","F"),"")</f>
        <v>C</v>
      </c>
      <c r="AG168" s="43" t="str">
        <f>IF(A168&lt;&gt;"",IF(OR(AE168+0.5&gt;=93,AE168+0.5&lt;60),"",IF(MOD(AE168+0.5,10)&gt;=7,"+",IF(MOD(AE168+0.5,10)&lt;3,"-",""))),"")</f>
        <v/>
      </c>
      <c r="AH168" s="35">
        <f>IF(A168&lt;&gt;"",MIN(MAX(AA168,AE168),AA168+$AH$8,AE168+$AH$8),"")</f>
        <v>74.148568790397036</v>
      </c>
      <c r="AI168" s="31" t="str">
        <f>IF(A168&lt;&gt;"",CHOOSE(10-MIN(9,TRUNC((AH168+0.5)/10)),"A","B","C","D","F","F","F","F","F","F"),"")</f>
        <v>C</v>
      </c>
      <c r="AJ168" s="31" t="str">
        <f>IF(A168&lt;&gt;"",IF(OR(AH168+0.5&gt;=93,AH168+0.5&lt;60),"",IF(MOD(AH168+0.5,10)&gt;=7,"+",IF(MOD(AH168+0.5,10)&lt;3,"-",""))),"")</f>
        <v/>
      </c>
      <c r="AK168" s="31" t="b">
        <f>IF(A168&lt;&gt;"",OR(AI168&lt;&gt;AC168,AJ168&lt;&gt;AD168),"")</f>
        <v>0</v>
      </c>
      <c r="AL168" s="81">
        <f>IF(AND(A168&lt;&gt;"",U168&gt;0),SUM(U168,$AL$8)/$AL$2*100,"")</f>
        <v>82</v>
      </c>
      <c r="AM168" s="24">
        <f>IF(AND(A168&lt;&gt;"",V168&gt;0),SUM(V168,$AM$8)/$AM$2*100,"")</f>
        <v>68.666666666666671</v>
      </c>
      <c r="AN168" s="24" t="str">
        <f>IF(AND(A168&lt;&gt;"",P168&lt;&gt;0),SUM(P168,$AN$8)/$AN$2*100,"")</f>
        <v/>
      </c>
      <c r="AO168" s="24" t="str">
        <f>IF(AND(A168&lt;&gt;"",Q168&lt;&gt;0),SUM(Q168,$AO$8)/$AO$2*100,"")</f>
        <v/>
      </c>
      <c r="AP168" s="24">
        <f>IF(AND(A168&lt;&gt;"",R168&lt;&gt;0),SUM(R168,$AP$8)/$AP$2*100,"")</f>
        <v>65.002659574468083</v>
      </c>
      <c r="AQ168" s="24" t="str">
        <f>IF(AND(A168&lt;&gt;"",W168&gt;0),SUM(W168,$AQ$8)/$AQ$2*100,"")</f>
        <v/>
      </c>
      <c r="AR168" s="24">
        <f>IF(AND(A168&lt;&gt;"",T168&gt;0),SUM(T168,$AR$8)/$AR$2*100,"")</f>
        <v>73.697137580794092</v>
      </c>
      <c r="AS168" s="24">
        <f>IF(AND(A168&lt;&gt;"",X168&lt;&gt;0),SUM(X168,$AS$8)/$AS$2*100,"")</f>
        <v>73.697137580794077</v>
      </c>
      <c r="AT168" s="86">
        <f>IF(A168&lt;&gt;"",SUM(W168:X168,$AT$8)/$AT$2*100,"")</f>
        <v>73.697137580794077</v>
      </c>
      <c r="AU168" s="24">
        <f>AA168</f>
        <v>74.148568790397036</v>
      </c>
      <c r="AV168" s="24"/>
      <c r="AW168" s="27">
        <f>IF(A168&lt;&gt;"",AE168-AA168,"")</f>
        <v>-0.45143120960295846</v>
      </c>
      <c r="AY168" s="27">
        <f>AR168-AP168</f>
        <v>8.6944780063260083</v>
      </c>
      <c r="AZ168" s="27">
        <f>ABS(AY168)</f>
        <v>8.6944780063260083</v>
      </c>
    </row>
    <row r="169" spans="1:52" s="27" customFormat="1" ht="12.75" customHeight="1" x14ac:dyDescent="0.2">
      <c r="A169" s="50">
        <v>441178</v>
      </c>
      <c r="B169" s="2">
        <v>25</v>
      </c>
      <c r="C169" s="50">
        <v>24</v>
      </c>
      <c r="D169" s="10">
        <v>24</v>
      </c>
      <c r="E169" s="10">
        <v>25</v>
      </c>
      <c r="F169" s="10">
        <v>24</v>
      </c>
      <c r="G169" s="10">
        <v>25</v>
      </c>
      <c r="H169" s="10">
        <v>24</v>
      </c>
      <c r="I169" s="10">
        <v>23</v>
      </c>
      <c r="J169" s="2"/>
      <c r="K169" s="10">
        <v>59</v>
      </c>
      <c r="L169" s="10">
        <v>62</v>
      </c>
      <c r="M169" s="10">
        <v>61</v>
      </c>
      <c r="N169" s="51">
        <v>62</v>
      </c>
      <c r="O169" s="11">
        <v>62</v>
      </c>
      <c r="P169" s="10"/>
      <c r="Q169" s="40"/>
      <c r="R169" s="2">
        <v>175</v>
      </c>
      <c r="S169" s="10">
        <f>IF(T169="",R169,MAX((R169+$R$8)/$R$2,(T169+$T$8)/$T$2)*$R$2-$R$8)</f>
        <v>175.05562267931867</v>
      </c>
      <c r="T169" s="62">
        <v>260</v>
      </c>
      <c r="U169" s="10">
        <f>IF(A169&lt;&gt;"",SUM(B169:I169),"")</f>
        <v>194</v>
      </c>
      <c r="V169" s="10">
        <f>IF(A169&lt;&gt;"",SUM(J169:O169),"")</f>
        <v>306</v>
      </c>
      <c r="W169" s="10">
        <f>IF(A169&lt;&gt;"",SUM(P169:Q169),"")</f>
        <v>0</v>
      </c>
      <c r="X169" s="10">
        <f>IF(A169&lt;&gt;"",SUM(S169:T169),"")</f>
        <v>435.05562267931867</v>
      </c>
      <c r="Y169" s="12">
        <v>3</v>
      </c>
      <c r="Z169" s="12">
        <f>IF(A169&lt;&gt;"",SUM(U169:Y169),"")</f>
        <v>938.05562267931873</v>
      </c>
      <c r="AA169" s="27">
        <f>IF(A169&lt;&gt;"",(Z169+Normalize_To_Add)/(Point_Total_So_Far)*100,"")</f>
        <v>101.31523545706371</v>
      </c>
      <c r="AB169" s="10">
        <f>IF(A169&lt;&gt;"",RANK(AA169,All_Student_XC),"")</f>
        <v>4</v>
      </c>
      <c r="AC169" s="31" t="str">
        <f>IF(A169&lt;&gt;"",CHOOSE(10-MIN(9,TRUNC((AA169+0.5)/10)),"A","B","C","D","F","F","F","F","F","F"),"")</f>
        <v>A</v>
      </c>
      <c r="AD169" s="31" t="str">
        <f>IF(A169&lt;&gt;"",IF(OR(AA169+0.5&gt;=93,AA169+0.5&lt;60),"",IF(MOD(AA169+0.5,10)&gt;=7,"+",IF(MOD(AA169+0.5,10)&lt;3,"-",""))),"")</f>
        <v/>
      </c>
      <c r="AE169" s="31">
        <f>IF(A169&lt;&gt;"",SUM(W169:X169,$W$8:$X$8)/SUM($W$2:$X$2)*100,"")</f>
        <v>102.03047091412742</v>
      </c>
      <c r="AF169" s="43" t="str">
        <f>IF(A169&lt;&gt;"",CHOOSE(10-MIN(9,TRUNC((AE169+0.5)/10)),"A","B","C","D","F","F","F","F","F","F"),"")</f>
        <v>A</v>
      </c>
      <c r="AG169" s="43" t="str">
        <f>IF(A169&lt;&gt;"",IF(OR(AE169+0.5&gt;=93,AE169+0.5&lt;60),"",IF(MOD(AE169+0.5,10)&gt;=7,"+",IF(MOD(AE169+0.5,10)&lt;3,"-",""))),"")</f>
        <v/>
      </c>
      <c r="AH169" s="35">
        <f>IF(A169&lt;&gt;"",MIN(MAX(AA169,AE169),AA169+$AH$8,AE169+$AH$8),"")</f>
        <v>102.03047091412742</v>
      </c>
      <c r="AI169" s="31" t="str">
        <f>IF(A169&lt;&gt;"",CHOOSE(10-MIN(9,TRUNC((AH169+0.5)/10)),"A","B","C","D","F","F","F","F","F","F"),"")</f>
        <v>A</v>
      </c>
      <c r="AJ169" s="31" t="str">
        <f>IF(A169&lt;&gt;"",IF(OR(AH169+0.5&gt;=93,AH169+0.5&lt;60),"",IF(MOD(AH169+0.5,10)&gt;=7,"+",IF(MOD(AH169+0.5,10)&lt;3,"-",""))),"")</f>
        <v/>
      </c>
      <c r="AK169" s="31" t="b">
        <f>IF(A169&lt;&gt;"",OR(AI169&lt;&gt;AC169,AJ169&lt;&gt;AD169),"")</f>
        <v>0</v>
      </c>
      <c r="AL169" s="81">
        <f>IF(AND(A169&lt;&gt;"",U169&gt;0),SUM(U169,$AL$8)/$AL$2*100,"")</f>
        <v>97</v>
      </c>
      <c r="AM169" s="24">
        <f>IF(AND(A169&lt;&gt;"",V169&gt;0),SUM(V169,$AM$8)/$AM$2*100,"")</f>
        <v>102</v>
      </c>
      <c r="AN169" s="24" t="str">
        <f>IF(AND(A169&lt;&gt;"",P169&lt;&gt;0),SUM(P169,$AN$8)/$AN$2*100,"")</f>
        <v/>
      </c>
      <c r="AO169" s="24" t="str">
        <f>IF(AND(A169&lt;&gt;"",Q169&lt;&gt;0),SUM(Q169,$AO$8)/$AO$2*100,"")</f>
        <v/>
      </c>
      <c r="AP169" s="24">
        <f>IF(AND(A169&lt;&gt;"",R169&lt;&gt;0),SUM(R169,$AP$8)/$AP$2*100,"")</f>
        <v>102.00265957446808</v>
      </c>
      <c r="AQ169" s="24" t="str">
        <f>IF(AND(A169&lt;&gt;"",W169&gt;0),SUM(W169,$AQ$8)/$AQ$2*100,"")</f>
        <v/>
      </c>
      <c r="AR169" s="24">
        <f>IF(AND(A169&lt;&gt;"",T169&gt;0),SUM(T169,$AR$8)/$AR$2*100,"")</f>
        <v>102.03047091412742</v>
      </c>
      <c r="AS169" s="24">
        <f>IF(AND(A169&lt;&gt;"",X169&lt;&gt;0),SUM(X169,$AS$8)/$AS$2*100,"")</f>
        <v>102.03047091412742</v>
      </c>
      <c r="AT169" s="86">
        <f>IF(A169&lt;&gt;"",SUM(W169:X169,$AT$8)/$AT$2*100,"")</f>
        <v>102.03047091412742</v>
      </c>
      <c r="AU169" s="24">
        <f>AA169</f>
        <v>101.31523545706371</v>
      </c>
      <c r="AV169" s="24"/>
      <c r="AW169" s="27">
        <f>IF(A169&lt;&gt;"",AE169-AA169,"")</f>
        <v>0.71523545706371294</v>
      </c>
      <c r="AY169" s="27">
        <f>AR169-AP169</f>
        <v>2.7811339659336909E-2</v>
      </c>
      <c r="AZ169" s="27">
        <f>ABS(AY169)</f>
        <v>2.7811339659336909E-2</v>
      </c>
    </row>
    <row r="170" spans="1:52" s="27" customFormat="1" ht="12.75" customHeight="1" x14ac:dyDescent="0.2">
      <c r="A170" s="10">
        <v>442052</v>
      </c>
      <c r="B170" s="2">
        <v>25</v>
      </c>
      <c r="C170" s="10">
        <v>24</v>
      </c>
      <c r="D170" s="10">
        <v>21</v>
      </c>
      <c r="E170" s="10">
        <v>23</v>
      </c>
      <c r="F170" s="10">
        <v>19</v>
      </c>
      <c r="G170" s="10">
        <v>8</v>
      </c>
      <c r="H170" s="10">
        <v>12</v>
      </c>
      <c r="I170" s="10">
        <v>18</v>
      </c>
      <c r="J170" s="2"/>
      <c r="K170" s="10">
        <v>62</v>
      </c>
      <c r="L170" s="10">
        <v>47</v>
      </c>
      <c r="M170" s="10">
        <v>30</v>
      </c>
      <c r="N170" s="51">
        <v>57</v>
      </c>
      <c r="O170" s="11">
        <v>43</v>
      </c>
      <c r="P170" s="10"/>
      <c r="Q170" s="40"/>
      <c r="R170" s="2">
        <v>97</v>
      </c>
      <c r="S170" s="10">
        <f>IF(T170="",R170,MAX((R170+$R$8)/$R$2,(T170+$T$8)/$T$2)*$R$2-$R$8)</f>
        <v>119.72228934598533</v>
      </c>
      <c r="T170" s="12">
        <v>177</v>
      </c>
      <c r="U170" s="7">
        <f>IF(A170&lt;&gt;"",SUM(B170:I170),"")</f>
        <v>150</v>
      </c>
      <c r="V170" s="10">
        <f>IF(A170&lt;&gt;"",SUM(J170:O170),"")</f>
        <v>239</v>
      </c>
      <c r="W170" s="10">
        <f>IF(A170&lt;&gt;"",SUM(P170:Q170),"")</f>
        <v>0</v>
      </c>
      <c r="X170" s="10">
        <f>IF(A170&lt;&gt;"",SUM(S170:T170),"")</f>
        <v>296.72228934598536</v>
      </c>
      <c r="Y170" s="12">
        <v>3</v>
      </c>
      <c r="Z170" s="12">
        <f>IF(A170&lt;&gt;"",SUM(U170:Y170),"")</f>
        <v>688.72228934598536</v>
      </c>
      <c r="AA170" s="27">
        <f>IF(A170&lt;&gt;"",(Z170+Normalize_To_Add)/(Point_Total_So_Far)*100,"")</f>
        <v>76.381902123730384</v>
      </c>
      <c r="AB170" s="10">
        <f>IF(A170&lt;&gt;"",RANK(AA170,All_Student_XC),"")</f>
        <v>258</v>
      </c>
      <c r="AC170" s="31" t="str">
        <f>IF(A170&lt;&gt;"",CHOOSE(10-MIN(9,TRUNC((AA170+0.5)/10)),"A","B","C","D","F","F","F","F","F","F"),"")</f>
        <v>C</v>
      </c>
      <c r="AD170" s="31" t="str">
        <f>IF(A170&lt;&gt;"",IF(OR(AA170+0.5&gt;=93,AA170+0.5&lt;60),"",IF(MOD(AA170+0.5,10)&gt;=7,"+",IF(MOD(AA170+0.5,10)&lt;3,"-",""))),"")</f>
        <v/>
      </c>
      <c r="AE170" s="31">
        <f>IF(A170&lt;&gt;"",SUM(W170:X170,$W$8:$X$8)/SUM($W$2:$X$2)*100,"")</f>
        <v>74.363804247460749</v>
      </c>
      <c r="AF170" s="43" t="str">
        <f>IF(A170&lt;&gt;"",CHOOSE(10-MIN(9,TRUNC((AE170+0.5)/10)),"A","B","C","D","F","F","F","F","F","F"),"")</f>
        <v>C</v>
      </c>
      <c r="AG170" s="43" t="str">
        <f>IF(A170&lt;&gt;"",IF(OR(AE170+0.5&gt;=93,AE170+0.5&lt;60),"",IF(MOD(AE170+0.5,10)&gt;=7,"+",IF(MOD(AE170+0.5,10)&lt;3,"-",""))),"")</f>
        <v/>
      </c>
      <c r="AH170" s="35">
        <f>IF(A170&lt;&gt;"",MIN(MAX(AA170,AE170),AA170+$AH$8,AE170+$AH$8),"")</f>
        <v>76.381902123730384</v>
      </c>
      <c r="AI170" s="31" t="str">
        <f>IF(A170&lt;&gt;"",CHOOSE(10-MIN(9,TRUNC((AH170+0.5)/10)),"A","B","C","D","F","F","F","F","F","F"),"")</f>
        <v>C</v>
      </c>
      <c r="AJ170" s="31" t="str">
        <f>IF(A170&lt;&gt;"",IF(OR(AH170+0.5&gt;=93,AH170+0.5&lt;60),"",IF(MOD(AH170+0.5,10)&gt;=7,"+",IF(MOD(AH170+0.5,10)&lt;3,"-",""))),"")</f>
        <v/>
      </c>
      <c r="AK170" s="31" t="b">
        <f>IF(A170&lt;&gt;"",OR(AI170&lt;&gt;AC170,AJ170&lt;&gt;AD170),"")</f>
        <v>0</v>
      </c>
      <c r="AL170" s="81">
        <f>IF(AND(A170&lt;&gt;"",U170&gt;0),SUM(U170,$AL$8)/$AL$2*100,"")</f>
        <v>75</v>
      </c>
      <c r="AM170" s="24">
        <f>IF(AND(A170&lt;&gt;"",V170&gt;0),SUM(V170,$AM$8)/$AM$2*100,"")</f>
        <v>79.666666666666657</v>
      </c>
      <c r="AN170" s="24" t="str">
        <f>IF(AND(A170&lt;&gt;"",P170&lt;&gt;0),SUM(P170,$AN$8)/$AN$2*100,"")</f>
        <v/>
      </c>
      <c r="AO170" s="24" t="str">
        <f>IF(AND(A170&lt;&gt;"",Q170&lt;&gt;0),SUM(Q170,$AO$8)/$AO$2*100,"")</f>
        <v/>
      </c>
      <c r="AP170" s="24">
        <f>IF(AND(A170&lt;&gt;"",R170&lt;&gt;0),SUM(R170,$AP$8)/$AP$2*100,"")</f>
        <v>63.002659574468076</v>
      </c>
      <c r="AQ170" s="24" t="str">
        <f>IF(AND(A170&lt;&gt;"",W170&gt;0),SUM(W170,$AQ$8)/$AQ$2*100,"")</f>
        <v/>
      </c>
      <c r="AR170" s="24">
        <f>IF(AND(A170&lt;&gt;"",T170&gt;0),SUM(T170,$AR$8)/$AR$2*100,"")</f>
        <v>74.363804247460749</v>
      </c>
      <c r="AS170" s="24">
        <f>IF(AND(A170&lt;&gt;"",X170&lt;&gt;0),SUM(X170,$AS$8)/$AS$2*100,"")</f>
        <v>74.363804247460749</v>
      </c>
      <c r="AT170" s="86">
        <f>IF(A170&lt;&gt;"",SUM(W170:X170,$AT$8)/$AT$2*100,"")</f>
        <v>74.363804247460749</v>
      </c>
      <c r="AU170" s="24">
        <f>AA170</f>
        <v>76.381902123730384</v>
      </c>
      <c r="AV170" s="24"/>
      <c r="AW170" s="27">
        <f>IF(A170&lt;&gt;"",AE170-AA170,"")</f>
        <v>-2.0180978762696355</v>
      </c>
      <c r="AY170" s="27">
        <f>AR170-AP170</f>
        <v>11.361144672992673</v>
      </c>
      <c r="AZ170" s="27">
        <f>ABS(AY170)</f>
        <v>11.361144672992673</v>
      </c>
    </row>
    <row r="171" spans="1:52" s="27" customFormat="1" ht="12.75" customHeight="1" x14ac:dyDescent="0.2">
      <c r="A171" s="10">
        <v>443154</v>
      </c>
      <c r="B171" s="2">
        <v>24</v>
      </c>
      <c r="C171" s="10">
        <v>25</v>
      </c>
      <c r="D171" s="10">
        <v>20</v>
      </c>
      <c r="E171" s="10">
        <v>20</v>
      </c>
      <c r="F171" s="10">
        <v>9</v>
      </c>
      <c r="G171" s="10">
        <v>25</v>
      </c>
      <c r="H171" s="10">
        <v>20</v>
      </c>
      <c r="I171" s="10"/>
      <c r="J171" s="2"/>
      <c r="K171" s="10">
        <v>53</v>
      </c>
      <c r="L171" s="10">
        <v>36</v>
      </c>
      <c r="M171" s="10">
        <v>16</v>
      </c>
      <c r="N171" s="51">
        <v>8</v>
      </c>
      <c r="O171" s="11" t="s">
        <v>69</v>
      </c>
      <c r="P171" s="10"/>
      <c r="Q171" s="40"/>
      <c r="R171" s="2">
        <v>133</v>
      </c>
      <c r="S171" s="10">
        <f>IF(T171="",R171,MAX((R171+$R$8)/$R$2,(T171+$T$8)/$T$2)*$R$2-$R$8)</f>
        <v>133</v>
      </c>
      <c r="T171" s="12">
        <v>80</v>
      </c>
      <c r="U171" s="34">
        <f>IF(A171&lt;&gt;"",SUM(B171:I171),"")</f>
        <v>143</v>
      </c>
      <c r="V171" s="10">
        <f>IF(A171&lt;&gt;"",SUM(J171:O171),"")</f>
        <v>113</v>
      </c>
      <c r="W171" s="10">
        <f>IF(A171&lt;&gt;"",SUM(P171:Q171),"")</f>
        <v>0</v>
      </c>
      <c r="X171" s="10">
        <f>IF(A171&lt;&gt;"",SUM(S171:T171),"")</f>
        <v>213</v>
      </c>
      <c r="Y171" s="12" t="s">
        <v>69</v>
      </c>
      <c r="Z171" s="12">
        <f>IF(A171&lt;&gt;"",SUM(U171:Y171),"")</f>
        <v>469</v>
      </c>
      <c r="AA171" s="27">
        <f>IF(A171&lt;&gt;"",(Z171+Normalize_To_Add)/(Point_Total_So_Far)*100,"")</f>
        <v>54.409673189131844</v>
      </c>
      <c r="AB171" s="10">
        <f>IF(A171&lt;&gt;"",RANK(AA171,All_Student_XC),"")</f>
        <v>352</v>
      </c>
      <c r="AC171" s="31" t="str">
        <f>IF(A171&lt;&gt;"",CHOOSE(10-MIN(9,TRUNC((AA171+0.5)/10)),"A","B","C","D","F","F","F","F","F","F"),"")</f>
        <v>F</v>
      </c>
      <c r="AD171" s="31" t="str">
        <f>IF(A171&lt;&gt;"",IF(OR(AA171+0.5&gt;=93,AA171+0.5&lt;60),"",IF(MOD(AA171+0.5,10)&gt;=7,"+",IF(MOD(AA171+0.5,10)&lt;3,"-",""))),"")</f>
        <v/>
      </c>
      <c r="AE171" s="31">
        <f>IF(A171&lt;&gt;"",SUM(W171:X171,$W$8:$X$8)/SUM($W$2:$X$2)*100,"")</f>
        <v>57.619346378263678</v>
      </c>
      <c r="AF171" s="31" t="str">
        <f>IF(A171&lt;&gt;"",CHOOSE(10-MIN(9,TRUNC((AE171+0.5)/10)),"A","B","C","D","F","F","F","F","F","F"),"")</f>
        <v>F</v>
      </c>
      <c r="AG171" s="31" t="str">
        <f>IF(A171&lt;&gt;"",IF(OR(AE171+0.5&gt;=93,AE171+0.5&lt;60),"",IF(MOD(AE171+0.5,10)&gt;=7,"+",IF(MOD(AE171+0.5,10)&lt;3,"-",""))),"")</f>
        <v/>
      </c>
      <c r="AH171" s="35">
        <f>IF(A171&lt;&gt;"",MIN(MAX(AA171,AE171),AA171+$AH$8,AE171+$AH$8),"")</f>
        <v>57.619346378263678</v>
      </c>
      <c r="AI171" s="31" t="str">
        <f>IF(A171&lt;&gt;"",CHOOSE(10-MIN(9,TRUNC((AH171+0.5)/10)),"A","B","C","D","F","F","F","F","F","F"),"")</f>
        <v>F</v>
      </c>
      <c r="AJ171" s="31" t="str">
        <f>IF(A171&lt;&gt;"",IF(OR(AH171+0.5&gt;=93,AH171+0.5&lt;60),"",IF(MOD(AH171+0.5,10)&gt;=7,"+",IF(MOD(AH171+0.5,10)&lt;3,"-",""))),"")</f>
        <v/>
      </c>
      <c r="AK171" s="31" t="b">
        <f>IF(A171&lt;&gt;"",OR(AI171&lt;&gt;AC171,AJ171&lt;&gt;AD171),"")</f>
        <v>0</v>
      </c>
      <c r="AL171" s="81">
        <f>IF(AND(A171&lt;&gt;"",U171&gt;0),SUM(U171,$AL$8)/$AL$2*100,"")</f>
        <v>71.5</v>
      </c>
      <c r="AM171" s="24">
        <f>IF(AND(A171&lt;&gt;"",V171&gt;0),SUM(V171,$AM$8)/$AM$2*100,"")</f>
        <v>37.666666666666664</v>
      </c>
      <c r="AN171" s="24" t="str">
        <f>IF(AND(A171&lt;&gt;"",P171&lt;&gt;0),SUM(P171,$AN$8)/$AN$2*100,"")</f>
        <v/>
      </c>
      <c r="AO171" s="24" t="str">
        <f>IF(AND(A171&lt;&gt;"",Q171&lt;&gt;0),SUM(Q171,$AO$8)/$AO$2*100,"")</f>
        <v/>
      </c>
      <c r="AP171" s="24">
        <f>IF(AND(A171&lt;&gt;"",R171&lt;&gt;0),SUM(R171,$AP$8)/$AP$2*100,"")</f>
        <v>81.002659574468083</v>
      </c>
      <c r="AQ171" s="24" t="str">
        <f>IF(AND(A171&lt;&gt;"",W171&gt;0),SUM(W171,$AQ$8)/$AQ$2*100,"")</f>
        <v/>
      </c>
      <c r="AR171" s="24">
        <f>IF(AND(A171&lt;&gt;"",T171&gt;0),SUM(T171,$AR$8)/$AR$2*100,"")</f>
        <v>42.03047091412742</v>
      </c>
      <c r="AS171" s="24">
        <f>IF(AND(A171&lt;&gt;"",X171&lt;&gt;0),SUM(X171,$AS$8)/$AS$2*100,"")</f>
        <v>57.619346378263678</v>
      </c>
      <c r="AT171" s="86">
        <f>IF(A171&lt;&gt;"",SUM(W171:X171,$AT$8)/$AT$2*100,"")</f>
        <v>57.619346378263678</v>
      </c>
      <c r="AU171" s="24">
        <f>AA171</f>
        <v>54.409673189131844</v>
      </c>
      <c r="AV171" s="24"/>
      <c r="AW171" s="27">
        <f>IF(A171&lt;&gt;"",AE171-AA171,"")</f>
        <v>3.2096731891318342</v>
      </c>
      <c r="AY171" s="27">
        <f>AR171-AP171</f>
        <v>-38.972188660340663</v>
      </c>
      <c r="AZ171" s="27">
        <f>ABS(AY171)</f>
        <v>38.972188660340663</v>
      </c>
    </row>
    <row r="172" spans="1:52" s="27" customFormat="1" x14ac:dyDescent="0.2">
      <c r="A172" s="10">
        <v>444492</v>
      </c>
      <c r="B172" s="2">
        <v>25</v>
      </c>
      <c r="C172" s="10">
        <v>22</v>
      </c>
      <c r="D172" s="10">
        <v>21</v>
      </c>
      <c r="E172" s="10">
        <v>25</v>
      </c>
      <c r="F172" s="10">
        <v>22</v>
      </c>
      <c r="G172" s="10">
        <v>25</v>
      </c>
      <c r="H172" s="10">
        <v>21</v>
      </c>
      <c r="I172" s="10">
        <v>25</v>
      </c>
      <c r="J172" s="2"/>
      <c r="K172" s="10">
        <v>63</v>
      </c>
      <c r="L172" s="10">
        <v>60</v>
      </c>
      <c r="M172" s="10">
        <v>58</v>
      </c>
      <c r="N172" s="51">
        <v>48</v>
      </c>
      <c r="O172" s="11">
        <v>61</v>
      </c>
      <c r="P172" s="10"/>
      <c r="Q172" s="40"/>
      <c r="R172" s="2">
        <v>131</v>
      </c>
      <c r="S172" s="10">
        <f>IF(T172="",R172,MAX((R172+$R$8)/$R$2,(T172+$T$8)/$T$2)*$R$2-$R$8)</f>
        <v>131</v>
      </c>
      <c r="T172" s="12">
        <v>172</v>
      </c>
      <c r="U172" s="34">
        <f>IF(A172&lt;&gt;"",SUM(B172:I172),"")</f>
        <v>186</v>
      </c>
      <c r="V172" s="10">
        <f>IF(A172&lt;&gt;"",SUM(J172:O172),"")</f>
        <v>290</v>
      </c>
      <c r="W172" s="10">
        <f>IF(A172&lt;&gt;"",SUM(P172:Q172),"")</f>
        <v>0</v>
      </c>
      <c r="X172" s="10">
        <f>IF(A172&lt;&gt;"",SUM(S172:T172),"")</f>
        <v>303</v>
      </c>
      <c r="Y172" s="12" t="s">
        <v>69</v>
      </c>
      <c r="Z172" s="12">
        <f>IF(A172&lt;&gt;"",SUM(U172:Y172),"")</f>
        <v>779</v>
      </c>
      <c r="AA172" s="27">
        <f>IF(A172&lt;&gt;"",(Z172+Normalize_To_Add)/(Point_Total_So_Far)*100,"")</f>
        <v>85.409673189131837</v>
      </c>
      <c r="AB172" s="10">
        <f>IF(A172&lt;&gt;"",RANK(AA172,All_Student_XC),"")</f>
        <v>151</v>
      </c>
      <c r="AC172" s="31" t="str">
        <f>IF(A172&lt;&gt;"",CHOOSE(10-MIN(9,TRUNC((AA172+0.5)/10)),"A","B","C","D","F","F","F","F","F","F"),"")</f>
        <v>B</v>
      </c>
      <c r="AD172" s="31" t="str">
        <f>IF(A172&lt;&gt;"",IF(OR(AA172+0.5&gt;=93,AA172+0.5&lt;60),"",IF(MOD(AA172+0.5,10)&gt;=7,"+",IF(MOD(AA172+0.5,10)&lt;3,"-",""))),"")</f>
        <v/>
      </c>
      <c r="AE172" s="31">
        <f>IF(A172&lt;&gt;"",SUM(W172:X172,$W$8:$X$8)/SUM($W$2:$X$2)*100,"")</f>
        <v>75.619346378263685</v>
      </c>
      <c r="AF172" s="31" t="str">
        <f>IF(A172&lt;&gt;"",CHOOSE(10-MIN(9,TRUNC((AE172+0.5)/10)),"A","B","C","D","F","F","F","F","F","F"),"")</f>
        <v>C</v>
      </c>
      <c r="AG172" s="31" t="str">
        <f>IF(A172&lt;&gt;"",IF(OR(AE172+0.5&gt;=93,AE172+0.5&lt;60),"",IF(MOD(AE172+0.5,10)&gt;=7,"+",IF(MOD(AE172+0.5,10)&lt;3,"-",""))),"")</f>
        <v/>
      </c>
      <c r="AH172" s="35">
        <f>IF(A172&lt;&gt;"",MIN(MAX(AA172,AE172),AA172+$AH$8,AE172+$AH$8),"")</f>
        <v>85.409673189131837</v>
      </c>
      <c r="AI172" s="31" t="str">
        <f>IF(A172&lt;&gt;"",CHOOSE(10-MIN(9,TRUNC((AH172+0.5)/10)),"A","B","C","D","F","F","F","F","F","F"),"")</f>
        <v>B</v>
      </c>
      <c r="AJ172" s="31" t="str">
        <f>IF(A172&lt;&gt;"",IF(OR(AH172+0.5&gt;=93,AH172+0.5&lt;60),"",IF(MOD(AH172+0.5,10)&gt;=7,"+",IF(MOD(AH172+0.5,10)&lt;3,"-",""))),"")</f>
        <v/>
      </c>
      <c r="AK172" s="31" t="b">
        <f>IF(A172&lt;&gt;"",OR(AI172&lt;&gt;AC172,AJ172&lt;&gt;AD172),"")</f>
        <v>0</v>
      </c>
      <c r="AL172" s="81">
        <f>IF(AND(A172&lt;&gt;"",U172&gt;0),SUM(U172,$AL$8)/$AL$2*100,"")</f>
        <v>93</v>
      </c>
      <c r="AM172" s="24">
        <f>IF(AND(A172&lt;&gt;"",V172&gt;0),SUM(V172,$AM$8)/$AM$2*100,"")</f>
        <v>96.666666666666671</v>
      </c>
      <c r="AN172" s="24" t="str">
        <f>IF(AND(A172&lt;&gt;"",P172&lt;&gt;0),SUM(P172,$AN$8)/$AN$2*100,"")</f>
        <v/>
      </c>
      <c r="AO172" s="24" t="str">
        <f>IF(AND(A172&lt;&gt;"",Q172&lt;&gt;0),SUM(Q172,$AO$8)/$AO$2*100,"")</f>
        <v/>
      </c>
      <c r="AP172" s="24">
        <f>IF(AND(A172&lt;&gt;"",R172&lt;&gt;0),SUM(R172,$AP$8)/$AP$2*100,"")</f>
        <v>80.002659574468083</v>
      </c>
      <c r="AQ172" s="24" t="str">
        <f>IF(AND(A172&lt;&gt;"",W172&gt;0),SUM(W172,$AQ$8)/$AQ$2*100,"")</f>
        <v/>
      </c>
      <c r="AR172" s="24">
        <f>IF(AND(A172&lt;&gt;"",T172&gt;0),SUM(T172,$AR$8)/$AR$2*100,"")</f>
        <v>72.697137580794092</v>
      </c>
      <c r="AS172" s="24">
        <f>IF(AND(A172&lt;&gt;"",X172&lt;&gt;0),SUM(X172,$AS$8)/$AS$2*100,"")</f>
        <v>75.619346378263685</v>
      </c>
      <c r="AT172" s="86">
        <f>IF(A172&lt;&gt;"",SUM(W172:X172,$AT$8)/$AT$2*100,"")</f>
        <v>75.619346378263685</v>
      </c>
      <c r="AU172" s="24">
        <f>AA172</f>
        <v>85.409673189131837</v>
      </c>
      <c r="AV172" s="24"/>
      <c r="AW172" s="27">
        <f>IF(A172&lt;&gt;"",AE172-AA172,"")</f>
        <v>-9.7903268108681516</v>
      </c>
      <c r="AY172" s="27">
        <f>AR172-AP172</f>
        <v>-7.3055219936739917</v>
      </c>
      <c r="AZ172" s="27">
        <f>ABS(AY172)</f>
        <v>7.3055219936739917</v>
      </c>
    </row>
    <row r="173" spans="1:52" s="27" customFormat="1" ht="12.75" customHeight="1" x14ac:dyDescent="0.2">
      <c r="A173" s="10">
        <v>447118</v>
      </c>
      <c r="B173" s="2">
        <v>25</v>
      </c>
      <c r="C173" s="10">
        <v>25</v>
      </c>
      <c r="D173" s="10">
        <v>22</v>
      </c>
      <c r="E173" s="10">
        <v>14</v>
      </c>
      <c r="F173" s="10">
        <v>15</v>
      </c>
      <c r="G173" s="10">
        <v>25</v>
      </c>
      <c r="H173" s="10">
        <v>25</v>
      </c>
      <c r="I173" s="10">
        <v>21</v>
      </c>
      <c r="J173" s="2"/>
      <c r="K173" s="10">
        <v>62</v>
      </c>
      <c r="L173" s="10">
        <v>62</v>
      </c>
      <c r="M173" s="10">
        <v>62</v>
      </c>
      <c r="N173" s="51">
        <v>58</v>
      </c>
      <c r="O173" s="11">
        <v>62</v>
      </c>
      <c r="P173" s="10"/>
      <c r="Q173" s="40"/>
      <c r="R173" s="2">
        <v>153</v>
      </c>
      <c r="S173" s="10">
        <f>IF(T173="",R173,MAX((R173+$R$8)/$R$2,(T173+$T$8)/$T$2)*$R$2-$R$8)</f>
        <v>153</v>
      </c>
      <c r="T173" s="12">
        <v>221</v>
      </c>
      <c r="U173" s="7">
        <f>IF(A173&lt;&gt;"",SUM(B173:I173),"")</f>
        <v>172</v>
      </c>
      <c r="V173" s="10">
        <f>IF(A173&lt;&gt;"",SUM(J173:O173),"")</f>
        <v>306</v>
      </c>
      <c r="W173" s="10">
        <f>IF(A173&lt;&gt;"",SUM(P173:Q173),"")</f>
        <v>0</v>
      </c>
      <c r="X173" s="10">
        <f>IF(A173&lt;&gt;"",SUM(S173:T173),"")</f>
        <v>374</v>
      </c>
      <c r="Y173" s="12">
        <v>3</v>
      </c>
      <c r="Z173" s="12">
        <f>IF(A173&lt;&gt;"",SUM(U173:Y173),"")</f>
        <v>855</v>
      </c>
      <c r="AA173" s="27">
        <f>IF(A173&lt;&gt;"",(Z173+Normalize_To_Add)/(Point_Total_So_Far)*100,"")</f>
        <v>93.009673189131846</v>
      </c>
      <c r="AB173" s="10">
        <f>IF(A173&lt;&gt;"",RANK(AA173,All_Student_XC),"")</f>
        <v>51</v>
      </c>
      <c r="AC173" s="31" t="str">
        <f>IF(A173&lt;&gt;"",CHOOSE(10-MIN(9,TRUNC((AA173+0.5)/10)),"A","B","C","D","F","F","F","F","F","F"),"")</f>
        <v>A</v>
      </c>
      <c r="AD173" s="31" t="str">
        <f>IF(A173&lt;&gt;"",IF(OR(AA173+0.5&gt;=93,AA173+0.5&lt;60),"",IF(MOD(AA173+0.5,10)&gt;=7,"+",IF(MOD(AA173+0.5,10)&lt;3,"-",""))),"")</f>
        <v/>
      </c>
      <c r="AE173" s="31">
        <f>IF(A173&lt;&gt;"",SUM(W173:X173,$W$8:$X$8)/SUM($W$2:$X$2)*100,"")</f>
        <v>89.819346378263688</v>
      </c>
      <c r="AF173" s="31" t="str">
        <f>IF(A173&lt;&gt;"",CHOOSE(10-MIN(9,TRUNC((AE173+0.5)/10)),"A","B","C","D","F","F","F","F","F","F"),"")</f>
        <v>A</v>
      </c>
      <c r="AG173" s="31" t="str">
        <f>IF(A173&lt;&gt;"",IF(OR(AE173+0.5&gt;=93,AE173+0.5&lt;60),"",IF(MOD(AE173+0.5,10)&gt;=7,"+",IF(MOD(AE173+0.5,10)&lt;3,"-",""))),"")</f>
        <v>-</v>
      </c>
      <c r="AH173" s="35">
        <f>IF(A173&lt;&gt;"",MIN(MAX(AA173,AE173),AA173+$AH$8,AE173+$AH$8),"")</f>
        <v>93.009673189131846</v>
      </c>
      <c r="AI173" s="31" t="str">
        <f>IF(A173&lt;&gt;"",CHOOSE(10-MIN(9,TRUNC((AH173+0.5)/10)),"A","B","C","D","F","F","F","F","F","F"),"")</f>
        <v>A</v>
      </c>
      <c r="AJ173" s="31" t="str">
        <f>IF(A173&lt;&gt;"",IF(OR(AH173+0.5&gt;=93,AH173+0.5&lt;60),"",IF(MOD(AH173+0.5,10)&gt;=7,"+",IF(MOD(AH173+0.5,10)&lt;3,"-",""))),"")</f>
        <v/>
      </c>
      <c r="AK173" s="31" t="b">
        <f>IF(A173&lt;&gt;"",OR(AI173&lt;&gt;AC173,AJ173&lt;&gt;AD173),"")</f>
        <v>0</v>
      </c>
      <c r="AL173" s="81">
        <f>IF(AND(A173&lt;&gt;"",U173&gt;0),SUM(U173,$AL$8)/$AL$2*100,"")</f>
        <v>86</v>
      </c>
      <c r="AM173" s="24">
        <f>IF(AND(A173&lt;&gt;"",V173&gt;0),SUM(V173,$AM$8)/$AM$2*100,"")</f>
        <v>102</v>
      </c>
      <c r="AN173" s="24" t="str">
        <f>IF(AND(A173&lt;&gt;"",P173&lt;&gt;0),SUM(P173,$AN$8)/$AN$2*100,"")</f>
        <v/>
      </c>
      <c r="AO173" s="24" t="str">
        <f>IF(AND(A173&lt;&gt;"",Q173&lt;&gt;0),SUM(Q173,$AO$8)/$AO$2*100,"")</f>
        <v/>
      </c>
      <c r="AP173" s="24">
        <f>IF(AND(A173&lt;&gt;"",R173&lt;&gt;0),SUM(R173,$AP$8)/$AP$2*100,"")</f>
        <v>91.002659574468083</v>
      </c>
      <c r="AQ173" s="24" t="str">
        <f>IF(AND(A173&lt;&gt;"",W173&gt;0),SUM(W173,$AQ$8)/$AQ$2*100,"")</f>
        <v/>
      </c>
      <c r="AR173" s="24">
        <f>IF(AND(A173&lt;&gt;"",T173&gt;0),SUM(T173,$AR$8)/$AR$2*100,"")</f>
        <v>89.03047091412742</v>
      </c>
      <c r="AS173" s="24">
        <f>IF(AND(A173&lt;&gt;"",X173&lt;&gt;0),SUM(X173,$AS$8)/$AS$2*100,"")</f>
        <v>89.819346378263688</v>
      </c>
      <c r="AT173" s="86">
        <f>IF(A173&lt;&gt;"",SUM(W173:X173,$AT$8)/$AT$2*100,"")</f>
        <v>89.819346378263688</v>
      </c>
      <c r="AU173" s="24">
        <f>AA173</f>
        <v>93.009673189131846</v>
      </c>
      <c r="AV173" s="24"/>
      <c r="AW173" s="27">
        <f>IF(A173&lt;&gt;"",AE173-AA173,"")</f>
        <v>-3.1903268108681573</v>
      </c>
      <c r="AY173" s="27">
        <f>AR173-AP173</f>
        <v>-1.9721886603406631</v>
      </c>
      <c r="AZ173" s="27">
        <f>ABS(AY173)</f>
        <v>1.9721886603406631</v>
      </c>
    </row>
    <row r="174" spans="1:52" s="27" customFormat="1" ht="12.75" customHeight="1" x14ac:dyDescent="0.2">
      <c r="A174" s="10">
        <v>448658</v>
      </c>
      <c r="B174" s="2">
        <v>25</v>
      </c>
      <c r="C174" s="10">
        <v>25</v>
      </c>
      <c r="D174" s="10">
        <v>24</v>
      </c>
      <c r="E174" s="10">
        <v>25</v>
      </c>
      <c r="F174" s="10">
        <v>25</v>
      </c>
      <c r="G174" s="10">
        <v>25</v>
      </c>
      <c r="H174" s="10">
        <v>24</v>
      </c>
      <c r="I174" s="10">
        <v>25</v>
      </c>
      <c r="J174" s="2"/>
      <c r="K174" s="10">
        <v>62</v>
      </c>
      <c r="L174" s="10">
        <v>62</v>
      </c>
      <c r="M174" s="10">
        <v>59</v>
      </c>
      <c r="N174" s="51">
        <v>61</v>
      </c>
      <c r="O174" s="11">
        <v>62</v>
      </c>
      <c r="P174" s="10"/>
      <c r="Q174" s="40"/>
      <c r="R174" s="2">
        <v>170</v>
      </c>
      <c r="S174" s="10">
        <f>IF(T174="",R174,MAX((R174+$R$8)/$R$2,(T174+$T$8)/$T$2)*$R$2-$R$8)</f>
        <v>180.38895601265202</v>
      </c>
      <c r="T174" s="12">
        <v>268</v>
      </c>
      <c r="U174" s="34">
        <f>IF(A174&lt;&gt;"",SUM(B174:I174),"")</f>
        <v>198</v>
      </c>
      <c r="V174" s="10">
        <f>IF(A174&lt;&gt;"",SUM(J174:O174),"")</f>
        <v>306</v>
      </c>
      <c r="W174" s="10">
        <f>IF(A174&lt;&gt;"",SUM(P174:Q174),"")</f>
        <v>0</v>
      </c>
      <c r="X174" s="10">
        <f>IF(A174&lt;&gt;"",SUM(S174:T174),"")</f>
        <v>448.38895601265199</v>
      </c>
      <c r="Y174" s="12">
        <v>3</v>
      </c>
      <c r="Z174" s="12">
        <f>IF(A174&lt;&gt;"",SUM(U174:Y174),"")</f>
        <v>955.38895601265199</v>
      </c>
      <c r="AA174" s="27">
        <f>IF(A174&lt;&gt;"",(Z174+Normalize_To_Add)/(Point_Total_So_Far)*100,"")</f>
        <v>103.04856879039703</v>
      </c>
      <c r="AB174" s="10">
        <f>IF(A174&lt;&gt;"",RANK(AA174,All_Student_XC),"")</f>
        <v>1</v>
      </c>
      <c r="AC174" s="31" t="str">
        <f>IF(A174&lt;&gt;"",CHOOSE(10-MIN(9,TRUNC((AA174+0.5)/10)),"A","B","C","D","F","F","F","F","F","F"),"")</f>
        <v>A</v>
      </c>
      <c r="AD174" s="31" t="str">
        <f>IF(A174&lt;&gt;"",IF(OR(AA174+0.5&gt;=93,AA174+0.5&lt;60),"",IF(MOD(AA174+0.5,10)&gt;=7,"+",IF(MOD(AA174+0.5,10)&lt;3,"-",""))),"")</f>
        <v/>
      </c>
      <c r="AE174" s="31">
        <f>IF(A174&lt;&gt;"",SUM(W174:X174,$W$8:$X$8)/SUM($W$2:$X$2)*100,"")</f>
        <v>104.69713758079409</v>
      </c>
      <c r="AF174" s="31" t="str">
        <f>IF(A174&lt;&gt;"",CHOOSE(10-MIN(9,TRUNC((AE174+0.5)/10)),"A","B","C","D","F","F","F","F","F","F"),"")</f>
        <v>A</v>
      </c>
      <c r="AG174" s="31" t="str">
        <f>IF(A174&lt;&gt;"",IF(OR(AE174+0.5&gt;=93,AE174+0.5&lt;60),"",IF(MOD(AE174+0.5,10)&gt;=7,"+",IF(MOD(AE174+0.5,10)&lt;3,"-",""))),"")</f>
        <v/>
      </c>
      <c r="AH174" s="35">
        <f>IF(A174&lt;&gt;"",MIN(MAX(AA174,AE174),AA174+$AH$8,AE174+$AH$8),"")</f>
        <v>104.69713758079409</v>
      </c>
      <c r="AI174" s="31" t="str">
        <f>IF(A174&lt;&gt;"",CHOOSE(10-MIN(9,TRUNC((AH174+0.5)/10)),"A","B","C","D","F","F","F","F","F","F"),"")</f>
        <v>A</v>
      </c>
      <c r="AJ174" s="31" t="str">
        <f>IF(A174&lt;&gt;"",IF(OR(AH174+0.5&gt;=93,AH174+0.5&lt;60),"",IF(MOD(AH174+0.5,10)&gt;=7,"+",IF(MOD(AH174+0.5,10)&lt;3,"-",""))),"")</f>
        <v/>
      </c>
      <c r="AK174" s="31" t="b">
        <f>IF(A174&lt;&gt;"",OR(AI174&lt;&gt;AC174,AJ174&lt;&gt;AD174),"")</f>
        <v>0</v>
      </c>
      <c r="AL174" s="81">
        <f>IF(AND(A174&lt;&gt;"",U174&gt;0),SUM(U174,$AL$8)/$AL$2*100,"")</f>
        <v>99</v>
      </c>
      <c r="AM174" s="24">
        <f>IF(AND(A174&lt;&gt;"",V174&gt;0),SUM(V174,$AM$8)/$AM$2*100,"")</f>
        <v>102</v>
      </c>
      <c r="AN174" s="24" t="str">
        <f>IF(AND(A174&lt;&gt;"",P174&lt;&gt;0),SUM(P174,$AN$8)/$AN$2*100,"")</f>
        <v/>
      </c>
      <c r="AO174" s="24" t="str">
        <f>IF(AND(A174&lt;&gt;"",Q174&lt;&gt;0),SUM(Q174,$AO$8)/$AO$2*100,"")</f>
        <v/>
      </c>
      <c r="AP174" s="24">
        <f>IF(AND(A174&lt;&gt;"",R174&lt;&gt;0),SUM(R174,$AP$8)/$AP$2*100,"")</f>
        <v>99.502659574468083</v>
      </c>
      <c r="AQ174" s="24" t="str">
        <f>IF(AND(A174&lt;&gt;"",W174&gt;0),SUM(W174,$AQ$8)/$AQ$2*100,"")</f>
        <v/>
      </c>
      <c r="AR174" s="24">
        <f>IF(AND(A174&lt;&gt;"",T174&gt;0),SUM(T174,$AR$8)/$AR$2*100,"")</f>
        <v>104.69713758079409</v>
      </c>
      <c r="AS174" s="24">
        <f>IF(AND(A174&lt;&gt;"",X174&lt;&gt;0),SUM(X174,$AS$8)/$AS$2*100,"")</f>
        <v>104.69713758079409</v>
      </c>
      <c r="AT174" s="86">
        <f>IF(A174&lt;&gt;"",SUM(W174:X174,$AT$8)/$AT$2*100,"")</f>
        <v>104.69713758079409</v>
      </c>
      <c r="AU174" s="24">
        <f>AA174</f>
        <v>103.04856879039703</v>
      </c>
      <c r="AV174" s="24"/>
      <c r="AW174" s="27">
        <f>IF(A174&lt;&gt;"",AE174-AA174,"")</f>
        <v>1.6485687903970643</v>
      </c>
      <c r="AY174" s="27">
        <f>AR174-AP174</f>
        <v>5.1944780063260083</v>
      </c>
      <c r="AZ174" s="27">
        <f>ABS(AY174)</f>
        <v>5.1944780063260083</v>
      </c>
    </row>
    <row r="175" spans="1:52" s="27" customFormat="1" ht="12.75" customHeight="1" x14ac:dyDescent="0.2">
      <c r="A175" s="10">
        <v>449344</v>
      </c>
      <c r="B175" s="2">
        <v>24</v>
      </c>
      <c r="C175" s="10">
        <v>19</v>
      </c>
      <c r="D175" s="10">
        <v>21</v>
      </c>
      <c r="E175" s="10">
        <v>16</v>
      </c>
      <c r="F175" s="10">
        <v>23</v>
      </c>
      <c r="G175" s="10">
        <v>25</v>
      </c>
      <c r="H175" s="10">
        <v>14</v>
      </c>
      <c r="I175" s="10">
        <v>22</v>
      </c>
      <c r="J175" s="2"/>
      <c r="K175" s="10">
        <v>52</v>
      </c>
      <c r="L175" s="10">
        <v>54</v>
      </c>
      <c r="M175" s="10">
        <v>59</v>
      </c>
      <c r="N175" s="51">
        <v>59</v>
      </c>
      <c r="O175" s="11">
        <v>60</v>
      </c>
      <c r="P175" s="10"/>
      <c r="Q175" s="40"/>
      <c r="R175" s="2">
        <v>106</v>
      </c>
      <c r="S175" s="10">
        <f>IF(T175="",R175,MAX((R175+$R$8)/$R$2,(T175+$T$8)/$T$2)*$R$2-$R$8)</f>
        <v>107.72228934598536</v>
      </c>
      <c r="T175" s="12">
        <v>159</v>
      </c>
      <c r="U175" s="34">
        <f>IF(A175&lt;&gt;"",SUM(B175:I175),"")</f>
        <v>164</v>
      </c>
      <c r="V175" s="10">
        <f>IF(A175&lt;&gt;"",SUM(J175:O175),"")</f>
        <v>284</v>
      </c>
      <c r="W175" s="10">
        <f>IF(A175&lt;&gt;"",SUM(P175:Q175),"")</f>
        <v>0</v>
      </c>
      <c r="X175" s="10">
        <f>IF(A175&lt;&gt;"",SUM(S175:T175),"")</f>
        <v>266.72228934598536</v>
      </c>
      <c r="Y175" s="12" t="s">
        <v>69</v>
      </c>
      <c r="Z175" s="12">
        <f>IF(A175&lt;&gt;"",SUM(U175:Y175),"")</f>
        <v>714.72228934598536</v>
      </c>
      <c r="AA175" s="27">
        <f>IF(A175&lt;&gt;"",(Z175+Normalize_To_Add)/(Point_Total_So_Far)*100,"")</f>
        <v>78.981902123730379</v>
      </c>
      <c r="AB175" s="10">
        <f>IF(A175&lt;&gt;"",RANK(AA175,All_Student_XC),"")</f>
        <v>225</v>
      </c>
      <c r="AC175" s="31" t="str">
        <f>IF(A175&lt;&gt;"",CHOOSE(10-MIN(9,TRUNC((AA175+0.5)/10)),"A","B","C","D","F","F","F","F","F","F"),"")</f>
        <v>C</v>
      </c>
      <c r="AD175" s="31" t="str">
        <f>IF(A175&lt;&gt;"",IF(OR(AA175+0.5&gt;=93,AA175+0.5&lt;60),"",IF(MOD(AA175+0.5,10)&gt;=7,"+",IF(MOD(AA175+0.5,10)&lt;3,"-",""))),"")</f>
        <v>+</v>
      </c>
      <c r="AE175" s="31">
        <f>IF(A175&lt;&gt;"",SUM(W175:X175,$W$8:$X$8)/SUM($W$2:$X$2)*100,"")</f>
        <v>68.363804247460763</v>
      </c>
      <c r="AF175" s="31" t="str">
        <f>IF(A175&lt;&gt;"",CHOOSE(10-MIN(9,TRUNC((AE175+0.5)/10)),"A","B","C","D","F","F","F","F","F","F"),"")</f>
        <v>D</v>
      </c>
      <c r="AG175" s="31" t="str">
        <f>IF(A175&lt;&gt;"",IF(OR(AE175+0.5&gt;=93,AE175+0.5&lt;60),"",IF(MOD(AE175+0.5,10)&gt;=7,"+",IF(MOD(AE175+0.5,10)&lt;3,"-",""))),"")</f>
        <v>+</v>
      </c>
      <c r="AH175" s="35">
        <f>IF(A175&lt;&gt;"",MIN(MAX(AA175,AE175),AA175+$AH$8,AE175+$AH$8),"")</f>
        <v>78.981902123730379</v>
      </c>
      <c r="AI175" s="31" t="str">
        <f>IF(A175&lt;&gt;"",CHOOSE(10-MIN(9,TRUNC((AH175+0.5)/10)),"A","B","C","D","F","F","F","F","F","F"),"")</f>
        <v>C</v>
      </c>
      <c r="AJ175" s="31" t="str">
        <f>IF(A175&lt;&gt;"",IF(OR(AH175+0.5&gt;=93,AH175+0.5&lt;60),"",IF(MOD(AH175+0.5,10)&gt;=7,"+",IF(MOD(AH175+0.5,10)&lt;3,"-",""))),"")</f>
        <v>+</v>
      </c>
      <c r="AK175" s="31" t="b">
        <f>IF(A175&lt;&gt;"",OR(AI175&lt;&gt;AC175,AJ175&lt;&gt;AD175),"")</f>
        <v>0</v>
      </c>
      <c r="AL175" s="81">
        <f>IF(AND(A175&lt;&gt;"",U175&gt;0),SUM(U175,$AL$8)/$AL$2*100,"")</f>
        <v>82</v>
      </c>
      <c r="AM175" s="24">
        <f>IF(AND(A175&lt;&gt;"",V175&gt;0),SUM(V175,$AM$8)/$AM$2*100,"")</f>
        <v>94.666666666666671</v>
      </c>
      <c r="AN175" s="24" t="str">
        <f>IF(AND(A175&lt;&gt;"",P175&lt;&gt;0),SUM(P175,$AN$8)/$AN$2*100,"")</f>
        <v/>
      </c>
      <c r="AO175" s="24" t="str">
        <f>IF(AND(A175&lt;&gt;"",Q175&lt;&gt;0),SUM(Q175,$AO$8)/$AO$2*100,"")</f>
        <v/>
      </c>
      <c r="AP175" s="24">
        <f>IF(AND(A175&lt;&gt;"",R175&lt;&gt;0),SUM(R175,$AP$8)/$AP$2*100,"")</f>
        <v>67.502659574468083</v>
      </c>
      <c r="AQ175" s="24" t="str">
        <f>IF(AND(A175&lt;&gt;"",W175&gt;0),SUM(W175,$AQ$8)/$AQ$2*100,"")</f>
        <v/>
      </c>
      <c r="AR175" s="24">
        <f>IF(AND(A175&lt;&gt;"",T175&gt;0),SUM(T175,$AR$8)/$AR$2*100,"")</f>
        <v>68.363804247460763</v>
      </c>
      <c r="AS175" s="24">
        <f>IF(AND(A175&lt;&gt;"",X175&lt;&gt;0),SUM(X175,$AS$8)/$AS$2*100,"")</f>
        <v>68.363804247460763</v>
      </c>
      <c r="AT175" s="86">
        <f>IF(A175&lt;&gt;"",SUM(W175:X175,$AT$8)/$AT$2*100,"")</f>
        <v>68.363804247460763</v>
      </c>
      <c r="AU175" s="24">
        <f>AA175</f>
        <v>78.981902123730379</v>
      </c>
      <c r="AV175" s="24"/>
      <c r="AW175" s="27">
        <f>IF(A175&lt;&gt;"",AE175-AA175,"")</f>
        <v>-10.618097876269616</v>
      </c>
      <c r="AY175" s="27">
        <f>AR175-AP175</f>
        <v>0.86114467299267972</v>
      </c>
      <c r="AZ175" s="27">
        <f>ABS(AY175)</f>
        <v>0.86114467299267972</v>
      </c>
    </row>
    <row r="176" spans="1:52" s="27" customFormat="1" ht="12.75" customHeight="1" x14ac:dyDescent="0.2">
      <c r="A176" s="50">
        <v>452740</v>
      </c>
      <c r="B176" s="2">
        <v>23</v>
      </c>
      <c r="C176" s="50">
        <v>22</v>
      </c>
      <c r="D176" s="10">
        <v>23</v>
      </c>
      <c r="E176" s="10">
        <v>24</v>
      </c>
      <c r="F176" s="10">
        <v>23</v>
      </c>
      <c r="G176" s="10">
        <v>25</v>
      </c>
      <c r="H176" s="10">
        <v>24</v>
      </c>
      <c r="I176" s="10">
        <v>18</v>
      </c>
      <c r="J176" s="2"/>
      <c r="K176" s="10">
        <v>55</v>
      </c>
      <c r="L176" s="10">
        <v>59</v>
      </c>
      <c r="M176" s="10">
        <v>60</v>
      </c>
      <c r="N176" s="51">
        <v>57</v>
      </c>
      <c r="O176" s="11">
        <v>60</v>
      </c>
      <c r="P176" s="10"/>
      <c r="Q176" s="40"/>
      <c r="R176" s="2">
        <v>92</v>
      </c>
      <c r="S176" s="10">
        <f>IF(T176="",R176,MAX((R176+$R$8)/$R$2,(T176+$T$8)/$T$2)*$R$2-$R$8)</f>
        <v>104.38895601265202</v>
      </c>
      <c r="T176" s="62">
        <v>154</v>
      </c>
      <c r="U176" s="10">
        <f>IF(A176&lt;&gt;"",SUM(B176:I176),"")</f>
        <v>182</v>
      </c>
      <c r="V176" s="10">
        <f>IF(A176&lt;&gt;"",SUM(J176:O176),"")</f>
        <v>291</v>
      </c>
      <c r="W176" s="10">
        <f>IF(A176&lt;&gt;"",SUM(P176:Q176),"")</f>
        <v>0</v>
      </c>
      <c r="X176" s="10">
        <f>IF(A176&lt;&gt;"",SUM(S176:T176),"")</f>
        <v>258.38895601265199</v>
      </c>
      <c r="Y176" s="12">
        <v>3</v>
      </c>
      <c r="Z176" s="12">
        <f>IF(A176&lt;&gt;"",SUM(U176:Y176),"")</f>
        <v>734.38895601265199</v>
      </c>
      <c r="AA176" s="27">
        <f>IF(A176&lt;&gt;"",(Z176+Normalize_To_Add)/(Point_Total_So_Far)*100,"")</f>
        <v>80.948568790397047</v>
      </c>
      <c r="AB176" s="10">
        <f>IF(A176&lt;&gt;"",RANK(AA176,All_Student_XC),"")</f>
        <v>200</v>
      </c>
      <c r="AC176" s="31" t="str">
        <f>IF(A176&lt;&gt;"",CHOOSE(10-MIN(9,TRUNC((AA176+0.5)/10)),"A","B","C","D","F","F","F","F","F","F"),"")</f>
        <v>B</v>
      </c>
      <c r="AD176" s="31" t="str">
        <f>IF(A176&lt;&gt;"",IF(OR(AA176+0.5&gt;=93,AA176+0.5&lt;60),"",IF(MOD(AA176+0.5,10)&gt;=7,"+",IF(MOD(AA176+0.5,10)&lt;3,"-",""))),"")</f>
        <v>-</v>
      </c>
      <c r="AE176" s="31">
        <f>IF(A176&lt;&gt;"",SUM(W176:X176,$W$8:$X$8)/SUM($W$2:$X$2)*100,"")</f>
        <v>66.697137580794092</v>
      </c>
      <c r="AF176" s="43" t="str">
        <f>IF(A176&lt;&gt;"",CHOOSE(10-MIN(9,TRUNC((AE176+0.5)/10)),"A","B","C","D","F","F","F","F","F","F"),"")</f>
        <v>D</v>
      </c>
      <c r="AG176" s="43" t="str">
        <f>IF(A176&lt;&gt;"",IF(OR(AE176+0.5&gt;=93,AE176+0.5&lt;60),"",IF(MOD(AE176+0.5,10)&gt;=7,"+",IF(MOD(AE176+0.5,10)&lt;3,"-",""))),"")</f>
        <v>+</v>
      </c>
      <c r="AH176" s="35">
        <f>IF(A176&lt;&gt;"",MIN(MAX(AA176,AE176),AA176+$AH$8,AE176+$AH$8),"")</f>
        <v>80.948568790397047</v>
      </c>
      <c r="AI176" s="31" t="str">
        <f>IF(A176&lt;&gt;"",CHOOSE(10-MIN(9,TRUNC((AH176+0.5)/10)),"A","B","C","D","F","F","F","F","F","F"),"")</f>
        <v>B</v>
      </c>
      <c r="AJ176" s="31" t="str">
        <f>IF(A176&lt;&gt;"",IF(OR(AH176+0.5&gt;=93,AH176+0.5&lt;60),"",IF(MOD(AH176+0.5,10)&gt;=7,"+",IF(MOD(AH176+0.5,10)&lt;3,"-",""))),"")</f>
        <v>-</v>
      </c>
      <c r="AK176" s="31" t="b">
        <f>IF(A176&lt;&gt;"",OR(AI176&lt;&gt;AC176,AJ176&lt;&gt;AD176),"")</f>
        <v>0</v>
      </c>
      <c r="AL176" s="81">
        <f>IF(AND(A176&lt;&gt;"",U176&gt;0),SUM(U176,$AL$8)/$AL$2*100,"")</f>
        <v>91</v>
      </c>
      <c r="AM176" s="24">
        <f>IF(AND(A176&lt;&gt;"",V176&gt;0),SUM(V176,$AM$8)/$AM$2*100,"")</f>
        <v>97</v>
      </c>
      <c r="AN176" s="24" t="str">
        <f>IF(AND(A176&lt;&gt;"",P176&lt;&gt;0),SUM(P176,$AN$8)/$AN$2*100,"")</f>
        <v/>
      </c>
      <c r="AO176" s="24" t="str">
        <f>IF(AND(A176&lt;&gt;"",Q176&lt;&gt;0),SUM(Q176,$AO$8)/$AO$2*100,"")</f>
        <v/>
      </c>
      <c r="AP176" s="24">
        <f>IF(AND(A176&lt;&gt;"",R176&lt;&gt;0),SUM(R176,$AP$8)/$AP$2*100,"")</f>
        <v>60.50265957446809</v>
      </c>
      <c r="AQ176" s="24" t="str">
        <f>IF(AND(A176&lt;&gt;"",W176&gt;0),SUM(W176,$AQ$8)/$AQ$2*100,"")</f>
        <v/>
      </c>
      <c r="AR176" s="24">
        <f>IF(AND(A176&lt;&gt;"",T176&gt;0),SUM(T176,$AR$8)/$AR$2*100,"")</f>
        <v>66.697137580794092</v>
      </c>
      <c r="AS176" s="24">
        <f>IF(AND(A176&lt;&gt;"",X176&lt;&gt;0),SUM(X176,$AS$8)/$AS$2*100,"")</f>
        <v>66.697137580794092</v>
      </c>
      <c r="AT176" s="86">
        <f>IF(A176&lt;&gt;"",SUM(W176:X176,$AT$8)/$AT$2*100,"")</f>
        <v>66.697137580794092</v>
      </c>
      <c r="AU176" s="24">
        <f>AA176</f>
        <v>80.948568790397047</v>
      </c>
      <c r="AV176" s="24"/>
      <c r="AW176" s="27">
        <f>IF(A176&lt;&gt;"",AE176-AA176,"")</f>
        <v>-14.251431209602956</v>
      </c>
      <c r="AY176" s="27">
        <f>AR176-AP176</f>
        <v>6.1944780063260012</v>
      </c>
      <c r="AZ176" s="27">
        <f>ABS(AY176)</f>
        <v>6.1944780063260012</v>
      </c>
    </row>
    <row r="177" spans="1:52" s="27" customFormat="1" ht="12.75" customHeight="1" x14ac:dyDescent="0.2">
      <c r="A177" s="10">
        <v>452890</v>
      </c>
      <c r="B177" s="2">
        <v>23</v>
      </c>
      <c r="C177" s="10">
        <v>23</v>
      </c>
      <c r="D177" s="10">
        <v>21</v>
      </c>
      <c r="E177" s="10">
        <v>22</v>
      </c>
      <c r="F177" s="10">
        <v>15</v>
      </c>
      <c r="G177" s="10">
        <v>25</v>
      </c>
      <c r="H177" s="10">
        <v>10</v>
      </c>
      <c r="I177" s="10">
        <v>23</v>
      </c>
      <c r="J177" s="2"/>
      <c r="K177" s="10">
        <v>47</v>
      </c>
      <c r="L177" s="10">
        <v>42</v>
      </c>
      <c r="M177" s="10">
        <v>52</v>
      </c>
      <c r="N177" s="51">
        <v>16</v>
      </c>
      <c r="O177" s="11">
        <v>45</v>
      </c>
      <c r="P177" s="10"/>
      <c r="Q177" s="40"/>
      <c r="R177" s="2">
        <v>83</v>
      </c>
      <c r="S177" s="10">
        <f>IF(T177="",R177,MAX((R177+$R$8)/$R$2,(T177+$T$8)/$T$2)*$R$2-$R$8)</f>
        <v>83</v>
      </c>
      <c r="T177" s="12">
        <v>93</v>
      </c>
      <c r="U177" s="34">
        <f>IF(A177&lt;&gt;"",SUM(B177:I177),"")</f>
        <v>162</v>
      </c>
      <c r="V177" s="10">
        <f>IF(A177&lt;&gt;"",SUM(J177:O177),"")</f>
        <v>202</v>
      </c>
      <c r="W177" s="10">
        <f>IF(A177&lt;&gt;"",SUM(P177:Q177),"")</f>
        <v>0</v>
      </c>
      <c r="X177" s="10">
        <f>IF(A177&lt;&gt;"",SUM(S177:T177),"")</f>
        <v>176</v>
      </c>
      <c r="Y177" s="12">
        <v>3</v>
      </c>
      <c r="Z177" s="12">
        <f>IF(A177&lt;&gt;"",SUM(U177:Y177),"")</f>
        <v>543</v>
      </c>
      <c r="AA177" s="27">
        <f>IF(A177&lt;&gt;"",(Z177+Normalize_To_Add)/(Point_Total_So_Far)*100,"")</f>
        <v>61.809673189131843</v>
      </c>
      <c r="AB177" s="10">
        <f>IF(A177&lt;&gt;"",RANK(AA177,All_Student_XC),"")</f>
        <v>342</v>
      </c>
      <c r="AC177" s="31" t="str">
        <f>IF(A177&lt;&gt;"",CHOOSE(10-MIN(9,TRUNC((AA177+0.5)/10)),"A","B","C","D","F","F","F","F","F","F"),"")</f>
        <v>D</v>
      </c>
      <c r="AD177" s="31" t="str">
        <f>IF(A177&lt;&gt;"",IF(OR(AA177+0.5&gt;=93,AA177+0.5&lt;60),"",IF(MOD(AA177+0.5,10)&gt;=7,"+",IF(MOD(AA177+0.5,10)&lt;3,"-",""))),"")</f>
        <v>-</v>
      </c>
      <c r="AE177" s="31">
        <f>IF(A177&lt;&gt;"",SUM(W177:X177,$W$8:$X$8)/SUM($W$2:$X$2)*100,"")</f>
        <v>50.219346378263687</v>
      </c>
      <c r="AF177" s="31" t="str">
        <f>IF(A177&lt;&gt;"",CHOOSE(10-MIN(9,TRUNC((AE177+0.5)/10)),"A","B","C","D","F","F","F","F","F","F"),"")</f>
        <v>F</v>
      </c>
      <c r="AG177" s="31" t="str">
        <f>IF(A177&lt;&gt;"",IF(OR(AE177+0.5&gt;=93,AE177+0.5&lt;60),"",IF(MOD(AE177+0.5,10)&gt;=7,"+",IF(MOD(AE177+0.5,10)&lt;3,"-",""))),"")</f>
        <v/>
      </c>
      <c r="AH177" s="35">
        <f>IF(A177&lt;&gt;"",MIN(MAX(AA177,AE177),AA177+$AH$8,AE177+$AH$8),"")</f>
        <v>61.809673189131843</v>
      </c>
      <c r="AI177" s="31" t="str">
        <f>IF(A177&lt;&gt;"",CHOOSE(10-MIN(9,TRUNC((AH177+0.5)/10)),"A","B","C","D","F","F","F","F","F","F"),"")</f>
        <v>D</v>
      </c>
      <c r="AJ177" s="31" t="str">
        <f>IF(A177&lt;&gt;"",IF(OR(AH177+0.5&gt;=93,AH177+0.5&lt;60),"",IF(MOD(AH177+0.5,10)&gt;=7,"+",IF(MOD(AH177+0.5,10)&lt;3,"-",""))),"")</f>
        <v>-</v>
      </c>
      <c r="AK177" s="31" t="b">
        <f>IF(A177&lt;&gt;"",OR(AI177&lt;&gt;AC177,AJ177&lt;&gt;AD177),"")</f>
        <v>0</v>
      </c>
      <c r="AL177" s="81">
        <f>IF(AND(A177&lt;&gt;"",U177&gt;0),SUM(U177,$AL$8)/$AL$2*100,"")</f>
        <v>81</v>
      </c>
      <c r="AM177" s="24">
        <f>IF(AND(A177&lt;&gt;"",V177&gt;0),SUM(V177,$AM$8)/$AM$2*100,"")</f>
        <v>67.333333333333329</v>
      </c>
      <c r="AN177" s="24" t="str">
        <f>IF(AND(A177&lt;&gt;"",P177&lt;&gt;0),SUM(P177,$AN$8)/$AN$2*100,"")</f>
        <v/>
      </c>
      <c r="AO177" s="24" t="str">
        <f>IF(AND(A177&lt;&gt;"",Q177&lt;&gt;0),SUM(Q177,$AO$8)/$AO$2*100,"")</f>
        <v/>
      </c>
      <c r="AP177" s="24">
        <f>IF(AND(A177&lt;&gt;"",R177&lt;&gt;0),SUM(R177,$AP$8)/$AP$2*100,"")</f>
        <v>56.002659574468083</v>
      </c>
      <c r="AQ177" s="24" t="str">
        <f>IF(AND(A177&lt;&gt;"",W177&gt;0),SUM(W177,$AQ$8)/$AQ$2*100,"")</f>
        <v/>
      </c>
      <c r="AR177" s="24">
        <f>IF(AND(A177&lt;&gt;"",T177&gt;0),SUM(T177,$AR$8)/$AR$2*100,"")</f>
        <v>46.363804247460756</v>
      </c>
      <c r="AS177" s="24">
        <f>IF(AND(A177&lt;&gt;"",X177&lt;&gt;0),SUM(X177,$AS$8)/$AS$2*100,"")</f>
        <v>50.219346378263687</v>
      </c>
      <c r="AT177" s="86">
        <f>IF(A177&lt;&gt;"",SUM(W177:X177,$AT$8)/$AT$2*100,"")</f>
        <v>50.219346378263687</v>
      </c>
      <c r="AU177" s="24">
        <f>AA177</f>
        <v>61.809673189131843</v>
      </c>
      <c r="AV177" s="24"/>
      <c r="AW177" s="27">
        <f>IF(A177&lt;&gt;"",AE177-AA177,"")</f>
        <v>-11.590326810868156</v>
      </c>
      <c r="AY177" s="27">
        <f>AR177-AP177</f>
        <v>-9.6388553270073274</v>
      </c>
      <c r="AZ177" s="27">
        <f>ABS(AY177)</f>
        <v>9.6388553270073274</v>
      </c>
    </row>
    <row r="178" spans="1:52" s="27" customFormat="1" ht="12.75" customHeight="1" x14ac:dyDescent="0.2">
      <c r="A178" s="50">
        <v>455598</v>
      </c>
      <c r="B178" s="2">
        <v>23</v>
      </c>
      <c r="C178" s="50">
        <v>25</v>
      </c>
      <c r="D178" s="10">
        <v>20</v>
      </c>
      <c r="E178" s="10">
        <v>25</v>
      </c>
      <c r="F178" s="10">
        <v>22</v>
      </c>
      <c r="G178" s="10">
        <v>25</v>
      </c>
      <c r="H178" s="10">
        <v>17</v>
      </c>
      <c r="I178" s="10">
        <v>24</v>
      </c>
      <c r="J178" s="2"/>
      <c r="K178" s="10">
        <v>28</v>
      </c>
      <c r="L178" s="10">
        <v>8</v>
      </c>
      <c r="M178" s="10">
        <v>12</v>
      </c>
      <c r="N178" s="51">
        <v>0</v>
      </c>
      <c r="O178" s="11" t="s">
        <v>69</v>
      </c>
      <c r="P178" s="10"/>
      <c r="Q178" s="40"/>
      <c r="R178" s="2">
        <v>117</v>
      </c>
      <c r="S178" s="10">
        <f>IF(T178="",R178,MAX((R178+$R$8)/$R$2,(T178+$T$8)/$T$2)*$R$2-$R$8)</f>
        <v>117</v>
      </c>
      <c r="T178" s="62">
        <v>164</v>
      </c>
      <c r="U178" s="10">
        <f>IF(A178&lt;&gt;"",SUM(B178:I178),"")</f>
        <v>181</v>
      </c>
      <c r="V178" s="10">
        <f>IF(A178&lt;&gt;"",SUM(J178:O178),"")</f>
        <v>48</v>
      </c>
      <c r="W178" s="10">
        <f>IF(A178&lt;&gt;"",SUM(P178:Q178),"")</f>
        <v>0</v>
      </c>
      <c r="X178" s="10">
        <f>IF(A178&lt;&gt;"",SUM(S178:T178),"")</f>
        <v>281</v>
      </c>
      <c r="Y178" s="12">
        <v>3</v>
      </c>
      <c r="Z178" s="12">
        <f>IF(A178&lt;&gt;"",SUM(U178:Y178),"")</f>
        <v>513</v>
      </c>
      <c r="AA178" s="27">
        <f>IF(A178&lt;&gt;"",(Z178+Normalize_To_Add)/(Point_Total_So_Far)*100,"")</f>
        <v>58.809673189131843</v>
      </c>
      <c r="AB178" s="10">
        <f>IF(A178&lt;&gt;"",RANK(AA178,All_Student_XC),"")</f>
        <v>345</v>
      </c>
      <c r="AC178" s="31" t="str">
        <f>IF(A178&lt;&gt;"",CHOOSE(10-MIN(9,TRUNC((AA178+0.5)/10)),"A","B","C","D","F","F","F","F","F","F"),"")</f>
        <v>F</v>
      </c>
      <c r="AD178" s="31" t="str">
        <f>IF(A178&lt;&gt;"",IF(OR(AA178+0.5&gt;=93,AA178+0.5&lt;60),"",IF(MOD(AA178+0.5,10)&gt;=7,"+",IF(MOD(AA178+0.5,10)&lt;3,"-",""))),"")</f>
        <v/>
      </c>
      <c r="AE178" s="31">
        <f>IF(A178&lt;&gt;"",SUM(W178:X178,$W$8:$X$8)/SUM($W$2:$X$2)*100,"")</f>
        <v>71.21934637826368</v>
      </c>
      <c r="AF178" s="43" t="str">
        <f>IF(A178&lt;&gt;"",CHOOSE(10-MIN(9,TRUNC((AE178+0.5)/10)),"A","B","C","D","F","F","F","F","F","F"),"")</f>
        <v>C</v>
      </c>
      <c r="AG178" s="43" t="str">
        <f>IF(A178&lt;&gt;"",IF(OR(AE178+0.5&gt;=93,AE178+0.5&lt;60),"",IF(MOD(AE178+0.5,10)&gt;=7,"+",IF(MOD(AE178+0.5,10)&lt;3,"-",""))),"")</f>
        <v>-</v>
      </c>
      <c r="AH178" s="35">
        <f>IF(A178&lt;&gt;"",MIN(MAX(AA178,AE178),AA178+$AH$8,AE178+$AH$8),"")</f>
        <v>71.21934637826368</v>
      </c>
      <c r="AI178" s="31" t="str">
        <f>IF(A178&lt;&gt;"",CHOOSE(10-MIN(9,TRUNC((AH178+0.5)/10)),"A","B","C","D","F","F","F","F","F","F"),"")</f>
        <v>C</v>
      </c>
      <c r="AJ178" s="31" t="str">
        <f>IF(A178&lt;&gt;"",IF(OR(AH178+0.5&gt;=93,AH178+0.5&lt;60),"",IF(MOD(AH178+0.5,10)&gt;=7,"+",IF(MOD(AH178+0.5,10)&lt;3,"-",""))),"")</f>
        <v>-</v>
      </c>
      <c r="AK178" s="31" t="b">
        <f>IF(A178&lt;&gt;"",OR(AI178&lt;&gt;AC178,AJ178&lt;&gt;AD178),"")</f>
        <v>1</v>
      </c>
      <c r="AL178" s="81">
        <f>IF(AND(A178&lt;&gt;"",U178&gt;0),SUM(U178,$AL$8)/$AL$2*100,"")</f>
        <v>90.5</v>
      </c>
      <c r="AM178" s="24">
        <f>IF(AND(A178&lt;&gt;"",V178&gt;0),SUM(V178,$AM$8)/$AM$2*100,"")</f>
        <v>16</v>
      </c>
      <c r="AN178" s="24" t="str">
        <f>IF(AND(A178&lt;&gt;"",P178&lt;&gt;0),SUM(P178,$AN$8)/$AN$2*100,"")</f>
        <v/>
      </c>
      <c r="AO178" s="24" t="str">
        <f>IF(AND(A178&lt;&gt;"",Q178&lt;&gt;0),SUM(Q178,$AO$8)/$AO$2*100,"")</f>
        <v/>
      </c>
      <c r="AP178" s="24">
        <f>IF(AND(A178&lt;&gt;"",R178&lt;&gt;0),SUM(R178,$AP$8)/$AP$2*100,"")</f>
        <v>73.002659574468083</v>
      </c>
      <c r="AQ178" s="24" t="str">
        <f>IF(AND(A178&lt;&gt;"",W178&gt;0),SUM(W178,$AQ$8)/$AQ$2*100,"")</f>
        <v/>
      </c>
      <c r="AR178" s="24">
        <f>IF(AND(A178&lt;&gt;"",T178&gt;0),SUM(T178,$AR$8)/$AR$2*100,"")</f>
        <v>70.03047091412742</v>
      </c>
      <c r="AS178" s="24">
        <f>IF(AND(A178&lt;&gt;"",X178&lt;&gt;0),SUM(X178,$AS$8)/$AS$2*100,"")</f>
        <v>71.21934637826368</v>
      </c>
      <c r="AT178" s="86">
        <f>IF(A178&lt;&gt;"",SUM(W178:X178,$AT$8)/$AT$2*100,"")</f>
        <v>71.21934637826368</v>
      </c>
      <c r="AU178" s="24">
        <f>AA178</f>
        <v>58.809673189131843</v>
      </c>
      <c r="AV178" s="24"/>
      <c r="AW178" s="27">
        <f>IF(A178&lt;&gt;"",AE178-AA178,"")</f>
        <v>12.409673189131837</v>
      </c>
      <c r="AY178" s="27">
        <f>AR178-AP178</f>
        <v>-2.9721886603406631</v>
      </c>
      <c r="AZ178" s="27">
        <f>ABS(AY178)</f>
        <v>2.9721886603406631</v>
      </c>
    </row>
    <row r="179" spans="1:52" s="27" customFormat="1" ht="12.75" customHeight="1" x14ac:dyDescent="0.2">
      <c r="A179" s="50">
        <v>456698</v>
      </c>
      <c r="B179" s="2">
        <v>25</v>
      </c>
      <c r="C179" s="50">
        <v>25</v>
      </c>
      <c r="D179" s="10">
        <v>22</v>
      </c>
      <c r="E179" s="10">
        <v>17</v>
      </c>
      <c r="F179" s="10">
        <v>19</v>
      </c>
      <c r="G179" s="10">
        <v>25</v>
      </c>
      <c r="H179" s="10">
        <v>24</v>
      </c>
      <c r="I179" s="10">
        <v>23</v>
      </c>
      <c r="J179" s="2"/>
      <c r="K179" s="10">
        <v>59</v>
      </c>
      <c r="L179" s="10">
        <v>55</v>
      </c>
      <c r="M179" s="10">
        <v>54</v>
      </c>
      <c r="N179" s="51">
        <v>55</v>
      </c>
      <c r="O179" s="11">
        <v>60</v>
      </c>
      <c r="P179" s="10"/>
      <c r="Q179" s="40"/>
      <c r="R179" s="2">
        <v>133</v>
      </c>
      <c r="S179" s="10">
        <f>IF(T179="",R179,MAX((R179+$R$8)/$R$2,(T179+$T$8)/$T$2)*$R$2-$R$8)</f>
        <v>133</v>
      </c>
      <c r="T179" s="62">
        <v>193</v>
      </c>
      <c r="U179" s="2">
        <f>IF(A179&lt;&gt;"",SUM(B179:I179),"")</f>
        <v>180</v>
      </c>
      <c r="V179" s="10">
        <f>IF(A179&lt;&gt;"",SUM(J179:O179),"")</f>
        <v>283</v>
      </c>
      <c r="W179" s="10">
        <f>IF(A179&lt;&gt;"",SUM(P179:Q179),"")</f>
        <v>0</v>
      </c>
      <c r="X179" s="10">
        <f>IF(A179&lt;&gt;"",SUM(S179:T179),"")</f>
        <v>326</v>
      </c>
      <c r="Y179" s="12">
        <v>3</v>
      </c>
      <c r="Z179" s="12">
        <f>IF(A179&lt;&gt;"",SUM(U179:Y179),"")</f>
        <v>792</v>
      </c>
      <c r="AA179" s="27">
        <f>IF(A179&lt;&gt;"",(Z179+Normalize_To_Add)/(Point_Total_So_Far)*100,"")</f>
        <v>86.709673189131848</v>
      </c>
      <c r="AB179" s="10">
        <f>IF(A179&lt;&gt;"",RANK(AA179,All_Student_XC),"")</f>
        <v>129</v>
      </c>
      <c r="AC179" s="31" t="str">
        <f>IF(A179&lt;&gt;"",CHOOSE(10-MIN(9,TRUNC((AA179+0.5)/10)),"A","B","C","D","F","F","F","F","F","F"),"")</f>
        <v>B</v>
      </c>
      <c r="AD179" s="31" t="str">
        <f>IF(A179&lt;&gt;"",IF(OR(AA179+0.5&gt;=93,AA179+0.5&lt;60),"",IF(MOD(AA179+0.5,10)&gt;=7,"+",IF(MOD(AA179+0.5,10)&lt;3,"-",""))),"")</f>
        <v>+</v>
      </c>
      <c r="AE179" s="31">
        <f>IF(A179&lt;&gt;"",SUM(W179:X179,$W$8:$X$8)/SUM($W$2:$X$2)*100,"")</f>
        <v>80.219346378263694</v>
      </c>
      <c r="AF179" s="43" t="str">
        <f>IF(A179&lt;&gt;"",CHOOSE(10-MIN(9,TRUNC((AE179+0.5)/10)),"A","B","C","D","F","F","F","F","F","F"),"")</f>
        <v>B</v>
      </c>
      <c r="AG179" s="43" t="str">
        <f>IF(A179&lt;&gt;"",IF(OR(AE179+0.5&gt;=93,AE179+0.5&lt;60),"",IF(MOD(AE179+0.5,10)&gt;=7,"+",IF(MOD(AE179+0.5,10)&lt;3,"-",""))),"")</f>
        <v>-</v>
      </c>
      <c r="AH179" s="35">
        <f>IF(A179&lt;&gt;"",MIN(MAX(AA179,AE179),AA179+$AH$8,AE179+$AH$8),"")</f>
        <v>86.709673189131848</v>
      </c>
      <c r="AI179" s="31" t="str">
        <f>IF(A179&lt;&gt;"",CHOOSE(10-MIN(9,TRUNC((AH179+0.5)/10)),"A","B","C","D","F","F","F","F","F","F"),"")</f>
        <v>B</v>
      </c>
      <c r="AJ179" s="31" t="str">
        <f>IF(A179&lt;&gt;"",IF(OR(AH179+0.5&gt;=93,AH179+0.5&lt;60),"",IF(MOD(AH179+0.5,10)&gt;=7,"+",IF(MOD(AH179+0.5,10)&lt;3,"-",""))),"")</f>
        <v>+</v>
      </c>
      <c r="AK179" s="31" t="b">
        <f>IF(A179&lt;&gt;"",OR(AI179&lt;&gt;AC179,AJ179&lt;&gt;AD179),"")</f>
        <v>0</v>
      </c>
      <c r="AL179" s="81">
        <f>IF(AND(A179&lt;&gt;"",U179&gt;0),SUM(U179,$AL$8)/$AL$2*100,"")</f>
        <v>90</v>
      </c>
      <c r="AM179" s="24">
        <f>IF(AND(A179&lt;&gt;"",V179&gt;0),SUM(V179,$AM$8)/$AM$2*100,"")</f>
        <v>94.333333333333343</v>
      </c>
      <c r="AN179" s="24" t="str">
        <f>IF(AND(A179&lt;&gt;"",P179&lt;&gt;0),SUM(P179,$AN$8)/$AN$2*100,"")</f>
        <v/>
      </c>
      <c r="AO179" s="24" t="str">
        <f>IF(AND(A179&lt;&gt;"",Q179&lt;&gt;0),SUM(Q179,$AO$8)/$AO$2*100,"")</f>
        <v/>
      </c>
      <c r="AP179" s="24">
        <f>IF(AND(A179&lt;&gt;"",R179&lt;&gt;0),SUM(R179,$AP$8)/$AP$2*100,"")</f>
        <v>81.002659574468083</v>
      </c>
      <c r="AQ179" s="24" t="str">
        <f>IF(AND(A179&lt;&gt;"",W179&gt;0),SUM(W179,$AQ$8)/$AQ$2*100,"")</f>
        <v/>
      </c>
      <c r="AR179" s="24">
        <f>IF(AND(A179&lt;&gt;"",T179&gt;0),SUM(T179,$AR$8)/$AR$2*100,"")</f>
        <v>79.697137580794092</v>
      </c>
      <c r="AS179" s="24">
        <f>IF(AND(A179&lt;&gt;"",X179&lt;&gt;0),SUM(X179,$AS$8)/$AS$2*100,"")</f>
        <v>80.219346378263694</v>
      </c>
      <c r="AT179" s="86">
        <f>IF(A179&lt;&gt;"",SUM(W179:X179,$AT$8)/$AT$2*100,"")</f>
        <v>80.219346378263694</v>
      </c>
      <c r="AU179" s="24">
        <f>AA179</f>
        <v>86.709673189131848</v>
      </c>
      <c r="AV179" s="24"/>
      <c r="AW179" s="27">
        <f>IF(A179&lt;&gt;"",AE179-AA179,"")</f>
        <v>-6.4903268108681544</v>
      </c>
      <c r="AY179" s="27">
        <f>AR179-AP179</f>
        <v>-1.3055219936739917</v>
      </c>
      <c r="AZ179" s="27">
        <f>ABS(AY179)</f>
        <v>1.3055219936739917</v>
      </c>
    </row>
    <row r="180" spans="1:52" s="27" customFormat="1" ht="12.75" customHeight="1" x14ac:dyDescent="0.2">
      <c r="A180" s="10">
        <v>461210</v>
      </c>
      <c r="B180" s="2">
        <v>0</v>
      </c>
      <c r="C180" s="10">
        <v>24</v>
      </c>
      <c r="D180" s="10">
        <v>21</v>
      </c>
      <c r="E180" s="10">
        <v>22</v>
      </c>
      <c r="F180" s="10">
        <v>21</v>
      </c>
      <c r="G180" s="10">
        <v>25</v>
      </c>
      <c r="H180" s="10">
        <v>23</v>
      </c>
      <c r="I180" s="10">
        <v>24</v>
      </c>
      <c r="J180" s="2"/>
      <c r="K180" s="10">
        <v>62</v>
      </c>
      <c r="L180" s="10">
        <v>60</v>
      </c>
      <c r="M180" s="10">
        <v>57</v>
      </c>
      <c r="N180" s="51">
        <v>60</v>
      </c>
      <c r="O180" s="11">
        <v>62</v>
      </c>
      <c r="P180" s="10"/>
      <c r="Q180" s="40"/>
      <c r="R180" s="2">
        <v>135</v>
      </c>
      <c r="S180" s="10">
        <f>IF(T180="",R180,MAX((R180+$R$8)/$R$2,(T180+$T$8)/$T$2)*$R$2-$R$8)</f>
        <v>151.72228934598533</v>
      </c>
      <c r="T180" s="12">
        <v>225</v>
      </c>
      <c r="U180" s="7">
        <f>IF(A180&lt;&gt;"",SUM(B180:I180),"")</f>
        <v>160</v>
      </c>
      <c r="V180" s="10">
        <f>IF(A180&lt;&gt;"",SUM(J180:O180),"")</f>
        <v>301</v>
      </c>
      <c r="W180" s="10">
        <f>IF(A180&lt;&gt;"",SUM(P180:Q180),"")</f>
        <v>0</v>
      </c>
      <c r="X180" s="10">
        <f>IF(A180&lt;&gt;"",SUM(S180:T180),"")</f>
        <v>376.72228934598536</v>
      </c>
      <c r="Y180" s="12">
        <v>3</v>
      </c>
      <c r="Z180" s="12">
        <f>IF(A180&lt;&gt;"",SUM(U180:Y180),"")</f>
        <v>840.72228934598536</v>
      </c>
      <c r="AA180" s="27">
        <f>IF(A180&lt;&gt;"",(Z180+Normalize_To_Add)/(Point_Total_So_Far)*100,"")</f>
        <v>91.581902123730373</v>
      </c>
      <c r="AB180" s="10">
        <f>IF(A180&lt;&gt;"",RANK(AA180,All_Student_XC),"")</f>
        <v>61</v>
      </c>
      <c r="AC180" s="31" t="str">
        <f>IF(A180&lt;&gt;"",CHOOSE(10-MIN(9,TRUNC((AA180+0.5)/10)),"A","B","C","D","F","F","F","F","F","F"),"")</f>
        <v>A</v>
      </c>
      <c r="AD180" s="31" t="str">
        <f>IF(A180&lt;&gt;"",IF(OR(AA180+0.5&gt;=93,AA180+0.5&lt;60),"",IF(MOD(AA180+0.5,10)&gt;=7,"+",IF(MOD(AA180+0.5,10)&lt;3,"-",""))),"")</f>
        <v>-</v>
      </c>
      <c r="AE180" s="31">
        <f>IF(A180&lt;&gt;"",SUM(W180:X180,$W$8:$X$8)/SUM($W$2:$X$2)*100,"")</f>
        <v>90.363804247460749</v>
      </c>
      <c r="AF180" s="43" t="str">
        <f>IF(A180&lt;&gt;"",CHOOSE(10-MIN(9,TRUNC((AE180+0.5)/10)),"A","B","C","D","F","F","F","F","F","F"),"")</f>
        <v>A</v>
      </c>
      <c r="AG180" s="43" t="str">
        <f>IF(A180&lt;&gt;"",IF(OR(AE180+0.5&gt;=93,AE180+0.5&lt;60),"",IF(MOD(AE180+0.5,10)&gt;=7,"+",IF(MOD(AE180+0.5,10)&lt;3,"-",""))),"")</f>
        <v>-</v>
      </c>
      <c r="AH180" s="35">
        <f>IF(A180&lt;&gt;"",MIN(MAX(AA180,AE180),AA180+$AH$8,AE180+$AH$8),"")</f>
        <v>91.581902123730373</v>
      </c>
      <c r="AI180" s="31" t="str">
        <f>IF(A180&lt;&gt;"",CHOOSE(10-MIN(9,TRUNC((AH180+0.5)/10)),"A","B","C","D","F","F","F","F","F","F"),"")</f>
        <v>A</v>
      </c>
      <c r="AJ180" s="31" t="str">
        <f>IF(A180&lt;&gt;"",IF(OR(AH180+0.5&gt;=93,AH180+0.5&lt;60),"",IF(MOD(AH180+0.5,10)&gt;=7,"+",IF(MOD(AH180+0.5,10)&lt;3,"-",""))),"")</f>
        <v>-</v>
      </c>
      <c r="AK180" s="31" t="b">
        <f>IF(A180&lt;&gt;"",OR(AI180&lt;&gt;AC180,AJ180&lt;&gt;AD180),"")</f>
        <v>0</v>
      </c>
      <c r="AL180" s="81">
        <f>IF(AND(A180&lt;&gt;"",U180&gt;0),SUM(U180,$AL$8)/$AL$2*100,"")</f>
        <v>80</v>
      </c>
      <c r="AM180" s="24">
        <f>IF(AND(A180&lt;&gt;"",V180&gt;0),SUM(V180,$AM$8)/$AM$2*100,"")</f>
        <v>100.33333333333334</v>
      </c>
      <c r="AN180" s="24" t="str">
        <f>IF(AND(A180&lt;&gt;"",P180&lt;&gt;0),SUM(P180,$AN$8)/$AN$2*100,"")</f>
        <v/>
      </c>
      <c r="AO180" s="24" t="str">
        <f>IF(AND(A180&lt;&gt;"",Q180&lt;&gt;0),SUM(Q180,$AO$8)/$AO$2*100,"")</f>
        <v/>
      </c>
      <c r="AP180" s="24">
        <f>IF(AND(A180&lt;&gt;"",R180&lt;&gt;0),SUM(R180,$AP$8)/$AP$2*100,"")</f>
        <v>82.002659574468083</v>
      </c>
      <c r="AQ180" s="24" t="str">
        <f>IF(AND(A180&lt;&gt;"",W180&gt;0),SUM(W180,$AQ$8)/$AQ$2*100,"")</f>
        <v/>
      </c>
      <c r="AR180" s="24">
        <f>IF(AND(A180&lt;&gt;"",T180&gt;0),SUM(T180,$AR$8)/$AR$2*100,"")</f>
        <v>90.363804247460749</v>
      </c>
      <c r="AS180" s="24">
        <f>IF(AND(A180&lt;&gt;"",X180&lt;&gt;0),SUM(X180,$AS$8)/$AS$2*100,"")</f>
        <v>90.363804247460749</v>
      </c>
      <c r="AT180" s="86">
        <f>IF(A180&lt;&gt;"",SUM(W180:X180,$AT$8)/$AT$2*100,"")</f>
        <v>90.363804247460749</v>
      </c>
      <c r="AU180" s="24">
        <f>AA180</f>
        <v>91.581902123730373</v>
      </c>
      <c r="AV180" s="24"/>
      <c r="AW180" s="27">
        <f>IF(A180&lt;&gt;"",AE180-AA180,"")</f>
        <v>-1.2180978762696242</v>
      </c>
      <c r="AY180" s="27">
        <f>AR180-AP180</f>
        <v>8.3611446729926655</v>
      </c>
      <c r="AZ180" s="27">
        <f>ABS(AY180)</f>
        <v>8.3611446729926655</v>
      </c>
    </row>
    <row r="181" spans="1:52" s="27" customFormat="1" ht="12.75" customHeight="1" x14ac:dyDescent="0.2">
      <c r="A181" s="10">
        <v>466064</v>
      </c>
      <c r="B181" s="2">
        <v>23</v>
      </c>
      <c r="C181" s="10">
        <v>25</v>
      </c>
      <c r="D181" s="10">
        <v>18</v>
      </c>
      <c r="E181" s="10">
        <v>19</v>
      </c>
      <c r="F181" s="10">
        <v>24</v>
      </c>
      <c r="G181" s="10">
        <v>25</v>
      </c>
      <c r="H181" s="10">
        <v>24</v>
      </c>
      <c r="I181" s="10">
        <v>25</v>
      </c>
      <c r="J181" s="2"/>
      <c r="K181" s="10">
        <v>53</v>
      </c>
      <c r="L181" s="10">
        <v>51</v>
      </c>
      <c r="M181" s="10">
        <v>27</v>
      </c>
      <c r="N181" s="51">
        <v>58</v>
      </c>
      <c r="O181" s="11">
        <v>61</v>
      </c>
      <c r="P181" s="10"/>
      <c r="Q181" s="40"/>
      <c r="R181" s="2">
        <v>107</v>
      </c>
      <c r="S181" s="10">
        <f>IF(T181="",R181,MAX((R181+$R$8)/$R$2,(T181+$T$8)/$T$2)*$R$2-$R$8)</f>
        <v>135.05562267931867</v>
      </c>
      <c r="T181" s="12">
        <v>200</v>
      </c>
      <c r="U181" s="1">
        <f>IF(A181&lt;&gt;"",SUM(B181:I181),"")</f>
        <v>183</v>
      </c>
      <c r="V181" s="10">
        <f>IF(A181&lt;&gt;"",SUM(J181:O181),"")</f>
        <v>250</v>
      </c>
      <c r="W181" s="10">
        <f>IF(A181&lt;&gt;"",SUM(P181:Q181),"")</f>
        <v>0</v>
      </c>
      <c r="X181" s="10">
        <f>IF(A181&lt;&gt;"",SUM(S181:T181),"")</f>
        <v>335.05562267931867</v>
      </c>
      <c r="Y181" s="12">
        <v>3</v>
      </c>
      <c r="Z181" s="12">
        <f>IF(A181&lt;&gt;"",SUM(U181:Y181),"")</f>
        <v>771.05562267931873</v>
      </c>
      <c r="AA181" s="27">
        <f>IF(A181&lt;&gt;"",(Z181+Normalize_To_Add)/(Point_Total_So_Far)*100,"")</f>
        <v>84.615235457063719</v>
      </c>
      <c r="AB181" s="10">
        <f>IF(A181&lt;&gt;"",RANK(AA181,All_Student_XC),"")</f>
        <v>164</v>
      </c>
      <c r="AC181" s="31" t="str">
        <f>IF(A181&lt;&gt;"",CHOOSE(10-MIN(9,TRUNC((AA181+0.5)/10)),"A","B","C","D","F","F","F","F","F","F"),"")</f>
        <v>B</v>
      </c>
      <c r="AD181" s="31" t="str">
        <f>IF(A181&lt;&gt;"",IF(OR(AA181+0.5&gt;=93,AA181+0.5&lt;60),"",IF(MOD(AA181+0.5,10)&gt;=7,"+",IF(MOD(AA181+0.5,10)&lt;3,"-",""))),"")</f>
        <v/>
      </c>
      <c r="AE181" s="31">
        <f>IF(A181&lt;&gt;"",SUM(W181:X181,$W$8:$X$8)/SUM($W$2:$X$2)*100,"")</f>
        <v>82.03047091412742</v>
      </c>
      <c r="AF181" s="43" t="str">
        <f>IF(A181&lt;&gt;"",CHOOSE(10-MIN(9,TRUNC((AE181+0.5)/10)),"A","B","C","D","F","F","F","F","F","F"),"")</f>
        <v>B</v>
      </c>
      <c r="AG181" s="43" t="str">
        <f>IF(A181&lt;&gt;"",IF(OR(AE181+0.5&gt;=93,AE181+0.5&lt;60),"",IF(MOD(AE181+0.5,10)&gt;=7,"+",IF(MOD(AE181+0.5,10)&lt;3,"-",""))),"")</f>
        <v>-</v>
      </c>
      <c r="AH181" s="35">
        <f>IF(A181&lt;&gt;"",MIN(MAX(AA181,AE181),AA181+$AH$8,AE181+$AH$8),"")</f>
        <v>84.615235457063719</v>
      </c>
      <c r="AI181" s="31" t="str">
        <f>IF(A181&lt;&gt;"",CHOOSE(10-MIN(9,TRUNC((AH181+0.5)/10)),"A","B","C","D","F","F","F","F","F","F"),"")</f>
        <v>B</v>
      </c>
      <c r="AJ181" s="31" t="str">
        <f>IF(A181&lt;&gt;"",IF(OR(AH181+0.5&gt;=93,AH181+0.5&lt;60),"",IF(MOD(AH181+0.5,10)&gt;=7,"+",IF(MOD(AH181+0.5,10)&lt;3,"-",""))),"")</f>
        <v/>
      </c>
      <c r="AK181" s="31" t="b">
        <f>IF(A181&lt;&gt;"",OR(AI181&lt;&gt;AC181,AJ181&lt;&gt;AD181),"")</f>
        <v>0</v>
      </c>
      <c r="AL181" s="81">
        <f>IF(AND(A181&lt;&gt;"",U181&gt;0),SUM(U181,$AL$8)/$AL$2*100,"")</f>
        <v>91.5</v>
      </c>
      <c r="AM181" s="24">
        <f>IF(AND(A181&lt;&gt;"",V181&gt;0),SUM(V181,$AM$8)/$AM$2*100,"")</f>
        <v>83.333333333333343</v>
      </c>
      <c r="AN181" s="24" t="str">
        <f>IF(AND(A181&lt;&gt;"",P181&lt;&gt;0),SUM(P181,$AN$8)/$AN$2*100,"")</f>
        <v/>
      </c>
      <c r="AO181" s="24" t="str">
        <f>IF(AND(A181&lt;&gt;"",Q181&lt;&gt;0),SUM(Q181,$AO$8)/$AO$2*100,"")</f>
        <v/>
      </c>
      <c r="AP181" s="24">
        <f>IF(AND(A181&lt;&gt;"",R181&lt;&gt;0),SUM(R181,$AP$8)/$AP$2*100,"")</f>
        <v>68.002659574468083</v>
      </c>
      <c r="AQ181" s="24" t="str">
        <f>IF(AND(A181&lt;&gt;"",W181&gt;0),SUM(W181,$AQ$8)/$AQ$2*100,"")</f>
        <v/>
      </c>
      <c r="AR181" s="24">
        <f>IF(AND(A181&lt;&gt;"",T181&gt;0),SUM(T181,$AR$8)/$AR$2*100,"")</f>
        <v>82.03047091412742</v>
      </c>
      <c r="AS181" s="24">
        <f>IF(AND(A181&lt;&gt;"",X181&lt;&gt;0),SUM(X181,$AS$8)/$AS$2*100,"")</f>
        <v>82.03047091412742</v>
      </c>
      <c r="AT181" s="86">
        <f>IF(A181&lt;&gt;"",SUM(W181:X181,$AT$8)/$AT$2*100,"")</f>
        <v>82.03047091412742</v>
      </c>
      <c r="AU181" s="24">
        <f>AA181</f>
        <v>84.615235457063719</v>
      </c>
      <c r="AV181" s="24"/>
      <c r="AW181" s="27">
        <f>IF(A181&lt;&gt;"",AE181-AA181,"")</f>
        <v>-2.5847645429362984</v>
      </c>
      <c r="AY181" s="27">
        <f>AR181-AP181</f>
        <v>14.027811339659337</v>
      </c>
      <c r="AZ181" s="27">
        <f>ABS(AY181)</f>
        <v>14.027811339659337</v>
      </c>
    </row>
    <row r="182" spans="1:52" s="27" customFormat="1" ht="12.75" customHeight="1" x14ac:dyDescent="0.2">
      <c r="A182" s="50">
        <v>468734</v>
      </c>
      <c r="B182" s="2">
        <v>25</v>
      </c>
      <c r="C182" s="50">
        <v>25</v>
      </c>
      <c r="D182" s="10">
        <v>24</v>
      </c>
      <c r="E182" s="10">
        <v>25</v>
      </c>
      <c r="F182" s="10">
        <v>25</v>
      </c>
      <c r="G182" s="10">
        <v>25</v>
      </c>
      <c r="H182" s="10">
        <v>25</v>
      </c>
      <c r="I182" s="10">
        <v>25</v>
      </c>
      <c r="J182" s="2"/>
      <c r="K182" s="10">
        <v>57</v>
      </c>
      <c r="L182" s="10">
        <v>62</v>
      </c>
      <c r="M182" s="10">
        <v>60</v>
      </c>
      <c r="N182" s="51">
        <v>62</v>
      </c>
      <c r="O182" s="11">
        <v>62</v>
      </c>
      <c r="P182" s="10"/>
      <c r="Q182" s="40"/>
      <c r="R182" s="2">
        <v>158</v>
      </c>
      <c r="S182" s="10">
        <f>IF(T182="",R182,MAX((R182+$R$8)/$R$2,(T182+$T$8)/$T$2)*$R$2-$R$8)</f>
        <v>158</v>
      </c>
      <c r="T182" s="62">
        <v>232</v>
      </c>
      <c r="U182" s="2">
        <f>IF(A182&lt;&gt;"",SUM(B182:I182),"")</f>
        <v>199</v>
      </c>
      <c r="V182" s="10">
        <f>IF(A182&lt;&gt;"",SUM(J182:O182),"")</f>
        <v>303</v>
      </c>
      <c r="W182" s="10">
        <f>IF(A182&lt;&gt;"",SUM(P182:Q182),"")</f>
        <v>0</v>
      </c>
      <c r="X182" s="10">
        <f>IF(A182&lt;&gt;"",SUM(S182:T182),"")</f>
        <v>390</v>
      </c>
      <c r="Y182" s="12">
        <v>3</v>
      </c>
      <c r="Z182" s="12">
        <f>IF(A182&lt;&gt;"",SUM(U182:Y182),"")</f>
        <v>895</v>
      </c>
      <c r="AA182" s="27">
        <f>IF(A182&lt;&gt;"",(Z182+Normalize_To_Add)/(Point_Total_So_Far)*100,"")</f>
        <v>97.009673189131846</v>
      </c>
      <c r="AB182" s="10">
        <f>IF(A182&lt;&gt;"",RANK(AA182,All_Student_XC),"")</f>
        <v>19</v>
      </c>
      <c r="AC182" s="31" t="str">
        <f>IF(A182&lt;&gt;"",CHOOSE(10-MIN(9,TRUNC((AA182+0.5)/10)),"A","B","C","D","F","F","F","F","F","F"),"")</f>
        <v>A</v>
      </c>
      <c r="AD182" s="31" t="str">
        <f>IF(A182&lt;&gt;"",IF(OR(AA182+0.5&gt;=93,AA182+0.5&lt;60),"",IF(MOD(AA182+0.5,10)&gt;=7,"+",IF(MOD(AA182+0.5,10)&lt;3,"-",""))),"")</f>
        <v/>
      </c>
      <c r="AE182" s="31">
        <f>IF(A182&lt;&gt;"",SUM(W182:X182,$W$8:$X$8)/SUM($W$2:$X$2)*100,"")</f>
        <v>93.019346378263691</v>
      </c>
      <c r="AF182" s="43" t="str">
        <f>IF(A182&lt;&gt;"",CHOOSE(10-MIN(9,TRUNC((AE182+0.5)/10)),"A","B","C","D","F","F","F","F","F","F"),"")</f>
        <v>A</v>
      </c>
      <c r="AG182" s="43" t="str">
        <f>IF(A182&lt;&gt;"",IF(OR(AE182+0.5&gt;=93,AE182+0.5&lt;60),"",IF(MOD(AE182+0.5,10)&gt;=7,"+",IF(MOD(AE182+0.5,10)&lt;3,"-",""))),"")</f>
        <v/>
      </c>
      <c r="AH182" s="35">
        <f>IF(A182&lt;&gt;"",MIN(MAX(AA182,AE182),AA182+$AH$8,AE182+$AH$8),"")</f>
        <v>97.009673189131846</v>
      </c>
      <c r="AI182" s="31" t="str">
        <f>IF(A182&lt;&gt;"",CHOOSE(10-MIN(9,TRUNC((AH182+0.5)/10)),"A","B","C","D","F","F","F","F","F","F"),"")</f>
        <v>A</v>
      </c>
      <c r="AJ182" s="31" t="str">
        <f>IF(A182&lt;&gt;"",IF(OR(AH182+0.5&gt;=93,AH182+0.5&lt;60),"",IF(MOD(AH182+0.5,10)&gt;=7,"+",IF(MOD(AH182+0.5,10)&lt;3,"-",""))),"")</f>
        <v/>
      </c>
      <c r="AK182" s="31" t="b">
        <f>IF(A182&lt;&gt;"",OR(AI182&lt;&gt;AC182,AJ182&lt;&gt;AD182),"")</f>
        <v>0</v>
      </c>
      <c r="AL182" s="81">
        <f>IF(AND(A182&lt;&gt;"",U182&gt;0),SUM(U182,$AL$8)/$AL$2*100,"")</f>
        <v>99.5</v>
      </c>
      <c r="AM182" s="24">
        <f>IF(AND(A182&lt;&gt;"",V182&gt;0),SUM(V182,$AM$8)/$AM$2*100,"")</f>
        <v>101</v>
      </c>
      <c r="AN182" s="24" t="str">
        <f>IF(AND(A182&lt;&gt;"",P182&lt;&gt;0),SUM(P182,$AN$8)/$AN$2*100,"")</f>
        <v/>
      </c>
      <c r="AO182" s="24" t="str">
        <f>IF(AND(A182&lt;&gt;"",Q182&lt;&gt;0),SUM(Q182,$AO$8)/$AO$2*100,"")</f>
        <v/>
      </c>
      <c r="AP182" s="24">
        <f>IF(AND(A182&lt;&gt;"",R182&lt;&gt;0),SUM(R182,$AP$8)/$AP$2*100,"")</f>
        <v>93.502659574468083</v>
      </c>
      <c r="AQ182" s="24" t="str">
        <f>IF(AND(A182&lt;&gt;"",W182&gt;0),SUM(W182,$AQ$8)/$AQ$2*100,"")</f>
        <v/>
      </c>
      <c r="AR182" s="24">
        <f>IF(AND(A182&lt;&gt;"",T182&gt;0),SUM(T182,$AR$8)/$AR$2*100,"")</f>
        <v>92.697137580794092</v>
      </c>
      <c r="AS182" s="24">
        <f>IF(AND(A182&lt;&gt;"",X182&lt;&gt;0),SUM(X182,$AS$8)/$AS$2*100,"")</f>
        <v>93.019346378263691</v>
      </c>
      <c r="AT182" s="86">
        <f>IF(A182&lt;&gt;"",SUM(W182:X182,$AT$8)/$AT$2*100,"")</f>
        <v>93.019346378263691</v>
      </c>
      <c r="AU182" s="24">
        <f>AA182</f>
        <v>97.009673189131846</v>
      </c>
      <c r="AV182" s="24"/>
      <c r="AW182" s="27">
        <f>IF(A182&lt;&gt;"",AE182-AA182,"")</f>
        <v>-3.9903268108681544</v>
      </c>
      <c r="AY182" s="27">
        <f>AR182-AP182</f>
        <v>-0.80552199367399169</v>
      </c>
      <c r="AZ182" s="27">
        <f>ABS(AY182)</f>
        <v>0.80552199367399169</v>
      </c>
    </row>
    <row r="183" spans="1:52" s="27" customFormat="1" ht="12.75" customHeight="1" x14ac:dyDescent="0.2">
      <c r="A183" s="50">
        <v>469152</v>
      </c>
      <c r="B183" s="2">
        <v>24</v>
      </c>
      <c r="C183" s="50">
        <v>21</v>
      </c>
      <c r="D183" s="10">
        <v>19</v>
      </c>
      <c r="E183" s="10">
        <v>22</v>
      </c>
      <c r="F183" s="10">
        <v>23</v>
      </c>
      <c r="G183" s="10">
        <v>25</v>
      </c>
      <c r="H183" s="10">
        <v>16</v>
      </c>
      <c r="I183" s="10">
        <v>25</v>
      </c>
      <c r="J183" s="2"/>
      <c r="K183" s="10">
        <v>58</v>
      </c>
      <c r="L183" s="10">
        <v>44</v>
      </c>
      <c r="M183" s="10">
        <v>34</v>
      </c>
      <c r="N183" s="51">
        <v>47</v>
      </c>
      <c r="O183" s="11">
        <v>62</v>
      </c>
      <c r="P183" s="10"/>
      <c r="Q183" s="40"/>
      <c r="R183" s="2">
        <v>122</v>
      </c>
      <c r="S183" s="10">
        <f>IF(T183="",R183,MAX((R183+$R$8)/$R$2,(T183+$T$8)/$T$2)*$R$2-$R$8)</f>
        <v>122</v>
      </c>
      <c r="T183" s="62">
        <v>178</v>
      </c>
      <c r="U183" s="2">
        <f>IF(A183&lt;&gt;"",SUM(B183:I183),"")</f>
        <v>175</v>
      </c>
      <c r="V183" s="10">
        <f>IF(A183&lt;&gt;"",SUM(J183:O183),"")</f>
        <v>245</v>
      </c>
      <c r="W183" s="10">
        <f>IF(A183&lt;&gt;"",SUM(P183:Q183),"")</f>
        <v>0</v>
      </c>
      <c r="X183" s="10">
        <f>IF(A183&lt;&gt;"",SUM(S183:T183),"")</f>
        <v>300</v>
      </c>
      <c r="Y183" s="12">
        <v>3</v>
      </c>
      <c r="Z183" s="12">
        <f>IF(A183&lt;&gt;"",SUM(U183:Y183),"")</f>
        <v>723</v>
      </c>
      <c r="AA183" s="27">
        <f>IF(A183&lt;&gt;"",(Z183+Normalize_To_Add)/(Point_Total_So_Far)*100,"")</f>
        <v>79.809673189131843</v>
      </c>
      <c r="AB183" s="10">
        <f>IF(A183&lt;&gt;"",RANK(AA183,All_Student_XC),"")</f>
        <v>213</v>
      </c>
      <c r="AC183" s="31" t="str">
        <f>IF(A183&lt;&gt;"",CHOOSE(10-MIN(9,TRUNC((AA183+0.5)/10)),"A","B","C","D","F","F","F","F","F","F"),"")</f>
        <v>B</v>
      </c>
      <c r="AD183" s="31" t="str">
        <f>IF(A183&lt;&gt;"",IF(OR(AA183+0.5&gt;=93,AA183+0.5&lt;60),"",IF(MOD(AA183+0.5,10)&gt;=7,"+",IF(MOD(AA183+0.5,10)&lt;3,"-",""))),"")</f>
        <v>-</v>
      </c>
      <c r="AE183" s="31">
        <f>IF(A183&lt;&gt;"",SUM(W183:X183,$W$8:$X$8)/SUM($W$2:$X$2)*100,"")</f>
        <v>75.019346378263691</v>
      </c>
      <c r="AF183" s="43" t="str">
        <f>IF(A183&lt;&gt;"",CHOOSE(10-MIN(9,TRUNC((AE183+0.5)/10)),"A","B","C","D","F","F","F","F","F","F"),"")</f>
        <v>C</v>
      </c>
      <c r="AG183" s="43" t="str">
        <f>IF(A183&lt;&gt;"",IF(OR(AE183+0.5&gt;=93,AE183+0.5&lt;60),"",IF(MOD(AE183+0.5,10)&gt;=7,"+",IF(MOD(AE183+0.5,10)&lt;3,"-",""))),"")</f>
        <v/>
      </c>
      <c r="AH183" s="35">
        <f>IF(A183&lt;&gt;"",MIN(MAX(AA183,AE183),AA183+$AH$8,AE183+$AH$8),"")</f>
        <v>79.809673189131843</v>
      </c>
      <c r="AI183" s="31" t="str">
        <f>IF(A183&lt;&gt;"",CHOOSE(10-MIN(9,TRUNC((AH183+0.5)/10)),"A","B","C","D","F","F","F","F","F","F"),"")</f>
        <v>B</v>
      </c>
      <c r="AJ183" s="31" t="str">
        <f>IF(A183&lt;&gt;"",IF(OR(AH183+0.5&gt;=93,AH183+0.5&lt;60),"",IF(MOD(AH183+0.5,10)&gt;=7,"+",IF(MOD(AH183+0.5,10)&lt;3,"-",""))),"")</f>
        <v>-</v>
      </c>
      <c r="AK183" s="31" t="b">
        <f>IF(A183&lt;&gt;"",OR(AI183&lt;&gt;AC183,AJ183&lt;&gt;AD183),"")</f>
        <v>0</v>
      </c>
      <c r="AL183" s="81">
        <f>IF(AND(A183&lt;&gt;"",U183&gt;0),SUM(U183,$AL$8)/$AL$2*100,"")</f>
        <v>87.5</v>
      </c>
      <c r="AM183" s="24">
        <f>IF(AND(A183&lt;&gt;"",V183&gt;0),SUM(V183,$AM$8)/$AM$2*100,"")</f>
        <v>81.666666666666671</v>
      </c>
      <c r="AN183" s="24" t="str">
        <f>IF(AND(A183&lt;&gt;"",P183&lt;&gt;0),SUM(P183,$AN$8)/$AN$2*100,"")</f>
        <v/>
      </c>
      <c r="AO183" s="24" t="str">
        <f>IF(AND(A183&lt;&gt;"",Q183&lt;&gt;0),SUM(Q183,$AO$8)/$AO$2*100,"")</f>
        <v/>
      </c>
      <c r="AP183" s="24">
        <f>IF(AND(A183&lt;&gt;"",R183&lt;&gt;0),SUM(R183,$AP$8)/$AP$2*100,"")</f>
        <v>75.502659574468083</v>
      </c>
      <c r="AQ183" s="24" t="str">
        <f>IF(AND(A183&lt;&gt;"",W183&gt;0),SUM(W183,$AQ$8)/$AQ$2*100,"")</f>
        <v/>
      </c>
      <c r="AR183" s="24">
        <f>IF(AND(A183&lt;&gt;"",T183&gt;0),SUM(T183,$AR$8)/$AR$2*100,"")</f>
        <v>74.697137580794077</v>
      </c>
      <c r="AS183" s="24">
        <f>IF(AND(A183&lt;&gt;"",X183&lt;&gt;0),SUM(X183,$AS$8)/$AS$2*100,"")</f>
        <v>75.019346378263691</v>
      </c>
      <c r="AT183" s="86">
        <f>IF(A183&lt;&gt;"",SUM(W183:X183,$AT$8)/$AT$2*100,"")</f>
        <v>75.019346378263691</v>
      </c>
      <c r="AU183" s="24">
        <f>AA183</f>
        <v>79.809673189131843</v>
      </c>
      <c r="AV183" s="24"/>
      <c r="AW183" s="27">
        <f>IF(A183&lt;&gt;"",AE183-AA183,"")</f>
        <v>-4.7903268108681516</v>
      </c>
      <c r="AY183" s="27">
        <f>AR183-AP183</f>
        <v>-0.8055219936740059</v>
      </c>
      <c r="AZ183" s="27">
        <f>ABS(AY183)</f>
        <v>0.8055219936740059</v>
      </c>
    </row>
    <row r="184" spans="1:52" s="27" customFormat="1" ht="12.75" customHeight="1" x14ac:dyDescent="0.2">
      <c r="A184" s="10">
        <v>470746</v>
      </c>
      <c r="B184" s="2">
        <v>20</v>
      </c>
      <c r="C184" s="10">
        <v>25</v>
      </c>
      <c r="D184" s="10">
        <v>23</v>
      </c>
      <c r="E184" s="10">
        <v>24</v>
      </c>
      <c r="F184" s="10">
        <v>22</v>
      </c>
      <c r="G184" s="10">
        <v>25</v>
      </c>
      <c r="H184" s="10">
        <v>14</v>
      </c>
      <c r="I184" s="10">
        <v>25</v>
      </c>
      <c r="J184" s="2"/>
      <c r="K184" s="10">
        <v>62</v>
      </c>
      <c r="L184" s="10">
        <v>59</v>
      </c>
      <c r="M184" s="10">
        <v>56</v>
      </c>
      <c r="N184" s="51">
        <v>57</v>
      </c>
      <c r="O184" s="11">
        <v>57</v>
      </c>
      <c r="P184" s="10"/>
      <c r="Q184" s="40"/>
      <c r="R184" s="2">
        <v>122</v>
      </c>
      <c r="S184" s="10">
        <f>IF(T184="",R184,MAX((R184+$R$8)/$R$2,(T184+$T$8)/$T$2)*$R$2-$R$8)</f>
        <v>152.38895601265202</v>
      </c>
      <c r="T184" s="12">
        <v>226</v>
      </c>
      <c r="U184" s="1">
        <f>IF(A184&lt;&gt;"",SUM(B184:I184),"")</f>
        <v>178</v>
      </c>
      <c r="V184" s="10">
        <f>IF(A184&lt;&gt;"",SUM(J184:O184),"")</f>
        <v>291</v>
      </c>
      <c r="W184" s="10">
        <f>IF(A184&lt;&gt;"",SUM(P184:Q184),"")</f>
        <v>0</v>
      </c>
      <c r="X184" s="10">
        <f>IF(A184&lt;&gt;"",SUM(S184:T184),"")</f>
        <v>378.38895601265199</v>
      </c>
      <c r="Y184" s="12">
        <v>3</v>
      </c>
      <c r="Z184" s="12">
        <f>IF(A184&lt;&gt;"",SUM(U184:Y184),"")</f>
        <v>850.38895601265199</v>
      </c>
      <c r="AA184" s="27">
        <f>IF(A184&lt;&gt;"",(Z184+Normalize_To_Add)/(Point_Total_So_Far)*100,"")</f>
        <v>92.548568790397042</v>
      </c>
      <c r="AB184" s="10">
        <f>IF(A184&lt;&gt;"",RANK(AA184,All_Student_XC),"")</f>
        <v>53</v>
      </c>
      <c r="AC184" s="31" t="str">
        <f>IF(A184&lt;&gt;"",CHOOSE(10-MIN(9,TRUNC((AA184+0.5)/10)),"A","B","C","D","F","F","F","F","F","F"),"")</f>
        <v>A</v>
      </c>
      <c r="AD184" s="31" t="str">
        <f>IF(A184&lt;&gt;"",IF(OR(AA184+0.5&gt;=93,AA184+0.5&lt;60),"",IF(MOD(AA184+0.5,10)&gt;=7,"+",IF(MOD(AA184+0.5,10)&lt;3,"-",""))),"")</f>
        <v/>
      </c>
      <c r="AE184" s="31">
        <f>IF(A184&lt;&gt;"",SUM(W184:X184,$W$8:$X$8)/SUM($W$2:$X$2)*100,"")</f>
        <v>90.697137580794092</v>
      </c>
      <c r="AF184" s="31" t="str">
        <f>IF(A184&lt;&gt;"",CHOOSE(10-MIN(9,TRUNC((AE184+0.5)/10)),"A","B","C","D","F","F","F","F","F","F"),"")</f>
        <v>A</v>
      </c>
      <c r="AG184" s="31" t="str">
        <f>IF(A184&lt;&gt;"",IF(OR(AE184+0.5&gt;=93,AE184+0.5&lt;60),"",IF(MOD(AE184+0.5,10)&gt;=7,"+",IF(MOD(AE184+0.5,10)&lt;3,"-",""))),"")</f>
        <v>-</v>
      </c>
      <c r="AH184" s="35">
        <f>IF(A184&lt;&gt;"",MIN(MAX(AA184,AE184),AA184+$AH$8,AE184+$AH$8),"")</f>
        <v>92.548568790397042</v>
      </c>
      <c r="AI184" s="31" t="str">
        <f>IF(A184&lt;&gt;"",CHOOSE(10-MIN(9,TRUNC((AH184+0.5)/10)),"A","B","C","D","F","F","F","F","F","F"),"")</f>
        <v>A</v>
      </c>
      <c r="AJ184" s="31" t="str">
        <f>IF(A184&lt;&gt;"",IF(OR(AH184+0.5&gt;=93,AH184+0.5&lt;60),"",IF(MOD(AH184+0.5,10)&gt;=7,"+",IF(MOD(AH184+0.5,10)&lt;3,"-",""))),"")</f>
        <v/>
      </c>
      <c r="AK184" s="31" t="b">
        <f>IF(A184&lt;&gt;"",OR(AI184&lt;&gt;AC184,AJ184&lt;&gt;AD184),"")</f>
        <v>0</v>
      </c>
      <c r="AL184" s="81">
        <f>IF(AND(A184&lt;&gt;"",U184&gt;0),SUM(U184,$AL$8)/$AL$2*100,"")</f>
        <v>89</v>
      </c>
      <c r="AM184" s="24">
        <f>IF(AND(A184&lt;&gt;"",V184&gt;0),SUM(V184,$AM$8)/$AM$2*100,"")</f>
        <v>97</v>
      </c>
      <c r="AN184" s="24" t="str">
        <f>IF(AND(A184&lt;&gt;"",P184&lt;&gt;0),SUM(P184,$AN$8)/$AN$2*100,"")</f>
        <v/>
      </c>
      <c r="AO184" s="24" t="str">
        <f>IF(AND(A184&lt;&gt;"",Q184&lt;&gt;0),SUM(Q184,$AO$8)/$AO$2*100,"")</f>
        <v/>
      </c>
      <c r="AP184" s="24">
        <f>IF(AND(A184&lt;&gt;"",R184&lt;&gt;0),SUM(R184,$AP$8)/$AP$2*100,"")</f>
        <v>75.502659574468083</v>
      </c>
      <c r="AQ184" s="24" t="str">
        <f>IF(AND(A184&lt;&gt;"",W184&gt;0),SUM(W184,$AQ$8)/$AQ$2*100,"")</f>
        <v/>
      </c>
      <c r="AR184" s="24">
        <f>IF(AND(A184&lt;&gt;"",T184&gt;0),SUM(T184,$AR$8)/$AR$2*100,"")</f>
        <v>90.697137580794092</v>
      </c>
      <c r="AS184" s="24">
        <f>IF(AND(A184&lt;&gt;"",X184&lt;&gt;0),SUM(X184,$AS$8)/$AS$2*100,"")</f>
        <v>90.697137580794092</v>
      </c>
      <c r="AT184" s="86">
        <f>IF(A184&lt;&gt;"",SUM(W184:X184,$AT$8)/$AT$2*100,"")</f>
        <v>90.697137580794092</v>
      </c>
      <c r="AU184" s="24">
        <f>AA184</f>
        <v>92.548568790397042</v>
      </c>
      <c r="AV184" s="24"/>
      <c r="AW184" s="27">
        <f>IF(A184&lt;&gt;"",AE184-AA184,"")</f>
        <v>-1.8514312096029499</v>
      </c>
      <c r="AY184" s="27">
        <f>AR184-AP184</f>
        <v>15.194478006326008</v>
      </c>
      <c r="AZ184" s="27">
        <f>ABS(AY184)</f>
        <v>15.194478006326008</v>
      </c>
    </row>
    <row r="185" spans="1:52" s="27" customFormat="1" ht="12.75" customHeight="1" x14ac:dyDescent="0.2">
      <c r="A185" s="50">
        <v>475750</v>
      </c>
      <c r="B185" s="2">
        <v>24</v>
      </c>
      <c r="C185" s="50">
        <v>21</v>
      </c>
      <c r="D185" s="10">
        <v>19</v>
      </c>
      <c r="E185" s="10">
        <v>12</v>
      </c>
      <c r="F185" s="10">
        <v>17</v>
      </c>
      <c r="G185" s="10">
        <v>8</v>
      </c>
      <c r="H185" s="10">
        <v>25</v>
      </c>
      <c r="I185" s="10" t="s">
        <v>69</v>
      </c>
      <c r="J185" s="2"/>
      <c r="K185" s="10">
        <v>59</v>
      </c>
      <c r="L185" s="10">
        <v>51</v>
      </c>
      <c r="M185" s="10">
        <v>4</v>
      </c>
      <c r="N185" s="51">
        <v>0</v>
      </c>
      <c r="O185" s="11">
        <v>60</v>
      </c>
      <c r="P185" s="10"/>
      <c r="Q185" s="40"/>
      <c r="R185" s="2">
        <v>138</v>
      </c>
      <c r="S185" s="10">
        <f>IF(T185="",R185,MAX((R185+$R$8)/$R$2,(T185+$T$8)/$T$2)*$R$2-$R$8)</f>
        <v>138</v>
      </c>
      <c r="T185" s="62">
        <v>159</v>
      </c>
      <c r="U185" s="2">
        <f>IF(A185&lt;&gt;"",SUM(B185:I185),"")</f>
        <v>126</v>
      </c>
      <c r="V185" s="10">
        <f>IF(A185&lt;&gt;"",SUM(J185:O185),"")</f>
        <v>174</v>
      </c>
      <c r="W185" s="10">
        <f>IF(A185&lt;&gt;"",SUM(P185:Q185),"")</f>
        <v>0</v>
      </c>
      <c r="X185" s="10">
        <f>IF(A185&lt;&gt;"",SUM(S185:T185),"")</f>
        <v>297</v>
      </c>
      <c r="Y185" s="12" t="s">
        <v>69</v>
      </c>
      <c r="Z185" s="12">
        <f>IF(A185&lt;&gt;"",SUM(U185:Y185),"")</f>
        <v>597</v>
      </c>
      <c r="AA185" s="27">
        <f>IF(A185&lt;&gt;"",(Z185+Normalize_To_Add)/(Point_Total_So_Far)*100,"")</f>
        <v>67.209673189131848</v>
      </c>
      <c r="AB185" s="10">
        <f>IF(A185&lt;&gt;"",RANK(AA185,All_Student_XC),"")</f>
        <v>330</v>
      </c>
      <c r="AC185" s="31" t="str">
        <f>IF(A185&lt;&gt;"",CHOOSE(10-MIN(9,TRUNC((AA185+0.5)/10)),"A","B","C","D","F","F","F","F","F","F"),"")</f>
        <v>D</v>
      </c>
      <c r="AD185" s="31" t="str">
        <f>IF(A185&lt;&gt;"",IF(OR(AA185+0.5&gt;=93,AA185+0.5&lt;60),"",IF(MOD(AA185+0.5,10)&gt;=7,"+",IF(MOD(AA185+0.5,10)&lt;3,"-",""))),"")</f>
        <v>+</v>
      </c>
      <c r="AE185" s="31">
        <f>IF(A185&lt;&gt;"",SUM(W185:X185,$W$8:$X$8)/SUM($W$2:$X$2)*100,"")</f>
        <v>74.419346378263683</v>
      </c>
      <c r="AF185" s="43" t="str">
        <f>IF(A185&lt;&gt;"",CHOOSE(10-MIN(9,TRUNC((AE185+0.5)/10)),"A","B","C","D","F","F","F","F","F","F"),"")</f>
        <v>C</v>
      </c>
      <c r="AG185" s="43" t="str">
        <f>IF(A185&lt;&gt;"",IF(OR(AE185+0.5&gt;=93,AE185+0.5&lt;60),"",IF(MOD(AE185+0.5,10)&gt;=7,"+",IF(MOD(AE185+0.5,10)&lt;3,"-",""))),"")</f>
        <v/>
      </c>
      <c r="AH185" s="35">
        <f>IF(A185&lt;&gt;"",MIN(MAX(AA185,AE185),AA185+$AH$8,AE185+$AH$8),"")</f>
        <v>74.419346378263683</v>
      </c>
      <c r="AI185" s="31" t="str">
        <f>IF(A185&lt;&gt;"",CHOOSE(10-MIN(9,TRUNC((AH185+0.5)/10)),"A","B","C","D","F","F","F","F","F","F"),"")</f>
        <v>C</v>
      </c>
      <c r="AJ185" s="31" t="str">
        <f>IF(A185&lt;&gt;"",IF(OR(AH185+0.5&gt;=93,AH185+0.5&lt;60),"",IF(MOD(AH185+0.5,10)&gt;=7,"+",IF(MOD(AH185+0.5,10)&lt;3,"-",""))),"")</f>
        <v/>
      </c>
      <c r="AK185" s="31" t="b">
        <f>IF(A185&lt;&gt;"",OR(AI185&lt;&gt;AC185,AJ185&lt;&gt;AD185),"")</f>
        <v>1</v>
      </c>
      <c r="AL185" s="81">
        <f>IF(AND(A185&lt;&gt;"",U185&gt;0),SUM(U185,$AL$8)/$AL$2*100,"")</f>
        <v>63</v>
      </c>
      <c r="AM185" s="24">
        <f>IF(AND(A185&lt;&gt;"",V185&gt;0),SUM(V185,$AM$8)/$AM$2*100,"")</f>
        <v>57.999999999999993</v>
      </c>
      <c r="AN185" s="24" t="str">
        <f>IF(AND(A185&lt;&gt;"",P185&lt;&gt;0),SUM(P185,$AN$8)/$AN$2*100,"")</f>
        <v/>
      </c>
      <c r="AO185" s="24" t="str">
        <f>IF(AND(A185&lt;&gt;"",Q185&lt;&gt;0),SUM(Q185,$AO$8)/$AO$2*100,"")</f>
        <v/>
      </c>
      <c r="AP185" s="24">
        <f>IF(AND(A185&lt;&gt;"",R185&lt;&gt;0),SUM(R185,$AP$8)/$AP$2*100,"")</f>
        <v>83.502659574468083</v>
      </c>
      <c r="AQ185" s="24" t="str">
        <f>IF(AND(A185&lt;&gt;"",W185&gt;0),SUM(W185,$AQ$8)/$AQ$2*100,"")</f>
        <v/>
      </c>
      <c r="AR185" s="24">
        <f>IF(AND(A185&lt;&gt;"",T185&gt;0),SUM(T185,$AR$8)/$AR$2*100,"")</f>
        <v>68.363804247460763</v>
      </c>
      <c r="AS185" s="24">
        <f>IF(AND(A185&lt;&gt;"",X185&lt;&gt;0),SUM(X185,$AS$8)/$AS$2*100,"")</f>
        <v>74.419346378263683</v>
      </c>
      <c r="AT185" s="86">
        <f>IF(A185&lt;&gt;"",SUM(W185:X185,$AT$8)/$AT$2*100,"")</f>
        <v>74.419346378263683</v>
      </c>
      <c r="AU185" s="24">
        <f>AA185</f>
        <v>67.209673189131848</v>
      </c>
      <c r="AV185" s="24"/>
      <c r="AW185" s="27">
        <f>IF(A185&lt;&gt;"",AE185-AA185,"")</f>
        <v>7.2096731891318342</v>
      </c>
      <c r="AY185" s="27">
        <f>AR185-AP185</f>
        <v>-15.13885532700732</v>
      </c>
      <c r="AZ185" s="27">
        <f>ABS(AY185)</f>
        <v>15.13885532700732</v>
      </c>
    </row>
    <row r="186" spans="1:52" s="27" customFormat="1" ht="12.75" customHeight="1" x14ac:dyDescent="0.2">
      <c r="A186" s="50">
        <v>476424</v>
      </c>
      <c r="B186" s="2">
        <v>25</v>
      </c>
      <c r="C186" s="50">
        <v>25</v>
      </c>
      <c r="D186" s="10">
        <v>20</v>
      </c>
      <c r="E186" s="10">
        <v>25</v>
      </c>
      <c r="F186" s="10">
        <v>23</v>
      </c>
      <c r="G186" s="10">
        <v>25</v>
      </c>
      <c r="H186" s="10">
        <v>25</v>
      </c>
      <c r="I186" s="10">
        <v>25</v>
      </c>
      <c r="J186" s="2"/>
      <c r="K186" s="10">
        <v>62</v>
      </c>
      <c r="L186" s="10">
        <v>55</v>
      </c>
      <c r="M186" s="10">
        <v>56</v>
      </c>
      <c r="N186" s="51">
        <v>61</v>
      </c>
      <c r="O186" s="11">
        <v>62</v>
      </c>
      <c r="P186" s="10"/>
      <c r="Q186" s="40"/>
      <c r="R186" s="2">
        <v>104</v>
      </c>
      <c r="S186" s="10">
        <f>IF(T186="",R186,MAX((R186+$R$8)/$R$2,(T186+$T$8)/$T$2)*$R$2-$R$8)</f>
        <v>131.05562267931867</v>
      </c>
      <c r="T186" s="62">
        <v>194</v>
      </c>
      <c r="U186" s="2">
        <f>IF(A186&lt;&gt;"",SUM(B186:I186),"")</f>
        <v>193</v>
      </c>
      <c r="V186" s="10">
        <f>IF(A186&lt;&gt;"",SUM(J186:O186),"")</f>
        <v>296</v>
      </c>
      <c r="W186" s="10">
        <f>IF(A186&lt;&gt;"",SUM(P186:Q186),"")</f>
        <v>0</v>
      </c>
      <c r="X186" s="10">
        <f>IF(A186&lt;&gt;"",SUM(S186:T186),"")</f>
        <v>325.05562267931867</v>
      </c>
      <c r="Y186" s="12">
        <v>3</v>
      </c>
      <c r="Z186" s="12">
        <f>IF(A186&lt;&gt;"",SUM(U186:Y186),"")</f>
        <v>817.05562267931873</v>
      </c>
      <c r="AA186" s="27">
        <f>IF(A186&lt;&gt;"",(Z186+Normalize_To_Add)/(Point_Total_So_Far)*100,"")</f>
        <v>89.215235457063713</v>
      </c>
      <c r="AB186" s="10">
        <f>IF(A186&lt;&gt;"",RANK(AA186,All_Student_XC),"")</f>
        <v>89</v>
      </c>
      <c r="AC186" s="31" t="str">
        <f>IF(A186&lt;&gt;"",CHOOSE(10-MIN(9,TRUNC((AA186+0.5)/10)),"A","B","C","D","F","F","F","F","F","F"),"")</f>
        <v>B</v>
      </c>
      <c r="AD186" s="31" t="str">
        <f>IF(A186&lt;&gt;"",IF(OR(AA186+0.5&gt;=93,AA186+0.5&lt;60),"",IF(MOD(AA186+0.5,10)&gt;=7,"+",IF(MOD(AA186+0.5,10)&lt;3,"-",""))),"")</f>
        <v>+</v>
      </c>
      <c r="AE186" s="31">
        <f>IF(A186&lt;&gt;"",SUM(W186:X186,$W$8:$X$8)/SUM($W$2:$X$2)*100,"")</f>
        <v>80.03047091412742</v>
      </c>
      <c r="AF186" s="43" t="str">
        <f>IF(A186&lt;&gt;"",CHOOSE(10-MIN(9,TRUNC((AE186+0.5)/10)),"A","B","C","D","F","F","F","F","F","F"),"")</f>
        <v>B</v>
      </c>
      <c r="AG186" s="43" t="str">
        <f>IF(A186&lt;&gt;"",IF(OR(AE186+0.5&gt;=93,AE186+0.5&lt;60),"",IF(MOD(AE186+0.5,10)&gt;=7,"+",IF(MOD(AE186+0.5,10)&lt;3,"-",""))),"")</f>
        <v>-</v>
      </c>
      <c r="AH186" s="35">
        <f>IF(A186&lt;&gt;"",MIN(MAX(AA186,AE186),AA186+$AH$8,AE186+$AH$8),"")</f>
        <v>89.215235457063713</v>
      </c>
      <c r="AI186" s="31" t="str">
        <f>IF(A186&lt;&gt;"",CHOOSE(10-MIN(9,TRUNC((AH186+0.5)/10)),"A","B","C","D","F","F","F","F","F","F"),"")</f>
        <v>B</v>
      </c>
      <c r="AJ186" s="31" t="str">
        <f>IF(A186&lt;&gt;"",IF(OR(AH186+0.5&gt;=93,AH186+0.5&lt;60),"",IF(MOD(AH186+0.5,10)&gt;=7,"+",IF(MOD(AH186+0.5,10)&lt;3,"-",""))),"")</f>
        <v>+</v>
      </c>
      <c r="AK186" s="31" t="b">
        <f>IF(A186&lt;&gt;"",OR(AI186&lt;&gt;AC186,AJ186&lt;&gt;AD186),"")</f>
        <v>0</v>
      </c>
      <c r="AL186" s="81">
        <f>IF(AND(A186&lt;&gt;"",U186&gt;0),SUM(U186,$AL$8)/$AL$2*100,"")</f>
        <v>96.5</v>
      </c>
      <c r="AM186" s="24">
        <f>IF(AND(A186&lt;&gt;"",V186&gt;0),SUM(V186,$AM$8)/$AM$2*100,"")</f>
        <v>98.666666666666671</v>
      </c>
      <c r="AN186" s="24" t="str">
        <f>IF(AND(A186&lt;&gt;"",P186&lt;&gt;0),SUM(P186,$AN$8)/$AN$2*100,"")</f>
        <v/>
      </c>
      <c r="AO186" s="24" t="str">
        <f>IF(AND(A186&lt;&gt;"",Q186&lt;&gt;0),SUM(Q186,$AO$8)/$AO$2*100,"")</f>
        <v/>
      </c>
      <c r="AP186" s="24">
        <f>IF(AND(A186&lt;&gt;"",R186&lt;&gt;0),SUM(R186,$AP$8)/$AP$2*100,"")</f>
        <v>66.502659574468083</v>
      </c>
      <c r="AQ186" s="24" t="str">
        <f>IF(AND(A186&lt;&gt;"",W186&gt;0),SUM(W186,$AQ$8)/$AQ$2*100,"")</f>
        <v/>
      </c>
      <c r="AR186" s="24">
        <f>IF(AND(A186&lt;&gt;"",T186&gt;0),SUM(T186,$AR$8)/$AR$2*100,"")</f>
        <v>80.03047091412742</v>
      </c>
      <c r="AS186" s="24">
        <f>IF(AND(A186&lt;&gt;"",X186&lt;&gt;0),SUM(X186,$AS$8)/$AS$2*100,"")</f>
        <v>80.03047091412742</v>
      </c>
      <c r="AT186" s="86">
        <f>IF(A186&lt;&gt;"",SUM(W186:X186,$AT$8)/$AT$2*100,"")</f>
        <v>80.03047091412742</v>
      </c>
      <c r="AU186" s="24">
        <f>AA186</f>
        <v>89.215235457063713</v>
      </c>
      <c r="AV186" s="24"/>
      <c r="AW186" s="27">
        <f>IF(A186&lt;&gt;"",AE186-AA186,"")</f>
        <v>-9.1847645429362927</v>
      </c>
      <c r="AY186" s="27">
        <f>AR186-AP186</f>
        <v>13.527811339659337</v>
      </c>
      <c r="AZ186" s="27">
        <f>ABS(AY186)</f>
        <v>13.527811339659337</v>
      </c>
    </row>
    <row r="187" spans="1:52" s="27" customFormat="1" ht="12.75" customHeight="1" x14ac:dyDescent="0.2">
      <c r="A187" s="10">
        <v>479470</v>
      </c>
      <c r="B187" s="2">
        <v>25</v>
      </c>
      <c r="C187" s="10">
        <v>18</v>
      </c>
      <c r="D187" s="10">
        <v>24</v>
      </c>
      <c r="E187" s="10">
        <v>21</v>
      </c>
      <c r="F187" s="10">
        <v>20</v>
      </c>
      <c r="G187" s="10">
        <v>17</v>
      </c>
      <c r="H187" s="10">
        <v>11</v>
      </c>
      <c r="I187" s="10">
        <v>24</v>
      </c>
      <c r="J187" s="2"/>
      <c r="K187" s="10">
        <v>61</v>
      </c>
      <c r="L187" s="10">
        <v>42</v>
      </c>
      <c r="M187" s="10">
        <v>60</v>
      </c>
      <c r="N187" s="51">
        <v>38</v>
      </c>
      <c r="O187" s="11">
        <v>60</v>
      </c>
      <c r="P187" s="10"/>
      <c r="Q187" s="40"/>
      <c r="R187" s="2">
        <v>100</v>
      </c>
      <c r="S187" s="10">
        <f>IF(T187="",R187,MAX((R187+$R$8)/$R$2,(T187+$T$8)/$T$2)*$R$2-$R$8)</f>
        <v>105.72228934598536</v>
      </c>
      <c r="T187" s="12">
        <v>156</v>
      </c>
      <c r="U187" s="68">
        <f>IF(A187&lt;&gt;"",SUM(B187:I187),"")</f>
        <v>160</v>
      </c>
      <c r="V187" s="10">
        <f>IF(A187&lt;&gt;"",SUM(J187:O187),"")</f>
        <v>261</v>
      </c>
      <c r="W187" s="10">
        <f>IF(A187&lt;&gt;"",SUM(P187:Q187),"")</f>
        <v>0</v>
      </c>
      <c r="X187" s="10">
        <f>IF(A187&lt;&gt;"",SUM(S187:T187),"")</f>
        <v>261.72228934598536</v>
      </c>
      <c r="Y187" s="12" t="s">
        <v>69</v>
      </c>
      <c r="Z187" s="12">
        <f>IF(A187&lt;&gt;"",SUM(U187:Y187),"")</f>
        <v>682.72228934598536</v>
      </c>
      <c r="AA187" s="27">
        <f>IF(A187&lt;&gt;"",(Z187+Normalize_To_Add)/(Point_Total_So_Far)*100,"")</f>
        <v>75.781902123730376</v>
      </c>
      <c r="AB187" s="10">
        <f>IF(A187&lt;&gt;"",RANK(AA187,All_Student_XC),"")</f>
        <v>266</v>
      </c>
      <c r="AC187" s="31" t="str">
        <f>IF(A187&lt;&gt;"",CHOOSE(10-MIN(9,TRUNC((AA187+0.5)/10)),"A","B","C","D","F","F","F","F","F","F"),"")</f>
        <v>C</v>
      </c>
      <c r="AD187" s="31" t="str">
        <f>IF(A187&lt;&gt;"",IF(OR(AA187+0.5&gt;=93,AA187+0.5&lt;60),"",IF(MOD(AA187+0.5,10)&gt;=7,"+",IF(MOD(AA187+0.5,10)&lt;3,"-",""))),"")</f>
        <v/>
      </c>
      <c r="AE187" s="31">
        <f>IF(A187&lt;&gt;"",SUM(W187:X187,$W$8:$X$8)/SUM($W$2:$X$2)*100,"")</f>
        <v>67.363804247460763</v>
      </c>
      <c r="AF187" s="31" t="str">
        <f>IF(A187&lt;&gt;"",CHOOSE(10-MIN(9,TRUNC((AE187+0.5)/10)),"A","B","C","D","F","F","F","F","F","F"),"")</f>
        <v>D</v>
      </c>
      <c r="AG187" s="31" t="str">
        <f>IF(A187&lt;&gt;"",IF(OR(AE187+0.5&gt;=93,AE187+0.5&lt;60),"",IF(MOD(AE187+0.5,10)&gt;=7,"+",IF(MOD(AE187+0.5,10)&lt;3,"-",""))),"")</f>
        <v>+</v>
      </c>
      <c r="AH187" s="35">
        <f>IF(A187&lt;&gt;"",MIN(MAX(AA187,AE187),AA187+$AH$8,AE187+$AH$8),"")</f>
        <v>75.781902123730376</v>
      </c>
      <c r="AI187" s="31" t="str">
        <f>IF(A187&lt;&gt;"",CHOOSE(10-MIN(9,TRUNC((AH187+0.5)/10)),"A","B","C","D","F","F","F","F","F","F"),"")</f>
        <v>C</v>
      </c>
      <c r="AJ187" s="31" t="str">
        <f>IF(A187&lt;&gt;"",IF(OR(AH187+0.5&gt;=93,AH187+0.5&lt;60),"",IF(MOD(AH187+0.5,10)&gt;=7,"+",IF(MOD(AH187+0.5,10)&lt;3,"-",""))),"")</f>
        <v/>
      </c>
      <c r="AK187" s="31" t="b">
        <f>IF(A187&lt;&gt;"",OR(AI187&lt;&gt;AC187,AJ187&lt;&gt;AD187),"")</f>
        <v>0</v>
      </c>
      <c r="AL187" s="81">
        <f>IF(AND(A187&lt;&gt;"",U187&gt;0),SUM(U187,$AL$8)/$AL$2*100,"")</f>
        <v>80</v>
      </c>
      <c r="AM187" s="24">
        <f>IF(AND(A187&lt;&gt;"",V187&gt;0),SUM(V187,$AM$8)/$AM$2*100,"")</f>
        <v>87</v>
      </c>
      <c r="AN187" s="24" t="str">
        <f>IF(AND(A187&lt;&gt;"",P187&lt;&gt;0),SUM(P187,$AN$8)/$AN$2*100,"")</f>
        <v/>
      </c>
      <c r="AO187" s="24" t="str">
        <f>IF(AND(A187&lt;&gt;"",Q187&lt;&gt;0),SUM(Q187,$AO$8)/$AO$2*100,"")</f>
        <v/>
      </c>
      <c r="AP187" s="24">
        <f>IF(AND(A187&lt;&gt;"",R187&lt;&gt;0),SUM(R187,$AP$8)/$AP$2*100,"")</f>
        <v>64.502659574468083</v>
      </c>
      <c r="AQ187" s="24" t="str">
        <f>IF(AND(A187&lt;&gt;"",W187&gt;0),SUM(W187,$AQ$8)/$AQ$2*100,"")</f>
        <v/>
      </c>
      <c r="AR187" s="24">
        <f>IF(AND(A187&lt;&gt;"",T187&gt;0),SUM(T187,$AR$8)/$AR$2*100,"")</f>
        <v>67.363804247460763</v>
      </c>
      <c r="AS187" s="24">
        <f>IF(AND(A187&lt;&gt;"",X187&lt;&gt;0),SUM(X187,$AS$8)/$AS$2*100,"")</f>
        <v>67.363804247460763</v>
      </c>
      <c r="AT187" s="86">
        <f>IF(A187&lt;&gt;"",SUM(W187:X187,$AT$8)/$AT$2*100,"")</f>
        <v>67.363804247460763</v>
      </c>
      <c r="AU187" s="24">
        <f>AA187</f>
        <v>75.781902123730376</v>
      </c>
      <c r="AV187" s="24"/>
      <c r="AW187" s="27">
        <f>IF(A187&lt;&gt;"",AE187-AA187,"")</f>
        <v>-8.4180978762696128</v>
      </c>
      <c r="AY187" s="27">
        <f>AR187-AP187</f>
        <v>2.8611446729926797</v>
      </c>
      <c r="AZ187" s="27">
        <f>ABS(AY187)</f>
        <v>2.8611446729926797</v>
      </c>
    </row>
    <row r="188" spans="1:52" s="27" customFormat="1" ht="12.75" customHeight="1" x14ac:dyDescent="0.2">
      <c r="A188" s="10">
        <v>484554</v>
      </c>
      <c r="B188" s="2">
        <v>0</v>
      </c>
      <c r="C188" s="10">
        <v>15</v>
      </c>
      <c r="D188" s="10">
        <v>24</v>
      </c>
      <c r="E188" s="10">
        <v>22</v>
      </c>
      <c r="F188" s="10">
        <v>23</v>
      </c>
      <c r="G188" s="10">
        <v>25</v>
      </c>
      <c r="H188" s="10">
        <v>22</v>
      </c>
      <c r="I188" s="10">
        <v>20</v>
      </c>
      <c r="J188" s="2"/>
      <c r="K188" s="10">
        <v>34</v>
      </c>
      <c r="L188" s="10">
        <v>2</v>
      </c>
      <c r="M188" s="10">
        <v>5</v>
      </c>
      <c r="N188" s="51">
        <v>0</v>
      </c>
      <c r="O188" s="11">
        <v>12</v>
      </c>
      <c r="P188" s="10"/>
      <c r="Q188" s="40"/>
      <c r="R188" s="2">
        <v>157</v>
      </c>
      <c r="S188" s="10">
        <f>IF(T188="",R188,MAX((R188+$R$8)/$R$2,(T188+$T$8)/$T$2)*$R$2-$R$8)</f>
        <v>163.72228934598533</v>
      </c>
      <c r="T188" s="12">
        <v>243</v>
      </c>
      <c r="U188" s="1">
        <f>IF(A188&lt;&gt;"",SUM(B188:I188),"")</f>
        <v>151</v>
      </c>
      <c r="V188" s="10">
        <f>IF(A188&lt;&gt;"",SUM(J188:O188),"")</f>
        <v>53</v>
      </c>
      <c r="W188" s="10">
        <f>IF(A188&lt;&gt;"",SUM(P188:Q188),"")</f>
        <v>0</v>
      </c>
      <c r="X188" s="10">
        <f>IF(A188&lt;&gt;"",SUM(S188:T188),"")</f>
        <v>406.72228934598536</v>
      </c>
      <c r="Y188" s="12" t="s">
        <v>69</v>
      </c>
      <c r="Z188" s="12">
        <f>IF(A188&lt;&gt;"",SUM(U188:Y188),"")</f>
        <v>610.72228934598536</v>
      </c>
      <c r="AA188" s="27">
        <f>IF(A188&lt;&gt;"",(Z188+Normalize_To_Add)/(Point_Total_So_Far)*100,"")</f>
        <v>68.581902123730373</v>
      </c>
      <c r="AB188" s="10">
        <f>IF(A188&lt;&gt;"",RANK(AA188,All_Student_XC),"")</f>
        <v>325</v>
      </c>
      <c r="AC188" s="31" t="str">
        <f>IF(A188&lt;&gt;"",CHOOSE(10-MIN(9,TRUNC((AA188+0.5)/10)),"A","B","C","D","F","F","F","F","F","F"),"")</f>
        <v>D</v>
      </c>
      <c r="AD188" s="31" t="str">
        <f>IF(A188&lt;&gt;"",IF(OR(AA188+0.5&gt;=93,AA188+0.5&lt;60),"",IF(MOD(AA188+0.5,10)&gt;=7,"+",IF(MOD(AA188+0.5,10)&lt;3,"-",""))),"")</f>
        <v>+</v>
      </c>
      <c r="AE188" s="31">
        <f>IF(A188&lt;&gt;"",SUM(W188:X188,$W$8:$X$8)/SUM($W$2:$X$2)*100,"")</f>
        <v>96.363804247460763</v>
      </c>
      <c r="AF188" s="31" t="str">
        <f>IF(A188&lt;&gt;"",CHOOSE(10-MIN(9,TRUNC((AE188+0.5)/10)),"A","B","C","D","F","F","F","F","F","F"),"")</f>
        <v>A</v>
      </c>
      <c r="AG188" s="31" t="str">
        <f>IF(A188&lt;&gt;"",IF(OR(AE188+0.5&gt;=93,AE188+0.5&lt;60),"",IF(MOD(AE188+0.5,10)&gt;=7,"+",IF(MOD(AE188+0.5,10)&lt;3,"-",""))),"")</f>
        <v/>
      </c>
      <c r="AH188" s="35">
        <f>IF(A188&lt;&gt;"",MIN(MAX(AA188,AE188),AA188+$AH$8,AE188+$AH$8),"")</f>
        <v>96.363804247460763</v>
      </c>
      <c r="AI188" s="31" t="str">
        <f>IF(A188&lt;&gt;"",CHOOSE(10-MIN(9,TRUNC((AH188+0.5)/10)),"A","B","C","D","F","F","F","F","F","F"),"")</f>
        <v>A</v>
      </c>
      <c r="AJ188" s="31" t="str">
        <f>IF(A188&lt;&gt;"",IF(OR(AH188+0.5&gt;=93,AH188+0.5&lt;60),"",IF(MOD(AH188+0.5,10)&gt;=7,"+",IF(MOD(AH188+0.5,10)&lt;3,"-",""))),"")</f>
        <v/>
      </c>
      <c r="AK188" s="31" t="b">
        <f>IF(A188&lt;&gt;"",OR(AI188&lt;&gt;AC188,AJ188&lt;&gt;AD188),"")</f>
        <v>1</v>
      </c>
      <c r="AL188" s="81">
        <f>IF(AND(A188&lt;&gt;"",U188&gt;0),SUM(U188,$AL$8)/$AL$2*100,"")</f>
        <v>75.5</v>
      </c>
      <c r="AM188" s="24">
        <f>IF(AND(A188&lt;&gt;"",V188&gt;0),SUM(V188,$AM$8)/$AM$2*100,"")</f>
        <v>17.666666666666668</v>
      </c>
      <c r="AN188" s="24" t="str">
        <f>IF(AND(A188&lt;&gt;"",P188&lt;&gt;0),SUM(P188,$AN$8)/$AN$2*100,"")</f>
        <v/>
      </c>
      <c r="AO188" s="24" t="str">
        <f>IF(AND(A188&lt;&gt;"",Q188&lt;&gt;0),SUM(Q188,$AO$8)/$AO$2*100,"")</f>
        <v/>
      </c>
      <c r="AP188" s="24">
        <f>IF(AND(A188&lt;&gt;"",R188&lt;&gt;0),SUM(R188,$AP$8)/$AP$2*100,"")</f>
        <v>93.002659574468083</v>
      </c>
      <c r="AQ188" s="24" t="str">
        <f>IF(AND(A188&lt;&gt;"",W188&gt;0),SUM(W188,$AQ$8)/$AQ$2*100,"")</f>
        <v/>
      </c>
      <c r="AR188" s="24">
        <f>IF(AND(A188&lt;&gt;"",T188&gt;0),SUM(T188,$AR$8)/$AR$2*100,"")</f>
        <v>96.363804247460749</v>
      </c>
      <c r="AS188" s="24">
        <f>IF(AND(A188&lt;&gt;"",X188&lt;&gt;0),SUM(X188,$AS$8)/$AS$2*100,"")</f>
        <v>96.363804247460763</v>
      </c>
      <c r="AT188" s="86">
        <f>IF(A188&lt;&gt;"",SUM(W188:X188,$AT$8)/$AT$2*100,"")</f>
        <v>96.363804247460763</v>
      </c>
      <c r="AU188" s="24">
        <f>AA188</f>
        <v>68.581902123730373</v>
      </c>
      <c r="AV188" s="24"/>
      <c r="AW188" s="27">
        <f>IF(A188&lt;&gt;"",AE188-AA188,"")</f>
        <v>27.78190212373039</v>
      </c>
      <c r="AY188" s="27">
        <f>AR188-AP188</f>
        <v>3.3611446729926655</v>
      </c>
      <c r="AZ188" s="27">
        <f>ABS(AY188)</f>
        <v>3.3611446729926655</v>
      </c>
    </row>
    <row r="189" spans="1:52" s="27" customFormat="1" ht="12.75" customHeight="1" x14ac:dyDescent="0.2">
      <c r="A189" s="10">
        <v>486860</v>
      </c>
      <c r="B189" s="2">
        <v>25</v>
      </c>
      <c r="C189" s="10">
        <v>25</v>
      </c>
      <c r="D189" s="10">
        <v>23</v>
      </c>
      <c r="E189" s="10">
        <v>22</v>
      </c>
      <c r="F189" s="10">
        <v>22</v>
      </c>
      <c r="G189" s="10">
        <v>25</v>
      </c>
      <c r="H189" s="10">
        <v>24</v>
      </c>
      <c r="I189" s="10">
        <v>18</v>
      </c>
      <c r="J189" s="2"/>
      <c r="K189" s="10">
        <v>57</v>
      </c>
      <c r="L189" s="10">
        <v>25</v>
      </c>
      <c r="M189" s="10">
        <v>53</v>
      </c>
      <c r="N189" s="51">
        <v>44</v>
      </c>
      <c r="O189" s="11">
        <v>60</v>
      </c>
      <c r="P189" s="10"/>
      <c r="Q189" s="40"/>
      <c r="R189" s="2">
        <v>138</v>
      </c>
      <c r="S189" s="10">
        <f>IF(T189="",R189,MAX((R189+$R$8)/$R$2,(T189+$T$8)/$T$2)*$R$2-$R$8)</f>
        <v>138</v>
      </c>
      <c r="T189" s="12">
        <v>185</v>
      </c>
      <c r="U189" s="68">
        <f>IF(A189&lt;&gt;"",SUM(B189:I189),"")</f>
        <v>184</v>
      </c>
      <c r="V189" s="10">
        <f>IF(A189&lt;&gt;"",SUM(J189:O189),"")</f>
        <v>239</v>
      </c>
      <c r="W189" s="10">
        <f>IF(A189&lt;&gt;"",SUM(P189:Q189),"")</f>
        <v>0</v>
      </c>
      <c r="X189" s="10">
        <f>IF(A189&lt;&gt;"",SUM(S189:T189),"")</f>
        <v>323</v>
      </c>
      <c r="Y189" s="12">
        <v>3</v>
      </c>
      <c r="Z189" s="12">
        <f>IF(A189&lt;&gt;"",SUM(U189:Y189),"")</f>
        <v>749</v>
      </c>
      <c r="AA189" s="27">
        <f>IF(A189&lt;&gt;"",(Z189+Normalize_To_Add)/(Point_Total_So_Far)*100,"")</f>
        <v>82.409673189131837</v>
      </c>
      <c r="AB189" s="10">
        <f>IF(A189&lt;&gt;"",RANK(AA189,All_Student_XC),"")</f>
        <v>179</v>
      </c>
      <c r="AC189" s="31" t="str">
        <f>IF(A189&lt;&gt;"",CHOOSE(10-MIN(9,TRUNC((AA189+0.5)/10)),"A","B","C","D","F","F","F","F","F","F"),"")</f>
        <v>B</v>
      </c>
      <c r="AD189" s="31" t="str">
        <f>IF(A189&lt;&gt;"",IF(OR(AA189+0.5&gt;=93,AA189+0.5&lt;60),"",IF(MOD(AA189+0.5,10)&gt;=7,"+",IF(MOD(AA189+0.5,10)&lt;3,"-",""))),"")</f>
        <v>-</v>
      </c>
      <c r="AE189" s="31">
        <f>IF(A189&lt;&gt;"",SUM(W189:X189,$W$8:$X$8)/SUM($W$2:$X$2)*100,"")</f>
        <v>79.619346378263685</v>
      </c>
      <c r="AF189" s="31" t="str">
        <f>IF(A189&lt;&gt;"",CHOOSE(10-MIN(9,TRUNC((AE189+0.5)/10)),"A","B","C","D","F","F","F","F","F","F"),"")</f>
        <v>B</v>
      </c>
      <c r="AG189" s="31" t="str">
        <f>IF(A189&lt;&gt;"",IF(OR(AE189+0.5&gt;=93,AE189+0.5&lt;60),"",IF(MOD(AE189+0.5,10)&gt;=7,"+",IF(MOD(AE189+0.5,10)&lt;3,"-",""))),"")</f>
        <v>-</v>
      </c>
      <c r="AH189" s="35">
        <f>IF(A189&lt;&gt;"",MIN(MAX(AA189,AE189),AA189+$AH$8,AE189+$AH$8),"")</f>
        <v>82.409673189131837</v>
      </c>
      <c r="AI189" s="31" t="str">
        <f>IF(A189&lt;&gt;"",CHOOSE(10-MIN(9,TRUNC((AH189+0.5)/10)),"A","B","C","D","F","F","F","F","F","F"),"")</f>
        <v>B</v>
      </c>
      <c r="AJ189" s="31" t="str">
        <f>IF(A189&lt;&gt;"",IF(OR(AH189+0.5&gt;=93,AH189+0.5&lt;60),"",IF(MOD(AH189+0.5,10)&gt;=7,"+",IF(MOD(AH189+0.5,10)&lt;3,"-",""))),"")</f>
        <v>-</v>
      </c>
      <c r="AK189" s="31" t="b">
        <f>IF(A189&lt;&gt;"",OR(AI189&lt;&gt;AC189,AJ189&lt;&gt;AD189),"")</f>
        <v>0</v>
      </c>
      <c r="AL189" s="81">
        <f>IF(AND(A189&lt;&gt;"",U189&gt;0),SUM(U189,$AL$8)/$AL$2*100,"")</f>
        <v>92</v>
      </c>
      <c r="AM189" s="24">
        <f>IF(AND(A189&lt;&gt;"",V189&gt;0),SUM(V189,$AM$8)/$AM$2*100,"")</f>
        <v>79.666666666666657</v>
      </c>
      <c r="AN189" s="24" t="str">
        <f>IF(AND(A189&lt;&gt;"",P189&lt;&gt;0),SUM(P189,$AN$8)/$AN$2*100,"")</f>
        <v/>
      </c>
      <c r="AO189" s="24" t="str">
        <f>IF(AND(A189&lt;&gt;"",Q189&lt;&gt;0),SUM(Q189,$AO$8)/$AO$2*100,"")</f>
        <v/>
      </c>
      <c r="AP189" s="24">
        <f>IF(AND(A189&lt;&gt;"",R189&lt;&gt;0),SUM(R189,$AP$8)/$AP$2*100,"")</f>
        <v>83.502659574468083</v>
      </c>
      <c r="AQ189" s="24" t="str">
        <f>IF(AND(A189&lt;&gt;"",W189&gt;0),SUM(W189,$AQ$8)/$AQ$2*100,"")</f>
        <v/>
      </c>
      <c r="AR189" s="24">
        <f>IF(AND(A189&lt;&gt;"",T189&gt;0),SUM(T189,$AR$8)/$AR$2*100,"")</f>
        <v>77.03047091412742</v>
      </c>
      <c r="AS189" s="24">
        <f>IF(AND(A189&lt;&gt;"",X189&lt;&gt;0),SUM(X189,$AS$8)/$AS$2*100,"")</f>
        <v>79.619346378263685</v>
      </c>
      <c r="AT189" s="86">
        <f>IF(A189&lt;&gt;"",SUM(W189:X189,$AT$8)/$AT$2*100,"")</f>
        <v>79.619346378263685</v>
      </c>
      <c r="AU189" s="24">
        <f>AA189</f>
        <v>82.409673189131837</v>
      </c>
      <c r="AV189" s="24"/>
      <c r="AW189" s="27">
        <f>IF(A189&lt;&gt;"",AE189-AA189,"")</f>
        <v>-2.7903268108681516</v>
      </c>
      <c r="AY189" s="27">
        <f>AR189-AP189</f>
        <v>-6.4721886603406631</v>
      </c>
      <c r="AZ189" s="27">
        <f>ABS(AY189)</f>
        <v>6.4721886603406631</v>
      </c>
    </row>
    <row r="190" spans="1:52" s="27" customFormat="1" ht="12.75" customHeight="1" x14ac:dyDescent="0.2">
      <c r="A190" s="50">
        <v>489884</v>
      </c>
      <c r="B190" s="2">
        <v>15</v>
      </c>
      <c r="C190" s="50">
        <v>18</v>
      </c>
      <c r="D190" s="10" t="s">
        <v>69</v>
      </c>
      <c r="E190" s="10" t="s">
        <v>69</v>
      </c>
      <c r="F190" s="10">
        <v>21</v>
      </c>
      <c r="G190" s="10" t="s">
        <v>69</v>
      </c>
      <c r="H190" s="10" t="s">
        <v>69</v>
      </c>
      <c r="I190" s="10" t="s">
        <v>69</v>
      </c>
      <c r="J190" s="2"/>
      <c r="K190" s="10">
        <v>57</v>
      </c>
      <c r="L190" s="10">
        <v>47</v>
      </c>
      <c r="M190" s="10">
        <v>56</v>
      </c>
      <c r="N190" s="51" t="s">
        <v>69</v>
      </c>
      <c r="O190" s="11" t="s">
        <v>69</v>
      </c>
      <c r="P190" s="10"/>
      <c r="Q190" s="40"/>
      <c r="R190" s="2">
        <v>67</v>
      </c>
      <c r="S190" s="10">
        <f>IF(T190="",R190,MAX((R190+$R$8)/$R$2,(T190+$T$8)/$T$2)*$R$2-$R$8)</f>
        <v>67</v>
      </c>
      <c r="T190" s="62" t="s">
        <v>69</v>
      </c>
      <c r="U190" s="2">
        <f>IF(A190&lt;&gt;"",SUM(B190:I190),"")</f>
        <v>54</v>
      </c>
      <c r="V190" s="10">
        <f>IF(A190&lt;&gt;"",SUM(J190:O190),"")</f>
        <v>160</v>
      </c>
      <c r="W190" s="10">
        <f>IF(A190&lt;&gt;"",SUM(P190:Q190),"")</f>
        <v>0</v>
      </c>
      <c r="X190" s="10">
        <f>IF(A190&lt;&gt;"",SUM(S190:T190),"")</f>
        <v>67</v>
      </c>
      <c r="Y190" s="12" t="s">
        <v>69</v>
      </c>
      <c r="Z190" s="12">
        <f>IF(A190&lt;&gt;"",SUM(U190:Y190),"")</f>
        <v>281</v>
      </c>
      <c r="AA190" s="27">
        <f>IF(A190&lt;&gt;"",(Z190+Normalize_To_Add)/(Point_Total_So_Far)*100,"")</f>
        <v>35.60967318913184</v>
      </c>
      <c r="AB190" s="10">
        <f>IF(A190&lt;&gt;"",RANK(AA190,All_Student_XC),"")</f>
        <v>368</v>
      </c>
      <c r="AC190" s="31" t="str">
        <f>IF(A190&lt;&gt;"",CHOOSE(10-MIN(9,TRUNC((AA190+0.5)/10)),"A","B","C","D","F","F","F","F","F","F"),"")</f>
        <v>F</v>
      </c>
      <c r="AD190" s="31" t="str">
        <f>IF(A190&lt;&gt;"",IF(OR(AA190+0.5&gt;=93,AA190+0.5&lt;60),"",IF(MOD(AA190+0.5,10)&gt;=7,"+",IF(MOD(AA190+0.5,10)&lt;3,"-",""))),"")</f>
        <v/>
      </c>
      <c r="AE190" s="31">
        <f>IF(A190&lt;&gt;"",SUM(W190:X190,$W$8:$X$8)/SUM($W$2:$X$2)*100,"")</f>
        <v>28.41934637826369</v>
      </c>
      <c r="AF190" s="43" t="str">
        <f>IF(A190&lt;&gt;"",CHOOSE(10-MIN(9,TRUNC((AE190+0.5)/10)),"A","B","C","D","F","F","F","F","F","F"),"")</f>
        <v>F</v>
      </c>
      <c r="AG190" s="43" t="str">
        <f>IF(A190&lt;&gt;"",IF(OR(AE190+0.5&gt;=93,AE190+0.5&lt;60),"",IF(MOD(AE190+0.5,10)&gt;=7,"+",IF(MOD(AE190+0.5,10)&lt;3,"-",""))),"")</f>
        <v/>
      </c>
      <c r="AH190" s="35">
        <f>IF(A190&lt;&gt;"",MIN(MAX(AA190,AE190),AA190+$AH$8,AE190+$AH$8),"")</f>
        <v>35.60967318913184</v>
      </c>
      <c r="AI190" s="31" t="str">
        <f>IF(A190&lt;&gt;"",CHOOSE(10-MIN(9,TRUNC((AH190+0.5)/10)),"A","B","C","D","F","F","F","F","F","F"),"")</f>
        <v>F</v>
      </c>
      <c r="AJ190" s="31" t="str">
        <f>IF(A190&lt;&gt;"",IF(OR(AH190+0.5&gt;=93,AH190+0.5&lt;60),"",IF(MOD(AH190+0.5,10)&gt;=7,"+",IF(MOD(AH190+0.5,10)&lt;3,"-",""))),"")</f>
        <v/>
      </c>
      <c r="AK190" s="31" t="b">
        <f>IF(A190&lt;&gt;"",OR(AI190&lt;&gt;AC190,AJ190&lt;&gt;AD190),"")</f>
        <v>0</v>
      </c>
      <c r="AL190" s="81">
        <f>IF(AND(A190&lt;&gt;"",U190&gt;0),SUM(U190,$AL$8)/$AL$2*100,"")</f>
        <v>27</v>
      </c>
      <c r="AM190" s="24">
        <f>IF(AND(A190&lt;&gt;"",V190&gt;0),SUM(V190,$AM$8)/$AM$2*100,"")</f>
        <v>53.333333333333336</v>
      </c>
      <c r="AN190" s="24" t="str">
        <f>IF(AND(A190&lt;&gt;"",P190&lt;&gt;0),SUM(P190,$AN$8)/$AN$2*100,"")</f>
        <v/>
      </c>
      <c r="AO190" s="24" t="str">
        <f>IF(AND(A190&lt;&gt;"",Q190&lt;&gt;0),SUM(Q190,$AO$8)/$AO$2*100,"")</f>
        <v/>
      </c>
      <c r="AP190" s="24">
        <f>IF(AND(A190&lt;&gt;"",R190&lt;&gt;0),SUM(R190,$AP$8)/$AP$2*100,"")</f>
        <v>48.002659574468083</v>
      </c>
      <c r="AQ190" s="24" t="str">
        <f>IF(AND(A190&lt;&gt;"",W190&gt;0),SUM(W190,$AQ$8)/$AQ$2*100,"")</f>
        <v/>
      </c>
      <c r="AR190" s="24">
        <f>IF(AND(A190&lt;&gt;"",T190&gt;0),SUM(T190,$AR$8)/$AR$2*100,"")</f>
        <v>15.363804247460756</v>
      </c>
      <c r="AS190" s="24">
        <f>IF(AND(A190&lt;&gt;"",X190&lt;&gt;0),SUM(X190,$AS$8)/$AS$2*100,"")</f>
        <v>28.41934637826369</v>
      </c>
      <c r="AT190" s="86">
        <f>IF(A190&lt;&gt;"",SUM(W190:X190,$AT$8)/$AT$2*100,"")</f>
        <v>28.41934637826369</v>
      </c>
      <c r="AU190" s="24">
        <f>AA190</f>
        <v>35.60967318913184</v>
      </c>
      <c r="AV190" s="24"/>
      <c r="AW190" s="27">
        <f>IF(A190&lt;&gt;"",AE190-AA190,"")</f>
        <v>-7.1903268108681502</v>
      </c>
      <c r="AY190" s="27">
        <f>AR190-AP190</f>
        <v>-32.638855327007327</v>
      </c>
      <c r="AZ190" s="27">
        <f>ABS(AY190)</f>
        <v>32.638855327007327</v>
      </c>
    </row>
    <row r="191" spans="1:52" s="27" customFormat="1" ht="12.75" customHeight="1" x14ac:dyDescent="0.2">
      <c r="A191" s="10">
        <v>494764</v>
      </c>
      <c r="B191" s="2">
        <v>22</v>
      </c>
      <c r="C191" s="10">
        <v>25</v>
      </c>
      <c r="D191" s="10">
        <v>21</v>
      </c>
      <c r="E191" s="10">
        <v>25</v>
      </c>
      <c r="F191" s="10">
        <v>23</v>
      </c>
      <c r="G191" s="10">
        <v>25</v>
      </c>
      <c r="H191" s="10">
        <v>9</v>
      </c>
      <c r="I191" s="10">
        <v>25</v>
      </c>
      <c r="J191" s="2"/>
      <c r="K191" s="10">
        <v>60</v>
      </c>
      <c r="L191" s="10">
        <v>52</v>
      </c>
      <c r="M191" s="10">
        <v>48</v>
      </c>
      <c r="N191" s="51">
        <v>42</v>
      </c>
      <c r="O191" s="11">
        <v>61</v>
      </c>
      <c r="P191" s="10"/>
      <c r="Q191" s="40"/>
      <c r="R191" s="2">
        <v>148</v>
      </c>
      <c r="S191" s="10">
        <f>IF(T191="",R191,MAX((R191+$R$8)/$R$2,(T191+$T$8)/$T$2)*$R$2-$R$8)</f>
        <v>148</v>
      </c>
      <c r="T191" s="12">
        <v>218</v>
      </c>
      <c r="U191" s="68">
        <f>IF(A191&lt;&gt;"",SUM(B191:I191),"")</f>
        <v>175</v>
      </c>
      <c r="V191" s="10">
        <f>IF(A191&lt;&gt;"",SUM(J191:O191),"")</f>
        <v>263</v>
      </c>
      <c r="W191" s="10">
        <f>IF(A191&lt;&gt;"",SUM(P191:Q191),"")</f>
        <v>0</v>
      </c>
      <c r="X191" s="10">
        <f>IF(A191&lt;&gt;"",SUM(S191:T191),"")</f>
        <v>366</v>
      </c>
      <c r="Y191" s="12">
        <v>3</v>
      </c>
      <c r="Z191" s="12">
        <f>IF(A191&lt;&gt;"",SUM(U191:Y191),"")</f>
        <v>807</v>
      </c>
      <c r="AA191" s="27">
        <f>IF(A191&lt;&gt;"",(Z191+Normalize_To_Add)/(Point_Total_So_Far)*100,"")</f>
        <v>88.209673189131848</v>
      </c>
      <c r="AB191" s="10">
        <f>IF(A191&lt;&gt;"",RANK(AA191,All_Student_XC),"")</f>
        <v>109</v>
      </c>
      <c r="AC191" s="31" t="str">
        <f>IF(A191&lt;&gt;"",CHOOSE(10-MIN(9,TRUNC((AA191+0.5)/10)),"A","B","C","D","F","F","F","F","F","F"),"")</f>
        <v>B</v>
      </c>
      <c r="AD191" s="31" t="str">
        <f>IF(A191&lt;&gt;"",IF(OR(AA191+0.5&gt;=93,AA191+0.5&lt;60),"",IF(MOD(AA191+0.5,10)&gt;=7,"+",IF(MOD(AA191+0.5,10)&lt;3,"-",""))),"")</f>
        <v>+</v>
      </c>
      <c r="AE191" s="31">
        <f>IF(A191&lt;&gt;"",SUM(W191:X191,$W$8:$X$8)/SUM($W$2:$X$2)*100,"")</f>
        <v>88.21934637826368</v>
      </c>
      <c r="AF191" s="31" t="str">
        <f>IF(A191&lt;&gt;"",CHOOSE(10-MIN(9,TRUNC((AE191+0.5)/10)),"A","B","C","D","F","F","F","F","F","F"),"")</f>
        <v>B</v>
      </c>
      <c r="AG191" s="31" t="str">
        <f>IF(A191&lt;&gt;"",IF(OR(AE191+0.5&gt;=93,AE191+0.5&lt;60),"",IF(MOD(AE191+0.5,10)&gt;=7,"+",IF(MOD(AE191+0.5,10)&lt;3,"-",""))),"")</f>
        <v>+</v>
      </c>
      <c r="AH191" s="35">
        <f>IF(A191&lt;&gt;"",MIN(MAX(AA191,AE191),AA191+$AH$8,AE191+$AH$8),"")</f>
        <v>88.21934637826368</v>
      </c>
      <c r="AI191" s="31" t="str">
        <f>IF(A191&lt;&gt;"",CHOOSE(10-MIN(9,TRUNC((AH191+0.5)/10)),"A","B","C","D","F","F","F","F","F","F"),"")</f>
        <v>B</v>
      </c>
      <c r="AJ191" s="31" t="str">
        <f>IF(A191&lt;&gt;"",IF(OR(AH191+0.5&gt;=93,AH191+0.5&lt;60),"",IF(MOD(AH191+0.5,10)&gt;=7,"+",IF(MOD(AH191+0.5,10)&lt;3,"-",""))),"")</f>
        <v>+</v>
      </c>
      <c r="AK191" s="31" t="b">
        <f>IF(A191&lt;&gt;"",OR(AI191&lt;&gt;AC191,AJ191&lt;&gt;AD191),"")</f>
        <v>0</v>
      </c>
      <c r="AL191" s="81">
        <f>IF(AND(A191&lt;&gt;"",U191&gt;0),SUM(U191,$AL$8)/$AL$2*100,"")</f>
        <v>87.5</v>
      </c>
      <c r="AM191" s="24">
        <f>IF(AND(A191&lt;&gt;"",V191&gt;0),SUM(V191,$AM$8)/$AM$2*100,"")</f>
        <v>87.666666666666671</v>
      </c>
      <c r="AN191" s="24" t="str">
        <f>IF(AND(A191&lt;&gt;"",P191&lt;&gt;0),SUM(P191,$AN$8)/$AN$2*100,"")</f>
        <v/>
      </c>
      <c r="AO191" s="24" t="str">
        <f>IF(AND(A191&lt;&gt;"",Q191&lt;&gt;0),SUM(Q191,$AO$8)/$AO$2*100,"")</f>
        <v/>
      </c>
      <c r="AP191" s="24">
        <f>IF(AND(A191&lt;&gt;"",R191&lt;&gt;0),SUM(R191,$AP$8)/$AP$2*100,"")</f>
        <v>88.502659574468083</v>
      </c>
      <c r="AQ191" s="24" t="str">
        <f>IF(AND(A191&lt;&gt;"",W191&gt;0),SUM(W191,$AQ$8)/$AQ$2*100,"")</f>
        <v/>
      </c>
      <c r="AR191" s="24">
        <f>IF(AND(A191&lt;&gt;"",T191&gt;0),SUM(T191,$AR$8)/$AR$2*100,"")</f>
        <v>88.03047091412742</v>
      </c>
      <c r="AS191" s="24">
        <f>IF(AND(A191&lt;&gt;"",X191&lt;&gt;0),SUM(X191,$AS$8)/$AS$2*100,"")</f>
        <v>88.21934637826368</v>
      </c>
      <c r="AT191" s="86">
        <f>IF(A191&lt;&gt;"",SUM(W191:X191,$AT$8)/$AT$2*100,"")</f>
        <v>88.21934637826368</v>
      </c>
      <c r="AU191" s="24">
        <f>AA191</f>
        <v>88.209673189131848</v>
      </c>
      <c r="AV191" s="24"/>
      <c r="AW191" s="27">
        <f>IF(A191&lt;&gt;"",AE191-AA191,"")</f>
        <v>9.6731891318313501E-3</v>
      </c>
      <c r="AY191" s="27">
        <f>AR191-AP191</f>
        <v>-0.47218866034066309</v>
      </c>
      <c r="AZ191" s="27">
        <f>ABS(AY191)</f>
        <v>0.47218866034066309</v>
      </c>
    </row>
    <row r="192" spans="1:52" s="27" customFormat="1" ht="12.75" customHeight="1" x14ac:dyDescent="0.2">
      <c r="A192" s="50">
        <v>506360</v>
      </c>
      <c r="B192" s="2">
        <v>25</v>
      </c>
      <c r="C192" s="50">
        <v>25</v>
      </c>
      <c r="D192" s="10">
        <v>22</v>
      </c>
      <c r="E192" s="10">
        <v>24</v>
      </c>
      <c r="F192" s="10">
        <v>24</v>
      </c>
      <c r="G192" s="10">
        <v>13</v>
      </c>
      <c r="H192" s="10">
        <v>24</v>
      </c>
      <c r="I192" s="10">
        <v>25</v>
      </c>
      <c r="J192" s="2"/>
      <c r="K192" s="10">
        <v>62</v>
      </c>
      <c r="L192" s="10">
        <v>59</v>
      </c>
      <c r="M192" s="10">
        <v>55</v>
      </c>
      <c r="N192" s="51">
        <v>57</v>
      </c>
      <c r="O192" s="11">
        <v>62</v>
      </c>
      <c r="P192" s="10"/>
      <c r="Q192" s="40"/>
      <c r="R192" s="2">
        <v>130</v>
      </c>
      <c r="S192" s="10">
        <f>IF(T192="",R192,MAX((R192+$R$8)/$R$2,(T192+$T$8)/$T$2)*$R$2-$R$8)</f>
        <v>149.05562267931867</v>
      </c>
      <c r="T192" s="62">
        <v>221</v>
      </c>
      <c r="U192" s="2">
        <f>IF(A192&lt;&gt;"",SUM(B192:I192),"")</f>
        <v>182</v>
      </c>
      <c r="V192" s="10">
        <f>IF(A192&lt;&gt;"",SUM(J192:O192),"")</f>
        <v>295</v>
      </c>
      <c r="W192" s="10">
        <f>IF(A192&lt;&gt;"",SUM(P192:Q192),"")</f>
        <v>0</v>
      </c>
      <c r="X192" s="10">
        <f>IF(A192&lt;&gt;"",SUM(S192:T192),"")</f>
        <v>370.05562267931867</v>
      </c>
      <c r="Y192" s="12" t="s">
        <v>69</v>
      </c>
      <c r="Z192" s="12">
        <f>IF(A192&lt;&gt;"",SUM(U192:Y192),"")</f>
        <v>847.05562267931873</v>
      </c>
      <c r="AA192" s="27">
        <f>IF(A192&lt;&gt;"",(Z192+Normalize_To_Add)/(Point_Total_So_Far)*100,"")</f>
        <v>92.215235457063713</v>
      </c>
      <c r="AB192" s="10">
        <f>IF(A192&lt;&gt;"",RANK(AA192,All_Student_XC),"")</f>
        <v>56</v>
      </c>
      <c r="AC192" s="31" t="str">
        <f>IF(A192&lt;&gt;"",CHOOSE(10-MIN(9,TRUNC((AA192+0.5)/10)),"A","B","C","D","F","F","F","F","F","F"),"")</f>
        <v>A</v>
      </c>
      <c r="AD192" s="31" t="str">
        <f>IF(A192&lt;&gt;"",IF(OR(AA192+0.5&gt;=93,AA192+0.5&lt;60),"",IF(MOD(AA192+0.5,10)&gt;=7,"+",IF(MOD(AA192+0.5,10)&lt;3,"-",""))),"")</f>
        <v>-</v>
      </c>
      <c r="AE192" s="31">
        <f>IF(A192&lt;&gt;"",SUM(W192:X192,$W$8:$X$8)/SUM($W$2:$X$2)*100,"")</f>
        <v>89.03047091412742</v>
      </c>
      <c r="AF192" s="43" t="str">
        <f>IF(A192&lt;&gt;"",CHOOSE(10-MIN(9,TRUNC((AE192+0.5)/10)),"A","B","C","D","F","F","F","F","F","F"),"")</f>
        <v>B</v>
      </c>
      <c r="AG192" s="43" t="str">
        <f>IF(A192&lt;&gt;"",IF(OR(AE192+0.5&gt;=93,AE192+0.5&lt;60),"",IF(MOD(AE192+0.5,10)&gt;=7,"+",IF(MOD(AE192+0.5,10)&lt;3,"-",""))),"")</f>
        <v>+</v>
      </c>
      <c r="AH192" s="35">
        <f>IF(A192&lt;&gt;"",MIN(MAX(AA192,AE192),AA192+$AH$8,AE192+$AH$8),"")</f>
        <v>92.215235457063713</v>
      </c>
      <c r="AI192" s="31" t="str">
        <f>IF(A192&lt;&gt;"",CHOOSE(10-MIN(9,TRUNC((AH192+0.5)/10)),"A","B","C","D","F","F","F","F","F","F"),"")</f>
        <v>A</v>
      </c>
      <c r="AJ192" s="31" t="str">
        <f>IF(A192&lt;&gt;"",IF(OR(AH192+0.5&gt;=93,AH192+0.5&lt;60),"",IF(MOD(AH192+0.5,10)&gt;=7,"+",IF(MOD(AH192+0.5,10)&lt;3,"-",""))),"")</f>
        <v>-</v>
      </c>
      <c r="AK192" s="31" t="b">
        <f>IF(A192&lt;&gt;"",OR(AI192&lt;&gt;AC192,AJ192&lt;&gt;AD192),"")</f>
        <v>0</v>
      </c>
      <c r="AL192" s="81">
        <f>IF(AND(A192&lt;&gt;"",U192&gt;0),SUM(U192,$AL$8)/$AL$2*100,"")</f>
        <v>91</v>
      </c>
      <c r="AM192" s="24">
        <f>IF(AND(A192&lt;&gt;"",V192&gt;0),SUM(V192,$AM$8)/$AM$2*100,"")</f>
        <v>98.333333333333329</v>
      </c>
      <c r="AN192" s="24" t="str">
        <f>IF(AND(A192&lt;&gt;"",P192&lt;&gt;0),SUM(P192,$AN$8)/$AN$2*100,"")</f>
        <v/>
      </c>
      <c r="AO192" s="24" t="str">
        <f>IF(AND(A192&lt;&gt;"",Q192&lt;&gt;0),SUM(Q192,$AO$8)/$AO$2*100,"")</f>
        <v/>
      </c>
      <c r="AP192" s="24">
        <f>IF(AND(A192&lt;&gt;"",R192&lt;&gt;0),SUM(R192,$AP$8)/$AP$2*100,"")</f>
        <v>79.502659574468083</v>
      </c>
      <c r="AQ192" s="24" t="str">
        <f>IF(AND(A192&lt;&gt;"",W192&gt;0),SUM(W192,$AQ$8)/$AQ$2*100,"")</f>
        <v/>
      </c>
      <c r="AR192" s="24">
        <f>IF(AND(A192&lt;&gt;"",T192&gt;0),SUM(T192,$AR$8)/$AR$2*100,"")</f>
        <v>89.03047091412742</v>
      </c>
      <c r="AS192" s="24">
        <f>IF(AND(A192&lt;&gt;"",X192&lt;&gt;0),SUM(X192,$AS$8)/$AS$2*100,"")</f>
        <v>89.03047091412742</v>
      </c>
      <c r="AT192" s="86">
        <f>IF(A192&lt;&gt;"",SUM(W192:X192,$AT$8)/$AT$2*100,"")</f>
        <v>89.03047091412742</v>
      </c>
      <c r="AU192" s="24">
        <f>AA192</f>
        <v>92.215235457063713</v>
      </c>
      <c r="AV192" s="24"/>
      <c r="AW192" s="27">
        <f>IF(A192&lt;&gt;"",AE192-AA192,"")</f>
        <v>-3.1847645429362927</v>
      </c>
      <c r="AY192" s="27">
        <f>AR192-AP192</f>
        <v>9.5278113396593369</v>
      </c>
      <c r="AZ192" s="27">
        <f>ABS(AY192)</f>
        <v>9.5278113396593369</v>
      </c>
    </row>
    <row r="193" spans="1:52" s="27" customFormat="1" ht="12.75" customHeight="1" x14ac:dyDescent="0.2">
      <c r="A193" s="10">
        <v>506640</v>
      </c>
      <c r="B193" s="2">
        <v>25</v>
      </c>
      <c r="C193" s="10">
        <v>25</v>
      </c>
      <c r="D193" s="10">
        <v>20</v>
      </c>
      <c r="E193" s="10">
        <v>20</v>
      </c>
      <c r="F193" s="10">
        <v>22</v>
      </c>
      <c r="G193" s="10">
        <v>25</v>
      </c>
      <c r="H193" s="10">
        <v>25</v>
      </c>
      <c r="I193" s="10">
        <v>25</v>
      </c>
      <c r="J193" s="2"/>
      <c r="K193" s="10">
        <v>52</v>
      </c>
      <c r="L193" s="10">
        <v>60</v>
      </c>
      <c r="M193" s="10">
        <v>60</v>
      </c>
      <c r="N193" s="51">
        <v>61</v>
      </c>
      <c r="O193" s="11">
        <v>60</v>
      </c>
      <c r="P193" s="10"/>
      <c r="Q193" s="40"/>
      <c r="R193" s="2">
        <v>106</v>
      </c>
      <c r="S193" s="10">
        <f>IF(T193="",R193,MAX((R193+$R$8)/$R$2,(T193+$T$8)/$T$2)*$R$2-$R$8)</f>
        <v>134.38895601265202</v>
      </c>
      <c r="T193" s="12">
        <v>199</v>
      </c>
      <c r="U193" s="34">
        <f>IF(A193&lt;&gt;"",SUM(B193:I193),"")</f>
        <v>187</v>
      </c>
      <c r="V193" s="10">
        <f>IF(A193&lt;&gt;"",SUM(J193:O193),"")</f>
        <v>293</v>
      </c>
      <c r="W193" s="10">
        <f>IF(A193&lt;&gt;"",SUM(P193:Q193),"")</f>
        <v>0</v>
      </c>
      <c r="X193" s="10">
        <f>IF(A193&lt;&gt;"",SUM(S193:T193),"")</f>
        <v>333.38895601265199</v>
      </c>
      <c r="Y193" s="12">
        <v>3</v>
      </c>
      <c r="Z193" s="12">
        <f>IF(A193&lt;&gt;"",SUM(U193:Y193),"")</f>
        <v>816.38895601265199</v>
      </c>
      <c r="AA193" s="27">
        <f>IF(A193&lt;&gt;"",(Z193+Normalize_To_Add)/(Point_Total_So_Far)*100,"")</f>
        <v>89.148568790397036</v>
      </c>
      <c r="AB193" s="10">
        <f>IF(A193&lt;&gt;"",RANK(AA193,All_Student_XC),"")</f>
        <v>90</v>
      </c>
      <c r="AC193" s="31" t="str">
        <f>IF(A193&lt;&gt;"",CHOOSE(10-MIN(9,TRUNC((AA193+0.5)/10)),"A","B","C","D","F","F","F","F","F","F"),"")</f>
        <v>B</v>
      </c>
      <c r="AD193" s="31" t="str">
        <f>IF(A193&lt;&gt;"",IF(OR(AA193+0.5&gt;=93,AA193+0.5&lt;60),"",IF(MOD(AA193+0.5,10)&gt;=7,"+",IF(MOD(AA193+0.5,10)&lt;3,"-",""))),"")</f>
        <v>+</v>
      </c>
      <c r="AE193" s="31">
        <f>IF(A193&lt;&gt;"",SUM(W193:X193,$W$8:$X$8)/SUM($W$2:$X$2)*100,"")</f>
        <v>81.697137580794092</v>
      </c>
      <c r="AF193" s="31" t="str">
        <f>IF(A193&lt;&gt;"",CHOOSE(10-MIN(9,TRUNC((AE193+0.5)/10)),"A","B","C","D","F","F","F","F","F","F"),"")</f>
        <v>B</v>
      </c>
      <c r="AG193" s="31" t="str">
        <f>IF(A193&lt;&gt;"",IF(OR(AE193+0.5&gt;=93,AE193+0.5&lt;60),"",IF(MOD(AE193+0.5,10)&gt;=7,"+",IF(MOD(AE193+0.5,10)&lt;3,"-",""))),"")</f>
        <v>-</v>
      </c>
      <c r="AH193" s="35">
        <f>IF(A193&lt;&gt;"",MIN(MAX(AA193,AE193),AA193+$AH$8,AE193+$AH$8),"")</f>
        <v>89.148568790397036</v>
      </c>
      <c r="AI193" s="31" t="str">
        <f>IF(A193&lt;&gt;"",CHOOSE(10-MIN(9,TRUNC((AH193+0.5)/10)),"A","B","C","D","F","F","F","F","F","F"),"")</f>
        <v>B</v>
      </c>
      <c r="AJ193" s="31" t="str">
        <f>IF(A193&lt;&gt;"",IF(OR(AH193+0.5&gt;=93,AH193+0.5&lt;60),"",IF(MOD(AH193+0.5,10)&gt;=7,"+",IF(MOD(AH193+0.5,10)&lt;3,"-",""))),"")</f>
        <v>+</v>
      </c>
      <c r="AK193" s="31" t="b">
        <f>IF(A193&lt;&gt;"",OR(AI193&lt;&gt;AC193,AJ193&lt;&gt;AD193),"")</f>
        <v>0</v>
      </c>
      <c r="AL193" s="81">
        <f>IF(AND(A193&lt;&gt;"",U193&gt;0),SUM(U193,$AL$8)/$AL$2*100,"")</f>
        <v>93.5</v>
      </c>
      <c r="AM193" s="24">
        <f>IF(AND(A193&lt;&gt;"",V193&gt;0),SUM(V193,$AM$8)/$AM$2*100,"")</f>
        <v>97.666666666666671</v>
      </c>
      <c r="AN193" s="24" t="str">
        <f>IF(AND(A193&lt;&gt;"",P193&lt;&gt;0),SUM(P193,$AN$8)/$AN$2*100,"")</f>
        <v/>
      </c>
      <c r="AO193" s="24" t="str">
        <f>IF(AND(A193&lt;&gt;"",Q193&lt;&gt;0),SUM(Q193,$AO$8)/$AO$2*100,"")</f>
        <v/>
      </c>
      <c r="AP193" s="24">
        <f>IF(AND(A193&lt;&gt;"",R193&lt;&gt;0),SUM(R193,$AP$8)/$AP$2*100,"")</f>
        <v>67.502659574468083</v>
      </c>
      <c r="AQ193" s="24" t="str">
        <f>IF(AND(A193&lt;&gt;"",W193&gt;0),SUM(W193,$AQ$8)/$AQ$2*100,"")</f>
        <v/>
      </c>
      <c r="AR193" s="24">
        <f>IF(AND(A193&lt;&gt;"",T193&gt;0),SUM(T193,$AR$8)/$AR$2*100,"")</f>
        <v>81.697137580794092</v>
      </c>
      <c r="AS193" s="24">
        <f>IF(AND(A193&lt;&gt;"",X193&lt;&gt;0),SUM(X193,$AS$8)/$AS$2*100,"")</f>
        <v>81.697137580794092</v>
      </c>
      <c r="AT193" s="86">
        <f>IF(A193&lt;&gt;"",SUM(W193:X193,$AT$8)/$AT$2*100,"")</f>
        <v>81.697137580794092</v>
      </c>
      <c r="AU193" s="24">
        <f>AA193</f>
        <v>89.148568790397036</v>
      </c>
      <c r="AV193" s="24"/>
      <c r="AW193" s="27">
        <f>IF(A193&lt;&gt;"",AE193-AA193,"")</f>
        <v>-7.4514312096029443</v>
      </c>
      <c r="AY193" s="27">
        <f>AR193-AP193</f>
        <v>14.194478006326008</v>
      </c>
      <c r="AZ193" s="27">
        <f>ABS(AY193)</f>
        <v>14.194478006326008</v>
      </c>
    </row>
    <row r="194" spans="1:52" s="27" customFormat="1" ht="12.75" customHeight="1" x14ac:dyDescent="0.2">
      <c r="A194" s="50">
        <v>508414</v>
      </c>
      <c r="B194" s="2">
        <v>4</v>
      </c>
      <c r="C194" s="50">
        <v>16</v>
      </c>
      <c r="D194" s="10">
        <v>22</v>
      </c>
      <c r="E194" s="10">
        <v>23</v>
      </c>
      <c r="F194" s="10">
        <v>12</v>
      </c>
      <c r="G194" s="10">
        <v>10</v>
      </c>
      <c r="H194" s="10" t="s">
        <v>69</v>
      </c>
      <c r="I194" s="10" t="s">
        <v>69</v>
      </c>
      <c r="J194" s="2"/>
      <c r="K194" s="10">
        <v>14</v>
      </c>
      <c r="L194" s="10">
        <v>2</v>
      </c>
      <c r="M194" s="10" t="s">
        <v>69</v>
      </c>
      <c r="N194" s="51" t="s">
        <v>69</v>
      </c>
      <c r="O194" s="11" t="s">
        <v>69</v>
      </c>
      <c r="P194" s="10"/>
      <c r="Q194" s="40"/>
      <c r="R194" s="2">
        <v>111</v>
      </c>
      <c r="S194" s="10">
        <f>IF(T194="",R194,MAX((R194+$R$8)/$R$2,(T194+$T$8)/$T$2)*$R$2-$R$8)</f>
        <v>111</v>
      </c>
      <c r="T194" s="62" t="s">
        <v>69</v>
      </c>
      <c r="U194" s="10">
        <f>IF(A194&lt;&gt;"",SUM(B194:I194),"")</f>
        <v>87</v>
      </c>
      <c r="V194" s="10">
        <f>IF(A194&lt;&gt;"",SUM(J194:O194),"")</f>
        <v>16</v>
      </c>
      <c r="W194" s="10">
        <f>IF(A194&lt;&gt;"",SUM(P194:Q194),"")</f>
        <v>0</v>
      </c>
      <c r="X194" s="10">
        <f>IF(A194&lt;&gt;"",SUM(S194:T194),"")</f>
        <v>111</v>
      </c>
      <c r="Y194" s="12" t="s">
        <v>69</v>
      </c>
      <c r="Z194" s="12">
        <f>IF(A194&lt;&gt;"",SUM(U194:Y194),"")</f>
        <v>214</v>
      </c>
      <c r="AA194" s="27">
        <f>IF(A194&lt;&gt;"",(Z194+Normalize_To_Add)/(Point_Total_So_Far)*100,"")</f>
        <v>28.909673189131841</v>
      </c>
      <c r="AB194" s="10">
        <f>IF(A194&lt;&gt;"",RANK(AA194,All_Student_XC),"")</f>
        <v>372</v>
      </c>
      <c r="AC194" s="31" t="str">
        <f>IF(A194&lt;&gt;"",CHOOSE(10-MIN(9,TRUNC((AA194+0.5)/10)),"A","B","C","D","F","F","F","F","F","F"),"")</f>
        <v>F</v>
      </c>
      <c r="AD194" s="31" t="str">
        <f>IF(A194&lt;&gt;"",IF(OR(AA194+0.5&gt;=93,AA194+0.5&lt;60),"",IF(MOD(AA194+0.5,10)&gt;=7,"+",IF(MOD(AA194+0.5,10)&lt;3,"-",""))),"")</f>
        <v/>
      </c>
      <c r="AE194" s="31">
        <f>IF(A194&lt;&gt;"",SUM(W194:X194,$W$8:$X$8)/SUM($W$2:$X$2)*100,"")</f>
        <v>37.219346378263687</v>
      </c>
      <c r="AF194" s="43" t="str">
        <f>IF(A194&lt;&gt;"",CHOOSE(10-MIN(9,TRUNC((AE194+0.5)/10)),"A","B","C","D","F","F","F","F","F","F"),"")</f>
        <v>F</v>
      </c>
      <c r="AG194" s="43" t="str">
        <f>IF(A194&lt;&gt;"",IF(OR(AE194+0.5&gt;=93,AE194+0.5&lt;60),"",IF(MOD(AE194+0.5,10)&gt;=7,"+",IF(MOD(AE194+0.5,10)&lt;3,"-",""))),"")</f>
        <v/>
      </c>
      <c r="AH194" s="35">
        <f>IF(A194&lt;&gt;"",MIN(MAX(AA194,AE194),AA194+$AH$8,AE194+$AH$8),"")</f>
        <v>37.219346378263687</v>
      </c>
      <c r="AI194" s="31" t="str">
        <f>IF(A194&lt;&gt;"",CHOOSE(10-MIN(9,TRUNC((AH194+0.5)/10)),"A","B","C","D","F","F","F","F","F","F"),"")</f>
        <v>F</v>
      </c>
      <c r="AJ194" s="31" t="str">
        <f>IF(A194&lt;&gt;"",IF(OR(AH194+0.5&gt;=93,AH194+0.5&lt;60),"",IF(MOD(AH194+0.5,10)&gt;=7,"+",IF(MOD(AH194+0.5,10)&lt;3,"-",""))),"")</f>
        <v/>
      </c>
      <c r="AK194" s="31" t="b">
        <f>IF(A194&lt;&gt;"",OR(AI194&lt;&gt;AC194,AJ194&lt;&gt;AD194),"")</f>
        <v>0</v>
      </c>
      <c r="AL194" s="81">
        <f>IF(AND(A194&lt;&gt;"",U194&gt;0),SUM(U194,$AL$8)/$AL$2*100,"")</f>
        <v>43.5</v>
      </c>
      <c r="AM194" s="24">
        <f>IF(AND(A194&lt;&gt;"",V194&gt;0),SUM(V194,$AM$8)/$AM$2*100,"")</f>
        <v>5.3333333333333339</v>
      </c>
      <c r="AN194" s="24" t="str">
        <f>IF(AND(A194&lt;&gt;"",P194&lt;&gt;0),SUM(P194,$AN$8)/$AN$2*100,"")</f>
        <v/>
      </c>
      <c r="AO194" s="24" t="str">
        <f>IF(AND(A194&lt;&gt;"",Q194&lt;&gt;0),SUM(Q194,$AO$8)/$AO$2*100,"")</f>
        <v/>
      </c>
      <c r="AP194" s="24">
        <f>IF(AND(A194&lt;&gt;"",R194&lt;&gt;0),SUM(R194,$AP$8)/$AP$2*100,"")</f>
        <v>70.002659574468083</v>
      </c>
      <c r="AQ194" s="24" t="str">
        <f>IF(AND(A194&lt;&gt;"",W194&gt;0),SUM(W194,$AQ$8)/$AQ$2*100,"")</f>
        <v/>
      </c>
      <c r="AR194" s="24">
        <f>IF(AND(A194&lt;&gt;"",T194&gt;0),SUM(T194,$AR$8)/$AR$2*100,"")</f>
        <v>15.363804247460756</v>
      </c>
      <c r="AS194" s="24">
        <f>IF(AND(A194&lt;&gt;"",X194&lt;&gt;0),SUM(X194,$AS$8)/$AS$2*100,"")</f>
        <v>37.219346378263687</v>
      </c>
      <c r="AT194" s="86">
        <f>IF(A194&lt;&gt;"",SUM(W194:X194,$AT$8)/$AT$2*100,"")</f>
        <v>37.219346378263687</v>
      </c>
      <c r="AU194" s="24">
        <f>AA194</f>
        <v>28.909673189131841</v>
      </c>
      <c r="AV194" s="24"/>
      <c r="AW194" s="27">
        <f>IF(A194&lt;&gt;"",AE194-AA194,"")</f>
        <v>8.3096731891318463</v>
      </c>
      <c r="AY194" s="27">
        <f>AR194-AP194</f>
        <v>-54.638855327007327</v>
      </c>
      <c r="AZ194" s="27">
        <f>ABS(AY194)</f>
        <v>54.638855327007327</v>
      </c>
    </row>
    <row r="195" spans="1:52" s="27" customFormat="1" ht="12.75" customHeight="1" x14ac:dyDescent="0.2">
      <c r="A195" s="50">
        <v>509108</v>
      </c>
      <c r="B195" s="2">
        <v>13</v>
      </c>
      <c r="C195" s="10">
        <v>25</v>
      </c>
      <c r="D195" s="10">
        <v>23</v>
      </c>
      <c r="E195" s="10">
        <v>22</v>
      </c>
      <c r="F195" s="10">
        <v>20</v>
      </c>
      <c r="G195" s="10">
        <v>25</v>
      </c>
      <c r="H195" s="10">
        <v>11</v>
      </c>
      <c r="I195" s="10">
        <v>25</v>
      </c>
      <c r="J195" s="2"/>
      <c r="K195" s="10">
        <v>62</v>
      </c>
      <c r="L195" s="10">
        <v>59</v>
      </c>
      <c r="M195" s="10">
        <v>56</v>
      </c>
      <c r="N195" s="51">
        <v>57</v>
      </c>
      <c r="O195" s="11">
        <v>55</v>
      </c>
      <c r="P195" s="10"/>
      <c r="Q195" s="40"/>
      <c r="R195" s="2">
        <v>124</v>
      </c>
      <c r="S195" s="10">
        <f>IF(T195="",R195,MAX((R195+$R$8)/$R$2,(T195+$T$8)/$T$2)*$R$2-$R$8)</f>
        <v>124</v>
      </c>
      <c r="T195" s="12">
        <v>183</v>
      </c>
      <c r="U195" s="7">
        <f>IF(A195&lt;&gt;"",SUM(B195:I195),"")</f>
        <v>164</v>
      </c>
      <c r="V195" s="10">
        <f>IF(A195&lt;&gt;"",SUM(J195:O195),"")</f>
        <v>289</v>
      </c>
      <c r="W195" s="10">
        <f>IF(A195&lt;&gt;"",SUM(P195:Q195),"")</f>
        <v>0</v>
      </c>
      <c r="X195" s="10">
        <f>IF(A195&lt;&gt;"",SUM(S195:T195),"")</f>
        <v>307</v>
      </c>
      <c r="Y195" s="12">
        <v>3</v>
      </c>
      <c r="Z195" s="12">
        <f>IF(A195&lt;&gt;"",SUM(U195:Y195),"")</f>
        <v>763</v>
      </c>
      <c r="AA195" s="27">
        <f>IF(A195&lt;&gt;"",(Z195+Normalize_To_Add)/(Point_Total_So_Far)*100,"")</f>
        <v>83.809673189131843</v>
      </c>
      <c r="AB195" s="10">
        <f>IF(A195&lt;&gt;"",RANK(AA195,All_Student_XC),"")</f>
        <v>169</v>
      </c>
      <c r="AC195" s="31" t="str">
        <f>IF(A195&lt;&gt;"",CHOOSE(10-MIN(9,TRUNC((AA195+0.5)/10)),"A","B","C","D","F","F","F","F","F","F"),"")</f>
        <v>B</v>
      </c>
      <c r="AD195" s="31" t="str">
        <f>IF(A195&lt;&gt;"",IF(OR(AA195+0.5&gt;=93,AA195+0.5&lt;60),"",IF(MOD(AA195+0.5,10)&gt;=7,"+",IF(MOD(AA195+0.5,10)&lt;3,"-",""))),"")</f>
        <v/>
      </c>
      <c r="AE195" s="31">
        <f>IF(A195&lt;&gt;"",SUM(W195:X195,$W$8:$X$8)/SUM($W$2:$X$2)*100,"")</f>
        <v>76.419346378263683</v>
      </c>
      <c r="AF195" s="31" t="str">
        <f>IF(A195&lt;&gt;"",CHOOSE(10-MIN(9,TRUNC((AE195+0.5)/10)),"A","B","C","D","F","F","F","F","F","F"),"")</f>
        <v>C</v>
      </c>
      <c r="AG195" s="31" t="str">
        <f>IF(A195&lt;&gt;"",IF(OR(AE195+0.5&gt;=93,AE195+0.5&lt;60),"",IF(MOD(AE195+0.5,10)&gt;=7,"+",IF(MOD(AE195+0.5,10)&lt;3,"-",""))),"")</f>
        <v/>
      </c>
      <c r="AH195" s="35">
        <f>IF(A195&lt;&gt;"",MIN(MAX(AA195,AE195),AA195+$AH$8,AE195+$AH$8),"")</f>
        <v>83.809673189131843</v>
      </c>
      <c r="AI195" s="31" t="str">
        <f>IF(A195&lt;&gt;"",CHOOSE(10-MIN(9,TRUNC((AH195+0.5)/10)),"A","B","C","D","F","F","F","F","F","F"),"")</f>
        <v>B</v>
      </c>
      <c r="AJ195" s="31" t="str">
        <f>IF(A195&lt;&gt;"",IF(OR(AH195+0.5&gt;=93,AH195+0.5&lt;60),"",IF(MOD(AH195+0.5,10)&gt;=7,"+",IF(MOD(AH195+0.5,10)&lt;3,"-",""))),"")</f>
        <v/>
      </c>
      <c r="AK195" s="31" t="b">
        <f>IF(A195&lt;&gt;"",OR(AI195&lt;&gt;AC195,AJ195&lt;&gt;AD195),"")</f>
        <v>0</v>
      </c>
      <c r="AL195" s="81">
        <f>IF(AND(A195&lt;&gt;"",U195&gt;0),SUM(U195,$AL$8)/$AL$2*100,"")</f>
        <v>82</v>
      </c>
      <c r="AM195" s="24">
        <f>IF(AND(A195&lt;&gt;"",V195&gt;0),SUM(V195,$AM$8)/$AM$2*100,"")</f>
        <v>96.333333333333343</v>
      </c>
      <c r="AN195" s="24" t="str">
        <f>IF(AND(A195&lt;&gt;"",P195&lt;&gt;0),SUM(P195,$AN$8)/$AN$2*100,"")</f>
        <v/>
      </c>
      <c r="AO195" s="24" t="str">
        <f>IF(AND(A195&lt;&gt;"",Q195&lt;&gt;0),SUM(Q195,$AO$8)/$AO$2*100,"")</f>
        <v/>
      </c>
      <c r="AP195" s="24">
        <f>IF(AND(A195&lt;&gt;"",R195&lt;&gt;0),SUM(R195,$AP$8)/$AP$2*100,"")</f>
        <v>76.502659574468083</v>
      </c>
      <c r="AQ195" s="24" t="str">
        <f>IF(AND(A195&lt;&gt;"",W195&gt;0),SUM(W195,$AQ$8)/$AQ$2*100,"")</f>
        <v/>
      </c>
      <c r="AR195" s="24">
        <f>IF(AND(A195&lt;&gt;"",T195&gt;0),SUM(T195,$AR$8)/$AR$2*100,"")</f>
        <v>76.363804247460749</v>
      </c>
      <c r="AS195" s="24">
        <f>IF(AND(A195&lt;&gt;"",X195&lt;&gt;0),SUM(X195,$AS$8)/$AS$2*100,"")</f>
        <v>76.419346378263683</v>
      </c>
      <c r="AT195" s="86">
        <f>IF(A195&lt;&gt;"",SUM(W195:X195,$AT$8)/$AT$2*100,"")</f>
        <v>76.419346378263683</v>
      </c>
      <c r="AU195" s="24">
        <f>AA195</f>
        <v>83.809673189131843</v>
      </c>
      <c r="AV195" s="24"/>
      <c r="AW195" s="27">
        <f>IF(A195&lt;&gt;"",AE195-AA195,"")</f>
        <v>-7.3903268108681601</v>
      </c>
      <c r="AY195" s="27">
        <f>AR195-AP195</f>
        <v>-0.13885532700733449</v>
      </c>
      <c r="AZ195" s="27">
        <f>ABS(AY195)</f>
        <v>0.13885532700733449</v>
      </c>
    </row>
    <row r="196" spans="1:52" s="27" customFormat="1" ht="12.75" customHeight="1" x14ac:dyDescent="0.2">
      <c r="A196" s="50">
        <v>509554</v>
      </c>
      <c r="B196" s="2">
        <v>25</v>
      </c>
      <c r="C196" s="50">
        <v>25</v>
      </c>
      <c r="D196" s="10" t="s">
        <v>69</v>
      </c>
      <c r="E196" s="10">
        <v>25</v>
      </c>
      <c r="F196" s="10">
        <v>21</v>
      </c>
      <c r="G196" s="10">
        <v>16</v>
      </c>
      <c r="H196" s="10">
        <v>14</v>
      </c>
      <c r="I196" s="10">
        <v>25</v>
      </c>
      <c r="J196" s="2"/>
      <c r="K196" s="10">
        <v>58</v>
      </c>
      <c r="L196" s="10">
        <v>61</v>
      </c>
      <c r="M196" s="10">
        <v>19</v>
      </c>
      <c r="N196" s="51">
        <v>32</v>
      </c>
      <c r="O196" s="11">
        <v>60</v>
      </c>
      <c r="P196" s="10"/>
      <c r="Q196" s="40"/>
      <c r="R196" s="2">
        <v>73</v>
      </c>
      <c r="S196" s="10">
        <f>IF(T196="",R196,MAX((R196+$R$8)/$R$2,(T196+$T$8)/$T$2)*$R$2-$R$8)</f>
        <v>101.05562267931867</v>
      </c>
      <c r="T196" s="62">
        <v>149</v>
      </c>
      <c r="U196" s="10">
        <f>IF(A196&lt;&gt;"",SUM(B196:I196),"")</f>
        <v>151</v>
      </c>
      <c r="V196" s="10">
        <f>IF(A196&lt;&gt;"",SUM(J196:O196),"")</f>
        <v>230</v>
      </c>
      <c r="W196" s="10">
        <f>IF(A196&lt;&gt;"",SUM(P196:Q196),"")</f>
        <v>0</v>
      </c>
      <c r="X196" s="10">
        <f>IF(A196&lt;&gt;"",SUM(S196:T196),"")</f>
        <v>250.05562267931867</v>
      </c>
      <c r="Y196" s="12" t="s">
        <v>69</v>
      </c>
      <c r="Z196" s="12">
        <f>IF(A196&lt;&gt;"",SUM(U196:Y196),"")</f>
        <v>631.05562267931873</v>
      </c>
      <c r="AA196" s="27">
        <f>IF(A196&lt;&gt;"",(Z196+Normalize_To_Add)/(Point_Total_So_Far)*100,"")</f>
        <v>70.615235457063719</v>
      </c>
      <c r="AB196" s="10">
        <f>IF(A196&lt;&gt;"",RANK(AA196,All_Student_XC),"")</f>
        <v>307</v>
      </c>
      <c r="AC196" s="31" t="str">
        <f>IF(A196&lt;&gt;"",CHOOSE(10-MIN(9,TRUNC((AA196+0.5)/10)),"A","B","C","D","F","F","F","F","F","F"),"")</f>
        <v>C</v>
      </c>
      <c r="AD196" s="31" t="str">
        <f>IF(A196&lt;&gt;"",IF(OR(AA196+0.5&gt;=93,AA196+0.5&lt;60),"",IF(MOD(AA196+0.5,10)&gt;=7,"+",IF(MOD(AA196+0.5,10)&lt;3,"-",""))),"")</f>
        <v>-</v>
      </c>
      <c r="AE196" s="31">
        <f>IF(A196&lt;&gt;"",SUM(W196:X196,$W$8:$X$8)/SUM($W$2:$X$2)*100,"")</f>
        <v>65.03047091412742</v>
      </c>
      <c r="AF196" s="43" t="str">
        <f>IF(A196&lt;&gt;"",CHOOSE(10-MIN(9,TRUNC((AE196+0.5)/10)),"A","B","C","D","F","F","F","F","F","F"),"")</f>
        <v>D</v>
      </c>
      <c r="AG196" s="43" t="str">
        <f>IF(A196&lt;&gt;"",IF(OR(AE196+0.5&gt;=93,AE196+0.5&lt;60),"",IF(MOD(AE196+0.5,10)&gt;=7,"+",IF(MOD(AE196+0.5,10)&lt;3,"-",""))),"")</f>
        <v/>
      </c>
      <c r="AH196" s="35">
        <f>IF(A196&lt;&gt;"",MIN(MAX(AA196,AE196),AA196+$AH$8,AE196+$AH$8),"")</f>
        <v>70.615235457063719</v>
      </c>
      <c r="AI196" s="31" t="str">
        <f>IF(A196&lt;&gt;"",CHOOSE(10-MIN(9,TRUNC((AH196+0.5)/10)),"A","B","C","D","F","F","F","F","F","F"),"")</f>
        <v>C</v>
      </c>
      <c r="AJ196" s="31" t="str">
        <f>IF(A196&lt;&gt;"",IF(OR(AH196+0.5&gt;=93,AH196+0.5&lt;60),"",IF(MOD(AH196+0.5,10)&gt;=7,"+",IF(MOD(AH196+0.5,10)&lt;3,"-",""))),"")</f>
        <v>-</v>
      </c>
      <c r="AK196" s="31" t="b">
        <f>IF(A196&lt;&gt;"",OR(AI196&lt;&gt;AC196,AJ196&lt;&gt;AD196),"")</f>
        <v>0</v>
      </c>
      <c r="AL196" s="81">
        <f>IF(AND(A196&lt;&gt;"",U196&gt;0),SUM(U196,$AL$8)/$AL$2*100,"")</f>
        <v>75.5</v>
      </c>
      <c r="AM196" s="24">
        <f>IF(AND(A196&lt;&gt;"",V196&gt;0),SUM(V196,$AM$8)/$AM$2*100,"")</f>
        <v>76.666666666666671</v>
      </c>
      <c r="AN196" s="24" t="str">
        <f>IF(AND(A196&lt;&gt;"",P196&lt;&gt;0),SUM(P196,$AN$8)/$AN$2*100,"")</f>
        <v/>
      </c>
      <c r="AO196" s="24" t="str">
        <f>IF(AND(A196&lt;&gt;"",Q196&lt;&gt;0),SUM(Q196,$AO$8)/$AO$2*100,"")</f>
        <v/>
      </c>
      <c r="AP196" s="24">
        <f>IF(AND(A196&lt;&gt;"",R196&lt;&gt;0),SUM(R196,$AP$8)/$AP$2*100,"")</f>
        <v>51.002659574468076</v>
      </c>
      <c r="AQ196" s="24" t="str">
        <f>IF(AND(A196&lt;&gt;"",W196&gt;0),SUM(W196,$AQ$8)/$AQ$2*100,"")</f>
        <v/>
      </c>
      <c r="AR196" s="24">
        <f>IF(AND(A196&lt;&gt;"",T196&gt;0),SUM(T196,$AR$8)/$AR$2*100,"")</f>
        <v>65.03047091412742</v>
      </c>
      <c r="AS196" s="24">
        <f>IF(AND(A196&lt;&gt;"",X196&lt;&gt;0),SUM(X196,$AS$8)/$AS$2*100,"")</f>
        <v>65.03047091412742</v>
      </c>
      <c r="AT196" s="86">
        <f>IF(A196&lt;&gt;"",SUM(W196:X196,$AT$8)/$AT$2*100,"")</f>
        <v>65.03047091412742</v>
      </c>
      <c r="AU196" s="24">
        <f>AA196</f>
        <v>70.615235457063719</v>
      </c>
      <c r="AV196" s="24"/>
      <c r="AW196" s="27">
        <f>IF(A196&lt;&gt;"",AE196-AA196,"")</f>
        <v>-5.5847645429362984</v>
      </c>
      <c r="AY196" s="27">
        <f>AR196-AP196</f>
        <v>14.027811339659344</v>
      </c>
      <c r="AZ196" s="27">
        <f>ABS(AY196)</f>
        <v>14.027811339659344</v>
      </c>
    </row>
    <row r="197" spans="1:52" s="27" customFormat="1" ht="12.75" customHeight="1" x14ac:dyDescent="0.2">
      <c r="A197" s="10">
        <v>511402</v>
      </c>
      <c r="B197" s="2">
        <v>25</v>
      </c>
      <c r="C197" s="10">
        <v>22</v>
      </c>
      <c r="D197" s="10">
        <v>22</v>
      </c>
      <c r="E197" s="10">
        <v>15</v>
      </c>
      <c r="F197" s="10">
        <v>22</v>
      </c>
      <c r="G197" s="10">
        <v>25</v>
      </c>
      <c r="H197" s="10">
        <v>25</v>
      </c>
      <c r="I197" s="10">
        <v>19</v>
      </c>
      <c r="J197" s="2"/>
      <c r="K197" s="10">
        <v>56</v>
      </c>
      <c r="L197" s="10">
        <v>60</v>
      </c>
      <c r="M197" s="10">
        <v>58</v>
      </c>
      <c r="N197" s="51">
        <v>56</v>
      </c>
      <c r="O197" s="11">
        <v>45</v>
      </c>
      <c r="P197" s="10"/>
      <c r="Q197" s="40"/>
      <c r="R197" s="2">
        <v>84</v>
      </c>
      <c r="S197" s="10">
        <f>IF(T197="",R197,MAX((R197+$R$8)/$R$2,(T197+$T$8)/$T$2)*$R$2-$R$8)</f>
        <v>98.388956012652002</v>
      </c>
      <c r="T197" s="12">
        <v>145</v>
      </c>
      <c r="U197" s="34">
        <f>IF(A197&lt;&gt;"",SUM(B197:I197),"")</f>
        <v>175</v>
      </c>
      <c r="V197" s="10">
        <f>IF(A197&lt;&gt;"",SUM(J197:O197),"")</f>
        <v>275</v>
      </c>
      <c r="W197" s="10">
        <f>IF(A197&lt;&gt;"",SUM(P197:Q197),"")</f>
        <v>0</v>
      </c>
      <c r="X197" s="10">
        <f>IF(A197&lt;&gt;"",SUM(S197:T197),"")</f>
        <v>243.38895601265199</v>
      </c>
      <c r="Y197" s="12" t="s">
        <v>69</v>
      </c>
      <c r="Z197" s="12">
        <f>IF(A197&lt;&gt;"",SUM(U197:Y197),"")</f>
        <v>693.38895601265199</v>
      </c>
      <c r="AA197" s="27">
        <f>IF(A197&lt;&gt;"",(Z197+Normalize_To_Add)/(Point_Total_So_Far)*100,"")</f>
        <v>76.848568790397039</v>
      </c>
      <c r="AB197" s="10">
        <f>IF(A197&lt;&gt;"",RANK(AA197,All_Student_XC),"")</f>
        <v>256</v>
      </c>
      <c r="AC197" s="31" t="str">
        <f>IF(A197&lt;&gt;"",CHOOSE(10-MIN(9,TRUNC((AA197+0.5)/10)),"A","B","C","D","F","F","F","F","F","F"),"")</f>
        <v>C</v>
      </c>
      <c r="AD197" s="31" t="str">
        <f>IF(A197&lt;&gt;"",IF(OR(AA197+0.5&gt;=93,AA197+0.5&lt;60),"",IF(MOD(AA197+0.5,10)&gt;=7,"+",IF(MOD(AA197+0.5,10)&lt;3,"-",""))),"")</f>
        <v>+</v>
      </c>
      <c r="AE197" s="31">
        <f>IF(A197&lt;&gt;"",SUM(W197:X197,$W$8:$X$8)/SUM($W$2:$X$2)*100,"")</f>
        <v>63.697137580794084</v>
      </c>
      <c r="AF197" s="31" t="str">
        <f>IF(A197&lt;&gt;"",CHOOSE(10-MIN(9,TRUNC((AE197+0.5)/10)),"A","B","C","D","F","F","F","F","F","F"),"")</f>
        <v>D</v>
      </c>
      <c r="AG197" s="31" t="str">
        <f>IF(A197&lt;&gt;"",IF(OR(AE197+0.5&gt;=93,AE197+0.5&lt;60),"",IF(MOD(AE197+0.5,10)&gt;=7,"+",IF(MOD(AE197+0.5,10)&lt;3,"-",""))),"")</f>
        <v/>
      </c>
      <c r="AH197" s="35">
        <f>IF(A197&lt;&gt;"",MIN(MAX(AA197,AE197),AA197+$AH$8,AE197+$AH$8),"")</f>
        <v>76.848568790397039</v>
      </c>
      <c r="AI197" s="31" t="str">
        <f>IF(A197&lt;&gt;"",CHOOSE(10-MIN(9,TRUNC((AH197+0.5)/10)),"A","B","C","D","F","F","F","F","F","F"),"")</f>
        <v>C</v>
      </c>
      <c r="AJ197" s="31" t="str">
        <f>IF(A197&lt;&gt;"",IF(OR(AH197+0.5&gt;=93,AH197+0.5&lt;60),"",IF(MOD(AH197+0.5,10)&gt;=7,"+",IF(MOD(AH197+0.5,10)&lt;3,"-",""))),"")</f>
        <v>+</v>
      </c>
      <c r="AK197" s="31" t="b">
        <f>IF(A197&lt;&gt;"",OR(AI197&lt;&gt;AC197,AJ197&lt;&gt;AD197),"")</f>
        <v>0</v>
      </c>
      <c r="AL197" s="81">
        <f>IF(AND(A197&lt;&gt;"",U197&gt;0),SUM(U197,$AL$8)/$AL$2*100,"")</f>
        <v>87.5</v>
      </c>
      <c r="AM197" s="24">
        <f>IF(AND(A197&lt;&gt;"",V197&gt;0),SUM(V197,$AM$8)/$AM$2*100,"")</f>
        <v>91.666666666666657</v>
      </c>
      <c r="AN197" s="24" t="str">
        <f>IF(AND(A197&lt;&gt;"",P197&lt;&gt;0),SUM(P197,$AN$8)/$AN$2*100,"")</f>
        <v/>
      </c>
      <c r="AO197" s="24" t="str">
        <f>IF(AND(A197&lt;&gt;"",Q197&lt;&gt;0),SUM(Q197,$AO$8)/$AO$2*100,"")</f>
        <v/>
      </c>
      <c r="AP197" s="24">
        <f>IF(AND(A197&lt;&gt;"",R197&lt;&gt;0),SUM(R197,$AP$8)/$AP$2*100,"")</f>
        <v>56.502659574468083</v>
      </c>
      <c r="AQ197" s="24" t="str">
        <f>IF(AND(A197&lt;&gt;"",W197&gt;0),SUM(W197,$AQ$8)/$AQ$2*100,"")</f>
        <v/>
      </c>
      <c r="AR197" s="24">
        <f>IF(AND(A197&lt;&gt;"",T197&gt;0),SUM(T197,$AR$8)/$AR$2*100,"")</f>
        <v>63.697137580794084</v>
      </c>
      <c r="AS197" s="24">
        <f>IF(AND(A197&lt;&gt;"",X197&lt;&gt;0),SUM(X197,$AS$8)/$AS$2*100,"")</f>
        <v>63.697137580794084</v>
      </c>
      <c r="AT197" s="86">
        <f>IF(A197&lt;&gt;"",SUM(W197:X197,$AT$8)/$AT$2*100,"")</f>
        <v>63.697137580794084</v>
      </c>
      <c r="AU197" s="24">
        <f>AA197</f>
        <v>76.848568790397039</v>
      </c>
      <c r="AV197" s="24"/>
      <c r="AW197" s="27">
        <f>IF(A197&lt;&gt;"",AE197-AA197,"")</f>
        <v>-13.151431209602954</v>
      </c>
      <c r="AY197" s="27">
        <f>AR197-AP197</f>
        <v>7.1944780063260012</v>
      </c>
      <c r="AZ197" s="27">
        <f>ABS(AY197)</f>
        <v>7.1944780063260012</v>
      </c>
    </row>
    <row r="198" spans="1:52" s="27" customFormat="1" ht="12.75" customHeight="1" x14ac:dyDescent="0.2">
      <c r="A198" s="10">
        <v>514690</v>
      </c>
      <c r="B198" s="2">
        <v>3</v>
      </c>
      <c r="C198" s="10">
        <v>22</v>
      </c>
      <c r="D198" s="10">
        <v>21</v>
      </c>
      <c r="E198" s="10">
        <v>18</v>
      </c>
      <c r="F198" s="10">
        <v>23</v>
      </c>
      <c r="G198" s="10">
        <v>16</v>
      </c>
      <c r="H198" s="10" t="s">
        <v>69</v>
      </c>
      <c r="I198" s="10" t="s">
        <v>69</v>
      </c>
      <c r="J198" s="2"/>
      <c r="K198" s="10">
        <v>47</v>
      </c>
      <c r="L198" s="10">
        <v>36</v>
      </c>
      <c r="M198" s="10">
        <v>33</v>
      </c>
      <c r="N198" s="51" t="s">
        <v>69</v>
      </c>
      <c r="O198" s="11" t="s">
        <v>69</v>
      </c>
      <c r="P198" s="10"/>
      <c r="Q198" s="40"/>
      <c r="R198" s="2">
        <v>118</v>
      </c>
      <c r="S198" s="10">
        <f>IF(T198="",R198,MAX((R198+$R$8)/$R$2,(T198+$T$8)/$T$2)*$R$2-$R$8)</f>
        <v>118</v>
      </c>
      <c r="T198" s="12" t="s">
        <v>69</v>
      </c>
      <c r="U198" s="34">
        <f>IF(A198&lt;&gt;"",SUM(B198:I198),"")</f>
        <v>103</v>
      </c>
      <c r="V198" s="10">
        <f>IF(A198&lt;&gt;"",SUM(J198:O198),"")</f>
        <v>116</v>
      </c>
      <c r="W198" s="10">
        <f>IF(A198&lt;&gt;"",SUM(P198:Q198),"")</f>
        <v>0</v>
      </c>
      <c r="X198" s="10">
        <f>IF(A198&lt;&gt;"",SUM(S198:T198),"")</f>
        <v>118</v>
      </c>
      <c r="Y198" s="12" t="s">
        <v>69</v>
      </c>
      <c r="Z198" s="12">
        <f>IF(A198&lt;&gt;"",SUM(U198:Y198),"")</f>
        <v>337</v>
      </c>
      <c r="AA198" s="27">
        <f>IF(A198&lt;&gt;"",(Z198+Normalize_To_Add)/(Point_Total_So_Far)*100,"")</f>
        <v>41.209673189131841</v>
      </c>
      <c r="AB198" s="10">
        <f>IF(A198&lt;&gt;"",RANK(AA198,All_Student_XC),"")</f>
        <v>364</v>
      </c>
      <c r="AC198" s="31" t="str">
        <f>IF(A198&lt;&gt;"",CHOOSE(10-MIN(9,TRUNC((AA198+0.5)/10)),"A","B","C","D","F","F","F","F","F","F"),"")</f>
        <v>F</v>
      </c>
      <c r="AD198" s="31" t="str">
        <f>IF(A198&lt;&gt;"",IF(OR(AA198+0.5&gt;=93,AA198+0.5&lt;60),"",IF(MOD(AA198+0.5,10)&gt;=7,"+",IF(MOD(AA198+0.5,10)&lt;3,"-",""))),"")</f>
        <v/>
      </c>
      <c r="AE198" s="31">
        <f>IF(A198&lt;&gt;"",SUM(W198:X198,$W$8:$X$8)/SUM($W$2:$X$2)*100,"")</f>
        <v>38.619346378263685</v>
      </c>
      <c r="AF198" s="31" t="str">
        <f>IF(A198&lt;&gt;"",CHOOSE(10-MIN(9,TRUNC((AE198+0.5)/10)),"A","B","C","D","F","F","F","F","F","F"),"")</f>
        <v>F</v>
      </c>
      <c r="AG198" s="31" t="str">
        <f>IF(A198&lt;&gt;"",IF(OR(AE198+0.5&gt;=93,AE198+0.5&lt;60),"",IF(MOD(AE198+0.5,10)&gt;=7,"+",IF(MOD(AE198+0.5,10)&lt;3,"-",""))),"")</f>
        <v/>
      </c>
      <c r="AH198" s="35">
        <f>IF(A198&lt;&gt;"",MIN(MAX(AA198,AE198),AA198+$AH$8,AE198+$AH$8),"")</f>
        <v>41.209673189131841</v>
      </c>
      <c r="AI198" s="31" t="str">
        <f>IF(A198&lt;&gt;"",CHOOSE(10-MIN(9,TRUNC((AH198+0.5)/10)),"A","B","C","D","F","F","F","F","F","F"),"")</f>
        <v>F</v>
      </c>
      <c r="AJ198" s="31" t="str">
        <f>IF(A198&lt;&gt;"",IF(OR(AH198+0.5&gt;=93,AH198+0.5&lt;60),"",IF(MOD(AH198+0.5,10)&gt;=7,"+",IF(MOD(AH198+0.5,10)&lt;3,"-",""))),"")</f>
        <v/>
      </c>
      <c r="AK198" s="31" t="b">
        <f>IF(A198&lt;&gt;"",OR(AI198&lt;&gt;AC198,AJ198&lt;&gt;AD198),"")</f>
        <v>0</v>
      </c>
      <c r="AL198" s="81">
        <f>IF(AND(A198&lt;&gt;"",U198&gt;0),SUM(U198,$AL$8)/$AL$2*100,"")</f>
        <v>51.5</v>
      </c>
      <c r="AM198" s="24">
        <f>IF(AND(A198&lt;&gt;"",V198&gt;0),SUM(V198,$AM$8)/$AM$2*100,"")</f>
        <v>38.666666666666664</v>
      </c>
      <c r="AN198" s="24" t="str">
        <f>IF(AND(A198&lt;&gt;"",P198&lt;&gt;0),SUM(P198,$AN$8)/$AN$2*100,"")</f>
        <v/>
      </c>
      <c r="AO198" s="24" t="str">
        <f>IF(AND(A198&lt;&gt;"",Q198&lt;&gt;0),SUM(Q198,$AO$8)/$AO$2*100,"")</f>
        <v/>
      </c>
      <c r="AP198" s="24">
        <f>IF(AND(A198&lt;&gt;"",R198&lt;&gt;0),SUM(R198,$AP$8)/$AP$2*100,"")</f>
        <v>73.502659574468083</v>
      </c>
      <c r="AQ198" s="24" t="str">
        <f>IF(AND(A198&lt;&gt;"",W198&gt;0),SUM(W198,$AQ$8)/$AQ$2*100,"")</f>
        <v/>
      </c>
      <c r="AR198" s="24">
        <f>IF(AND(A198&lt;&gt;"",T198&gt;0),SUM(T198,$AR$8)/$AR$2*100,"")</f>
        <v>15.363804247460756</v>
      </c>
      <c r="AS198" s="24">
        <f>IF(AND(A198&lt;&gt;"",X198&lt;&gt;0),SUM(X198,$AS$8)/$AS$2*100,"")</f>
        <v>38.619346378263685</v>
      </c>
      <c r="AT198" s="86">
        <f>IF(A198&lt;&gt;"",SUM(W198:X198,$AT$8)/$AT$2*100,"")</f>
        <v>38.619346378263685</v>
      </c>
      <c r="AU198" s="24">
        <f>AA198</f>
        <v>41.209673189131841</v>
      </c>
      <c r="AV198" s="24"/>
      <c r="AW198" s="27">
        <f>IF(A198&lt;&gt;"",AE198-AA198,"")</f>
        <v>-2.5903268108681559</v>
      </c>
      <c r="AY198" s="27">
        <f>AR198-AP198</f>
        <v>-58.138855327007327</v>
      </c>
      <c r="AZ198" s="27">
        <f>ABS(AY198)</f>
        <v>58.138855327007327</v>
      </c>
    </row>
    <row r="199" spans="1:52" s="27" customFormat="1" ht="12.75" customHeight="1" x14ac:dyDescent="0.2">
      <c r="A199" s="10">
        <v>520540</v>
      </c>
      <c r="B199" s="2">
        <v>25</v>
      </c>
      <c r="C199" s="10">
        <v>24</v>
      </c>
      <c r="D199" s="10">
        <v>21</v>
      </c>
      <c r="E199" s="10">
        <v>25</v>
      </c>
      <c r="F199" s="10">
        <v>23</v>
      </c>
      <c r="G199" s="10">
        <v>8</v>
      </c>
      <c r="H199" s="10">
        <v>24</v>
      </c>
      <c r="I199" s="10">
        <v>24</v>
      </c>
      <c r="J199" s="2"/>
      <c r="K199" s="10">
        <v>54</v>
      </c>
      <c r="L199" s="10">
        <v>58</v>
      </c>
      <c r="M199" s="10">
        <v>42</v>
      </c>
      <c r="N199" s="51">
        <v>45</v>
      </c>
      <c r="O199" s="11">
        <v>61</v>
      </c>
      <c r="P199" s="10"/>
      <c r="Q199" s="40"/>
      <c r="R199" s="2">
        <v>131</v>
      </c>
      <c r="S199" s="10">
        <f>IF(T199="",R199,MAX((R199+$R$8)/$R$2,(T199+$T$8)/$T$2)*$R$2-$R$8)</f>
        <v>131</v>
      </c>
      <c r="T199" s="12">
        <v>146</v>
      </c>
      <c r="U199" s="34">
        <f>IF(A199&lt;&gt;"",SUM(B199:I199),"")</f>
        <v>174</v>
      </c>
      <c r="V199" s="10">
        <f>IF(A199&lt;&gt;"",SUM(J199:O199),"")</f>
        <v>260</v>
      </c>
      <c r="W199" s="10">
        <f>IF(A199&lt;&gt;"",SUM(P199:Q199),"")</f>
        <v>0</v>
      </c>
      <c r="X199" s="10">
        <f>IF(A199&lt;&gt;"",SUM(S199:T199),"")</f>
        <v>277</v>
      </c>
      <c r="Y199" s="12">
        <v>3</v>
      </c>
      <c r="Z199" s="12">
        <f>IF(A199&lt;&gt;"",SUM(U199:Y199),"")</f>
        <v>714</v>
      </c>
      <c r="AA199" s="27">
        <f>IF(A199&lt;&gt;"",(Z199+Normalize_To_Add)/(Point_Total_So_Far)*100,"")</f>
        <v>78.909673189131851</v>
      </c>
      <c r="AB199" s="10">
        <f>IF(A199&lt;&gt;"",RANK(AA199,All_Student_XC),"")</f>
        <v>226</v>
      </c>
      <c r="AC199" s="31" t="str">
        <f>IF(A199&lt;&gt;"",CHOOSE(10-MIN(9,TRUNC((AA199+0.5)/10)),"A","B","C","D","F","F","F","F","F","F"),"")</f>
        <v>C</v>
      </c>
      <c r="AD199" s="31" t="str">
        <f>IF(A199&lt;&gt;"",IF(OR(AA199+0.5&gt;=93,AA199+0.5&lt;60),"",IF(MOD(AA199+0.5,10)&gt;=7,"+",IF(MOD(AA199+0.5,10)&lt;3,"-",""))),"")</f>
        <v>+</v>
      </c>
      <c r="AE199" s="31">
        <f>IF(A199&lt;&gt;"",SUM(W199:X199,$W$8:$X$8)/SUM($W$2:$X$2)*100,"")</f>
        <v>70.419346378263683</v>
      </c>
      <c r="AF199" s="31" t="str">
        <f>IF(A199&lt;&gt;"",CHOOSE(10-MIN(9,TRUNC((AE199+0.5)/10)),"A","B","C","D","F","F","F","F","F","F"),"")</f>
        <v>C</v>
      </c>
      <c r="AG199" s="31" t="str">
        <f>IF(A199&lt;&gt;"",IF(OR(AE199+0.5&gt;=93,AE199+0.5&lt;60),"",IF(MOD(AE199+0.5,10)&gt;=7,"+",IF(MOD(AE199+0.5,10)&lt;3,"-",""))),"")</f>
        <v>-</v>
      </c>
      <c r="AH199" s="35">
        <f>IF(A199&lt;&gt;"",MIN(MAX(AA199,AE199),AA199+$AH$8,AE199+$AH$8),"")</f>
        <v>78.909673189131851</v>
      </c>
      <c r="AI199" s="31" t="str">
        <f>IF(A199&lt;&gt;"",CHOOSE(10-MIN(9,TRUNC((AH199+0.5)/10)),"A","B","C","D","F","F","F","F","F","F"),"")</f>
        <v>C</v>
      </c>
      <c r="AJ199" s="31" t="str">
        <f>IF(A199&lt;&gt;"",IF(OR(AH199+0.5&gt;=93,AH199+0.5&lt;60),"",IF(MOD(AH199+0.5,10)&gt;=7,"+",IF(MOD(AH199+0.5,10)&lt;3,"-",""))),"")</f>
        <v>+</v>
      </c>
      <c r="AK199" s="31" t="b">
        <f>IF(A199&lt;&gt;"",OR(AI199&lt;&gt;AC199,AJ199&lt;&gt;AD199),"")</f>
        <v>0</v>
      </c>
      <c r="AL199" s="81">
        <f>IF(AND(A199&lt;&gt;"",U199&gt;0),SUM(U199,$AL$8)/$AL$2*100,"")</f>
        <v>87</v>
      </c>
      <c r="AM199" s="24">
        <f>IF(AND(A199&lt;&gt;"",V199&gt;0),SUM(V199,$AM$8)/$AM$2*100,"")</f>
        <v>86.666666666666671</v>
      </c>
      <c r="AN199" s="24" t="str">
        <f>IF(AND(A199&lt;&gt;"",P199&lt;&gt;0),SUM(P199,$AN$8)/$AN$2*100,"")</f>
        <v/>
      </c>
      <c r="AO199" s="24" t="str">
        <f>IF(AND(A199&lt;&gt;"",Q199&lt;&gt;0),SUM(Q199,$AO$8)/$AO$2*100,"")</f>
        <v/>
      </c>
      <c r="AP199" s="24">
        <f>IF(AND(A199&lt;&gt;"",R199&lt;&gt;0),SUM(R199,$AP$8)/$AP$2*100,"")</f>
        <v>80.002659574468083</v>
      </c>
      <c r="AQ199" s="24" t="str">
        <f>IF(AND(A199&lt;&gt;"",W199&gt;0),SUM(W199,$AQ$8)/$AQ$2*100,"")</f>
        <v/>
      </c>
      <c r="AR199" s="24">
        <f>IF(AND(A199&lt;&gt;"",T199&gt;0),SUM(T199,$AR$8)/$AR$2*100,"")</f>
        <v>64.03047091412742</v>
      </c>
      <c r="AS199" s="24">
        <f>IF(AND(A199&lt;&gt;"",X199&lt;&gt;0),SUM(X199,$AS$8)/$AS$2*100,"")</f>
        <v>70.419346378263683</v>
      </c>
      <c r="AT199" s="86">
        <f>IF(A199&lt;&gt;"",SUM(W199:X199,$AT$8)/$AT$2*100,"")</f>
        <v>70.419346378263683</v>
      </c>
      <c r="AU199" s="24">
        <f>AA199</f>
        <v>78.909673189131851</v>
      </c>
      <c r="AV199" s="24"/>
      <c r="AW199" s="27">
        <f>IF(A199&lt;&gt;"",AE199-AA199,"")</f>
        <v>-8.4903268108681686</v>
      </c>
      <c r="AY199" s="27">
        <f>AR199-AP199</f>
        <v>-15.972188660340663</v>
      </c>
      <c r="AZ199" s="27">
        <f>ABS(AY199)</f>
        <v>15.972188660340663</v>
      </c>
    </row>
    <row r="200" spans="1:52" s="27" customFormat="1" ht="12.75" customHeight="1" x14ac:dyDescent="0.2">
      <c r="A200" s="10">
        <v>521372</v>
      </c>
      <c r="B200" s="2">
        <v>25</v>
      </c>
      <c r="C200" s="10">
        <v>24</v>
      </c>
      <c r="D200" s="10">
        <v>20</v>
      </c>
      <c r="E200" s="10">
        <v>24</v>
      </c>
      <c r="F200" s="10">
        <v>22</v>
      </c>
      <c r="G200" s="10">
        <v>19</v>
      </c>
      <c r="H200" s="10">
        <v>24</v>
      </c>
      <c r="I200" s="10">
        <v>25</v>
      </c>
      <c r="J200" s="2"/>
      <c r="K200" s="10">
        <v>56</v>
      </c>
      <c r="L200" s="10">
        <v>59</v>
      </c>
      <c r="M200" s="10">
        <v>58</v>
      </c>
      <c r="N200" s="51">
        <v>54</v>
      </c>
      <c r="O200" s="11">
        <v>60</v>
      </c>
      <c r="P200" s="10"/>
      <c r="Q200" s="40"/>
      <c r="R200" s="2">
        <v>112</v>
      </c>
      <c r="S200" s="10">
        <f>IF(T200="",R200,MAX((R200+$R$8)/$R$2,(T200+$T$8)/$T$2)*$R$2-$R$8)</f>
        <v>114.38895601265202</v>
      </c>
      <c r="T200" s="12">
        <v>169</v>
      </c>
      <c r="U200" s="7">
        <f>IF(A200&lt;&gt;"",SUM(B200:I200),"")</f>
        <v>183</v>
      </c>
      <c r="V200" s="10">
        <f>IF(A200&lt;&gt;"",SUM(J200:O200),"")</f>
        <v>287</v>
      </c>
      <c r="W200" s="10">
        <f>IF(A200&lt;&gt;"",SUM(P200:Q200),"")</f>
        <v>0</v>
      </c>
      <c r="X200" s="10">
        <f>IF(A200&lt;&gt;"",SUM(S200:T200),"")</f>
        <v>283.38895601265199</v>
      </c>
      <c r="Y200" s="12">
        <v>3</v>
      </c>
      <c r="Z200" s="12">
        <f>IF(A200&lt;&gt;"",SUM(U200:Y200),"")</f>
        <v>756.38895601265199</v>
      </c>
      <c r="AA200" s="27">
        <f>IF(A200&lt;&gt;"",(Z200+Normalize_To_Add)/(Point_Total_So_Far)*100,"")</f>
        <v>83.148568790397036</v>
      </c>
      <c r="AB200" s="10">
        <f>IF(A200&lt;&gt;"",RANK(AA200,All_Student_XC),"")</f>
        <v>173</v>
      </c>
      <c r="AC200" s="31" t="str">
        <f>IF(A200&lt;&gt;"",CHOOSE(10-MIN(9,TRUNC((AA200+0.5)/10)),"A","B","C","D","F","F","F","F","F","F"),"")</f>
        <v>B</v>
      </c>
      <c r="AD200" s="31" t="str">
        <f>IF(A200&lt;&gt;"",IF(OR(AA200+0.5&gt;=93,AA200+0.5&lt;60),"",IF(MOD(AA200+0.5,10)&gt;=7,"+",IF(MOD(AA200+0.5,10)&lt;3,"-",""))),"")</f>
        <v/>
      </c>
      <c r="AE200" s="31">
        <f>IF(A200&lt;&gt;"",SUM(W200:X200,$W$8:$X$8)/SUM($W$2:$X$2)*100,"")</f>
        <v>71.697137580794077</v>
      </c>
      <c r="AF200" s="43" t="str">
        <f>IF(A200&lt;&gt;"",CHOOSE(10-MIN(9,TRUNC((AE200+0.5)/10)),"A","B","C","D","F","F","F","F","F","F"),"")</f>
        <v>C</v>
      </c>
      <c r="AG200" s="43" t="str">
        <f>IF(A200&lt;&gt;"",IF(OR(AE200+0.5&gt;=93,AE200+0.5&lt;60),"",IF(MOD(AE200+0.5,10)&gt;=7,"+",IF(MOD(AE200+0.5,10)&lt;3,"-",""))),"")</f>
        <v>-</v>
      </c>
      <c r="AH200" s="35">
        <f>IF(A200&lt;&gt;"",MIN(MAX(AA200,AE200),AA200+$AH$8,AE200+$AH$8),"")</f>
        <v>83.148568790397036</v>
      </c>
      <c r="AI200" s="31" t="str">
        <f>IF(A200&lt;&gt;"",CHOOSE(10-MIN(9,TRUNC((AH200+0.5)/10)),"A","B","C","D","F","F","F","F","F","F"),"")</f>
        <v>B</v>
      </c>
      <c r="AJ200" s="31" t="str">
        <f>IF(A200&lt;&gt;"",IF(OR(AH200+0.5&gt;=93,AH200+0.5&lt;60),"",IF(MOD(AH200+0.5,10)&gt;=7,"+",IF(MOD(AH200+0.5,10)&lt;3,"-",""))),"")</f>
        <v/>
      </c>
      <c r="AK200" s="31" t="b">
        <f>IF(A200&lt;&gt;"",OR(AI200&lt;&gt;AC200,AJ200&lt;&gt;AD200),"")</f>
        <v>0</v>
      </c>
      <c r="AL200" s="81">
        <f>IF(AND(A200&lt;&gt;"",U200&gt;0),SUM(U200,$AL$8)/$AL$2*100,"")</f>
        <v>91.5</v>
      </c>
      <c r="AM200" s="24">
        <f>IF(AND(A200&lt;&gt;"",V200&gt;0),SUM(V200,$AM$8)/$AM$2*100,"")</f>
        <v>95.666666666666671</v>
      </c>
      <c r="AN200" s="24" t="str">
        <f>IF(AND(A200&lt;&gt;"",P200&lt;&gt;0),SUM(P200,$AN$8)/$AN$2*100,"")</f>
        <v/>
      </c>
      <c r="AO200" s="24" t="str">
        <f>IF(AND(A200&lt;&gt;"",Q200&lt;&gt;0),SUM(Q200,$AO$8)/$AO$2*100,"")</f>
        <v/>
      </c>
      <c r="AP200" s="24">
        <f>IF(AND(A200&lt;&gt;"",R200&lt;&gt;0),SUM(R200,$AP$8)/$AP$2*100,"")</f>
        <v>70.502659574468083</v>
      </c>
      <c r="AQ200" s="24" t="str">
        <f>IF(AND(A200&lt;&gt;"",W200&gt;0),SUM(W200,$AQ$8)/$AQ$2*100,"")</f>
        <v/>
      </c>
      <c r="AR200" s="24">
        <f>IF(AND(A200&lt;&gt;"",T200&gt;0),SUM(T200,$AR$8)/$AR$2*100,"")</f>
        <v>71.697137580794092</v>
      </c>
      <c r="AS200" s="24">
        <f>IF(AND(A200&lt;&gt;"",X200&lt;&gt;0),SUM(X200,$AS$8)/$AS$2*100,"")</f>
        <v>71.697137580794077</v>
      </c>
      <c r="AT200" s="86">
        <f>IF(A200&lt;&gt;"",SUM(W200:X200,$AT$8)/$AT$2*100,"")</f>
        <v>71.697137580794077</v>
      </c>
      <c r="AU200" s="24">
        <f>AA200</f>
        <v>83.148568790397036</v>
      </c>
      <c r="AV200" s="24"/>
      <c r="AW200" s="27">
        <f>IF(A200&lt;&gt;"",AE200-AA200,"")</f>
        <v>-11.451431209602958</v>
      </c>
      <c r="AY200" s="27">
        <f>AR200-AP200</f>
        <v>1.1944780063260083</v>
      </c>
      <c r="AZ200" s="27">
        <f>ABS(AY200)</f>
        <v>1.1944780063260083</v>
      </c>
    </row>
    <row r="201" spans="1:52" s="27" customFormat="1" ht="12.75" customHeight="1" x14ac:dyDescent="0.2">
      <c r="A201" s="50">
        <v>525368</v>
      </c>
      <c r="B201" s="2">
        <v>25</v>
      </c>
      <c r="C201" s="50">
        <v>24</v>
      </c>
      <c r="D201" s="10">
        <v>20</v>
      </c>
      <c r="E201" s="10">
        <v>25</v>
      </c>
      <c r="F201" s="10">
        <v>25</v>
      </c>
      <c r="G201" s="10">
        <v>25</v>
      </c>
      <c r="H201" s="10" t="s">
        <v>69</v>
      </c>
      <c r="I201" s="10">
        <v>23</v>
      </c>
      <c r="J201" s="2"/>
      <c r="K201" s="10">
        <v>60</v>
      </c>
      <c r="L201" s="10">
        <v>61</v>
      </c>
      <c r="M201" s="10">
        <v>62</v>
      </c>
      <c r="N201" s="51">
        <v>57</v>
      </c>
      <c r="O201" s="11">
        <v>45</v>
      </c>
      <c r="P201" s="10"/>
      <c r="Q201" s="40"/>
      <c r="R201" s="2">
        <v>135</v>
      </c>
      <c r="S201" s="10">
        <f>IF(T201="",R201,MAX((R201+$R$8)/$R$2,(T201+$T$8)/$T$2)*$R$2-$R$8)</f>
        <v>135</v>
      </c>
      <c r="T201" s="62">
        <v>188</v>
      </c>
      <c r="U201" s="10">
        <f>IF(A201&lt;&gt;"",SUM(B201:I201),"")</f>
        <v>167</v>
      </c>
      <c r="V201" s="10">
        <f>IF(A201&lt;&gt;"",SUM(J201:O201),"")</f>
        <v>285</v>
      </c>
      <c r="W201" s="10">
        <f>IF(A201&lt;&gt;"",SUM(P201:Q201),"")</f>
        <v>0</v>
      </c>
      <c r="X201" s="10">
        <f>IF(A201&lt;&gt;"",SUM(S201:T201),"")</f>
        <v>323</v>
      </c>
      <c r="Y201" s="12">
        <v>3</v>
      </c>
      <c r="Z201" s="12">
        <f>IF(A201&lt;&gt;"",SUM(U201:Y201),"")</f>
        <v>778</v>
      </c>
      <c r="AA201" s="27">
        <f>IF(A201&lt;&gt;"",(Z201+Normalize_To_Add)/(Point_Total_So_Far)*100,"")</f>
        <v>85.309673189131843</v>
      </c>
      <c r="AB201" s="10">
        <f>IF(A201&lt;&gt;"",RANK(AA201,All_Student_XC),"")</f>
        <v>153</v>
      </c>
      <c r="AC201" s="31" t="str">
        <f>IF(A201&lt;&gt;"",CHOOSE(10-MIN(9,TRUNC((AA201+0.5)/10)),"A","B","C","D","F","F","F","F","F","F"),"")</f>
        <v>B</v>
      </c>
      <c r="AD201" s="31" t="str">
        <f>IF(A201&lt;&gt;"",IF(OR(AA201+0.5&gt;=93,AA201+0.5&lt;60),"",IF(MOD(AA201+0.5,10)&gt;=7,"+",IF(MOD(AA201+0.5,10)&lt;3,"-",""))),"")</f>
        <v/>
      </c>
      <c r="AE201" s="31">
        <f>IF(A201&lt;&gt;"",SUM(W201:X201,$W$8:$X$8)/SUM($W$2:$X$2)*100,"")</f>
        <v>79.619346378263685</v>
      </c>
      <c r="AF201" s="43" t="str">
        <f>IF(A201&lt;&gt;"",CHOOSE(10-MIN(9,TRUNC((AE201+0.5)/10)),"A","B","C","D","F","F","F","F","F","F"),"")</f>
        <v>B</v>
      </c>
      <c r="AG201" s="43" t="str">
        <f>IF(A201&lt;&gt;"",IF(OR(AE201+0.5&gt;=93,AE201+0.5&lt;60),"",IF(MOD(AE201+0.5,10)&gt;=7,"+",IF(MOD(AE201+0.5,10)&lt;3,"-",""))),"")</f>
        <v>-</v>
      </c>
      <c r="AH201" s="35">
        <f>IF(A201&lt;&gt;"",MIN(MAX(AA201,AE201),AA201+$AH$8,AE201+$AH$8),"")</f>
        <v>85.309673189131843</v>
      </c>
      <c r="AI201" s="31" t="str">
        <f>IF(A201&lt;&gt;"",CHOOSE(10-MIN(9,TRUNC((AH201+0.5)/10)),"A","B","C","D","F","F","F","F","F","F"),"")</f>
        <v>B</v>
      </c>
      <c r="AJ201" s="31" t="str">
        <f>IF(A201&lt;&gt;"",IF(OR(AH201+0.5&gt;=93,AH201+0.5&lt;60),"",IF(MOD(AH201+0.5,10)&gt;=7,"+",IF(MOD(AH201+0.5,10)&lt;3,"-",""))),"")</f>
        <v/>
      </c>
      <c r="AK201" s="31" t="b">
        <f>IF(A201&lt;&gt;"",OR(AI201&lt;&gt;AC201,AJ201&lt;&gt;AD201),"")</f>
        <v>0</v>
      </c>
      <c r="AL201" s="81">
        <f>IF(AND(A201&lt;&gt;"",U201&gt;0),SUM(U201,$AL$8)/$AL$2*100,"")</f>
        <v>83.5</v>
      </c>
      <c r="AM201" s="24">
        <f>IF(AND(A201&lt;&gt;"",V201&gt;0),SUM(V201,$AM$8)/$AM$2*100,"")</f>
        <v>95</v>
      </c>
      <c r="AN201" s="24" t="str">
        <f>IF(AND(A201&lt;&gt;"",P201&lt;&gt;0),SUM(P201,$AN$8)/$AN$2*100,"")</f>
        <v/>
      </c>
      <c r="AO201" s="24" t="str">
        <f>IF(AND(A201&lt;&gt;"",Q201&lt;&gt;0),SUM(Q201,$AO$8)/$AO$2*100,"")</f>
        <v/>
      </c>
      <c r="AP201" s="24">
        <f>IF(AND(A201&lt;&gt;"",R201&lt;&gt;0),SUM(R201,$AP$8)/$AP$2*100,"")</f>
        <v>82.002659574468083</v>
      </c>
      <c r="AQ201" s="24" t="str">
        <f>IF(AND(A201&lt;&gt;"",W201&gt;0),SUM(W201,$AQ$8)/$AQ$2*100,"")</f>
        <v/>
      </c>
      <c r="AR201" s="24">
        <f>IF(AND(A201&lt;&gt;"",T201&gt;0),SUM(T201,$AR$8)/$AR$2*100,"")</f>
        <v>78.03047091412742</v>
      </c>
      <c r="AS201" s="24">
        <f>IF(AND(A201&lt;&gt;"",X201&lt;&gt;0),SUM(X201,$AS$8)/$AS$2*100,"")</f>
        <v>79.619346378263685</v>
      </c>
      <c r="AT201" s="86">
        <f>IF(A201&lt;&gt;"",SUM(W201:X201,$AT$8)/$AT$2*100,"")</f>
        <v>79.619346378263685</v>
      </c>
      <c r="AU201" s="24">
        <f>AA201</f>
        <v>85.309673189131843</v>
      </c>
      <c r="AV201" s="24"/>
      <c r="AW201" s="27">
        <f>IF(A201&lt;&gt;"",AE201-AA201,"")</f>
        <v>-5.6903268108681573</v>
      </c>
      <c r="AY201" s="27">
        <f>AR201-AP201</f>
        <v>-3.9721886603406631</v>
      </c>
      <c r="AZ201" s="27">
        <f>ABS(AY201)</f>
        <v>3.9721886603406631</v>
      </c>
    </row>
    <row r="202" spans="1:52" s="74" customFormat="1" ht="12.75" customHeight="1" x14ac:dyDescent="0.2">
      <c r="A202" s="91">
        <v>528748</v>
      </c>
      <c r="B202" s="70">
        <v>23</v>
      </c>
      <c r="C202" s="91">
        <v>25</v>
      </c>
      <c r="D202" s="69">
        <v>24</v>
      </c>
      <c r="E202" s="69">
        <v>24</v>
      </c>
      <c r="F202" s="69">
        <v>24</v>
      </c>
      <c r="G202" s="69">
        <v>25</v>
      </c>
      <c r="H202" s="69">
        <v>24</v>
      </c>
      <c r="I202" s="69">
        <v>23</v>
      </c>
      <c r="J202" s="70"/>
      <c r="K202" s="69">
        <v>54</v>
      </c>
      <c r="L202" s="69">
        <v>61</v>
      </c>
      <c r="M202" s="69">
        <v>59</v>
      </c>
      <c r="N202" s="92">
        <v>54</v>
      </c>
      <c r="O202" s="71">
        <v>61</v>
      </c>
      <c r="P202" s="69"/>
      <c r="Q202" s="72"/>
      <c r="R202" s="70">
        <v>160</v>
      </c>
      <c r="S202" s="69">
        <f>IF(T202="",R202,MAX((R202+$R$8)/$R$2,(T202+$T$8)/$T$2)*$R$2-$R$8)</f>
        <v>177.05562267931867</v>
      </c>
      <c r="T202" s="93">
        <v>263</v>
      </c>
      <c r="U202" s="69">
        <f>IF(A202&lt;&gt;"",SUM(B202:I202),"")</f>
        <v>192</v>
      </c>
      <c r="V202" s="69">
        <f>IF(A202&lt;&gt;"",SUM(J202:O202),"")</f>
        <v>289</v>
      </c>
      <c r="W202" s="69">
        <f>IF(A202&lt;&gt;"",SUM(P202:Q202),"")</f>
        <v>0</v>
      </c>
      <c r="X202" s="69">
        <f>IF(A202&lt;&gt;"",SUM(S202:T202),"")</f>
        <v>440.05562267931867</v>
      </c>
      <c r="Y202" s="73">
        <v>3</v>
      </c>
      <c r="Z202" s="73">
        <f>IF(A202&lt;&gt;"",SUM(U202:Y202),"")</f>
        <v>924.05562267931873</v>
      </c>
      <c r="AA202" s="74">
        <f>IF(A202&lt;&gt;"",(Z202+Normalize_To_Add)/(Point_Total_So_Far)*100,"")</f>
        <v>99.915235457063716</v>
      </c>
      <c r="AB202" s="69">
        <f>IF(A202&lt;&gt;"",RANK(AA202,All_Student_XC),"")</f>
        <v>7</v>
      </c>
      <c r="AC202" s="75" t="str">
        <f>IF(A202&lt;&gt;"",CHOOSE(10-MIN(9,TRUNC((AA202+0.5)/10)),"A","B","C","D","F","F","F","F","F","F"),"")</f>
        <v>A</v>
      </c>
      <c r="AD202" s="75" t="str">
        <f>IF(A202&lt;&gt;"",IF(OR(AA202+0.5&gt;=93,AA202+0.5&lt;60),"",IF(MOD(AA202+0.5,10)&gt;=7,"+",IF(MOD(AA202+0.5,10)&lt;3,"-",""))),"")</f>
        <v/>
      </c>
      <c r="AE202" s="75">
        <f>IF(A202&lt;&gt;"",SUM(W202:X202,$W$8:$X$8)/SUM($W$2:$X$2)*100,"")</f>
        <v>103.03047091412741</v>
      </c>
      <c r="AF202" s="94" t="str">
        <f>IF(A202&lt;&gt;"",CHOOSE(10-MIN(9,TRUNC((AE202+0.5)/10)),"A","B","C","D","F","F","F","F","F","F"),"")</f>
        <v>A</v>
      </c>
      <c r="AG202" s="94" t="str">
        <f>IF(A202&lt;&gt;"",IF(OR(AE202+0.5&gt;=93,AE202+0.5&lt;60),"",IF(MOD(AE202+0.5,10)&gt;=7,"+",IF(MOD(AE202+0.5,10)&lt;3,"-",""))),"")</f>
        <v/>
      </c>
      <c r="AH202" s="76">
        <f>IF(A202&lt;&gt;"",MIN(MAX(AA202,AE202),AA202+$AH$8,AE202+$AH$8),"")</f>
        <v>103.03047091412741</v>
      </c>
      <c r="AI202" s="75" t="str">
        <f>IF(A202&lt;&gt;"",CHOOSE(10-MIN(9,TRUNC((AH202+0.5)/10)),"A","B","C","D","F","F","F","F","F","F"),"")</f>
        <v>A</v>
      </c>
      <c r="AJ202" s="75" t="str">
        <f>IF(A202&lt;&gt;"",IF(OR(AH202+0.5&gt;=93,AH202+0.5&lt;60),"",IF(MOD(AH202+0.5,10)&gt;=7,"+",IF(MOD(AH202+0.5,10)&lt;3,"-",""))),"")</f>
        <v/>
      </c>
      <c r="AK202" s="75" t="b">
        <f>IF(A202&lt;&gt;"",OR(AI202&lt;&gt;AC202,AJ202&lt;&gt;AD202),"")</f>
        <v>0</v>
      </c>
      <c r="AL202" s="83">
        <f>IF(AND(A202&lt;&gt;"",U202&gt;0),SUM(U202,$AL$8)/$AL$2*100,"")</f>
        <v>96</v>
      </c>
      <c r="AM202" s="77">
        <f>IF(AND(A202&lt;&gt;"",V202&gt;0),SUM(V202,$AM$8)/$AM$2*100,"")</f>
        <v>96.333333333333343</v>
      </c>
      <c r="AN202" s="77" t="str">
        <f>IF(AND(A202&lt;&gt;"",P202&lt;&gt;0),SUM(P202,$AN$8)/$AN$2*100,"")</f>
        <v/>
      </c>
      <c r="AO202" s="77" t="str">
        <f>IF(AND(A202&lt;&gt;"",Q202&lt;&gt;0),SUM(Q202,$AO$8)/$AO$2*100,"")</f>
        <v/>
      </c>
      <c r="AP202" s="77">
        <f>IF(AND(A202&lt;&gt;"",R202&lt;&gt;0),SUM(R202,$AP$8)/$AP$2*100,"")</f>
        <v>94.502659574468083</v>
      </c>
      <c r="AQ202" s="77" t="str">
        <f>IF(AND(A202&lt;&gt;"",W202&gt;0),SUM(W202,$AQ$8)/$AQ$2*100,"")</f>
        <v/>
      </c>
      <c r="AR202" s="77">
        <f>IF(AND(A202&lt;&gt;"",T202&gt;0),SUM(T202,$AR$8)/$AR$2*100,"")</f>
        <v>103.03047091412742</v>
      </c>
      <c r="AS202" s="77">
        <f>IF(AND(A202&lt;&gt;"",X202&lt;&gt;0),SUM(X202,$AS$8)/$AS$2*100,"")</f>
        <v>103.03047091412741</v>
      </c>
      <c r="AT202" s="89">
        <f>IF(A202&lt;&gt;"",SUM(W202:X202,$AT$8)/$AT$2*100,"")</f>
        <v>103.03047091412741</v>
      </c>
      <c r="AU202" s="77">
        <f>AA202</f>
        <v>99.915235457063716</v>
      </c>
      <c r="AV202" s="77"/>
      <c r="AW202" s="74">
        <f>IF(A202&lt;&gt;"",AE202-AA202,"")</f>
        <v>3.1152354570636902</v>
      </c>
      <c r="AY202" s="74">
        <f>AR202-AP202</f>
        <v>8.5278113396593369</v>
      </c>
      <c r="AZ202" s="74">
        <f>ABS(AY202)</f>
        <v>8.5278113396593369</v>
      </c>
    </row>
    <row r="203" spans="1:52" s="27" customFormat="1" ht="12.75" customHeight="1" x14ac:dyDescent="0.2">
      <c r="A203" s="10">
        <v>530272</v>
      </c>
      <c r="B203" s="2">
        <v>25</v>
      </c>
      <c r="C203" s="10">
        <v>21</v>
      </c>
      <c r="D203" s="10">
        <v>23</v>
      </c>
      <c r="E203" s="10">
        <v>22</v>
      </c>
      <c r="F203" s="10">
        <v>21</v>
      </c>
      <c r="G203" s="10">
        <v>25</v>
      </c>
      <c r="H203" s="10">
        <v>14</v>
      </c>
      <c r="I203" s="10">
        <v>20</v>
      </c>
      <c r="J203" s="2"/>
      <c r="K203" s="10">
        <v>56</v>
      </c>
      <c r="L203" s="10">
        <v>60</v>
      </c>
      <c r="M203" s="10">
        <v>59</v>
      </c>
      <c r="N203" s="51">
        <v>36</v>
      </c>
      <c r="O203" s="11">
        <v>60</v>
      </c>
      <c r="P203" s="10"/>
      <c r="Q203" s="40"/>
      <c r="R203" s="2">
        <v>78</v>
      </c>
      <c r="S203" s="10">
        <f>IF(T203="",R203,MAX((R203+$R$8)/$R$2,(T203+$T$8)/$T$2)*$R$2-$R$8)</f>
        <v>88.388956012652017</v>
      </c>
      <c r="T203" s="12">
        <v>130</v>
      </c>
      <c r="U203" s="34">
        <f>IF(A203&lt;&gt;"",SUM(B203:I203),"")</f>
        <v>171</v>
      </c>
      <c r="V203" s="10">
        <f>IF(A203&lt;&gt;"",SUM(J203:O203),"")</f>
        <v>271</v>
      </c>
      <c r="W203" s="10">
        <f>IF(A203&lt;&gt;"",SUM(P203:Q203),"")</f>
        <v>0</v>
      </c>
      <c r="X203" s="10">
        <f>IF(A203&lt;&gt;"",SUM(S203:T203),"")</f>
        <v>218.38895601265202</v>
      </c>
      <c r="Y203" s="12">
        <v>3</v>
      </c>
      <c r="Z203" s="12">
        <f>IF(A203&lt;&gt;"",SUM(U203:Y203),"")</f>
        <v>663.38895601265199</v>
      </c>
      <c r="AA203" s="27">
        <f>IF(A203&lt;&gt;"",(Z203+Normalize_To_Add)/(Point_Total_So_Far)*100,"")</f>
        <v>73.848568790397039</v>
      </c>
      <c r="AB203" s="10">
        <f>IF(A203&lt;&gt;"",RANK(AA203,All_Student_XC),"")</f>
        <v>281</v>
      </c>
      <c r="AC203" s="31" t="str">
        <f>IF(A203&lt;&gt;"",CHOOSE(10-MIN(9,TRUNC((AA203+0.5)/10)),"A","B","C","D","F","F","F","F","F","F"),"")</f>
        <v>C</v>
      </c>
      <c r="AD203" s="31" t="str">
        <f>IF(A203&lt;&gt;"",IF(OR(AA203+0.5&gt;=93,AA203+0.5&lt;60),"",IF(MOD(AA203+0.5,10)&gt;=7,"+",IF(MOD(AA203+0.5,10)&lt;3,"-",""))),"")</f>
        <v/>
      </c>
      <c r="AE203" s="31">
        <f>IF(A203&lt;&gt;"",SUM(W203:X203,$W$8:$X$8)/SUM($W$2:$X$2)*100,"")</f>
        <v>58.697137580794077</v>
      </c>
      <c r="AF203" s="31" t="str">
        <f>IF(A203&lt;&gt;"",CHOOSE(10-MIN(9,TRUNC((AE203+0.5)/10)),"A","B","C","D","F","F","F","F","F","F"),"")</f>
        <v>F</v>
      </c>
      <c r="AG203" s="31" t="str">
        <f>IF(A203&lt;&gt;"",IF(OR(AE203+0.5&gt;=93,AE203+0.5&lt;60),"",IF(MOD(AE203+0.5,10)&gt;=7,"+",IF(MOD(AE203+0.5,10)&lt;3,"-",""))),"")</f>
        <v/>
      </c>
      <c r="AH203" s="35">
        <f>IF(A203&lt;&gt;"",MIN(MAX(AA203,AE203),AA203+$AH$8,AE203+$AH$8),"")</f>
        <v>73.848568790397039</v>
      </c>
      <c r="AI203" s="31" t="str">
        <f>IF(A203&lt;&gt;"",CHOOSE(10-MIN(9,TRUNC((AH203+0.5)/10)),"A","B","C","D","F","F","F","F","F","F"),"")</f>
        <v>C</v>
      </c>
      <c r="AJ203" s="31" t="str">
        <f>IF(A203&lt;&gt;"",IF(OR(AH203+0.5&gt;=93,AH203+0.5&lt;60),"",IF(MOD(AH203+0.5,10)&gt;=7,"+",IF(MOD(AH203+0.5,10)&lt;3,"-",""))),"")</f>
        <v/>
      </c>
      <c r="AK203" s="31" t="b">
        <f>IF(A203&lt;&gt;"",OR(AI203&lt;&gt;AC203,AJ203&lt;&gt;AD203),"")</f>
        <v>0</v>
      </c>
      <c r="AL203" s="81">
        <f>IF(AND(A203&lt;&gt;"",U203&gt;0),SUM(U203,$AL$8)/$AL$2*100,"")</f>
        <v>85.5</v>
      </c>
      <c r="AM203" s="24">
        <f>IF(AND(A203&lt;&gt;"",V203&gt;0),SUM(V203,$AM$8)/$AM$2*100,"")</f>
        <v>90.333333333333329</v>
      </c>
      <c r="AN203" s="24" t="str">
        <f>IF(AND(A203&lt;&gt;"",P203&lt;&gt;0),SUM(P203,$AN$8)/$AN$2*100,"")</f>
        <v/>
      </c>
      <c r="AO203" s="24" t="str">
        <f>IF(AND(A203&lt;&gt;"",Q203&lt;&gt;0),SUM(Q203,$AO$8)/$AO$2*100,"")</f>
        <v/>
      </c>
      <c r="AP203" s="24">
        <f>IF(AND(A203&lt;&gt;"",R203&lt;&gt;0),SUM(R203,$AP$8)/$AP$2*100,"")</f>
        <v>53.502659574468083</v>
      </c>
      <c r="AQ203" s="24" t="str">
        <f>IF(AND(A203&lt;&gt;"",W203&gt;0),SUM(W203,$AQ$8)/$AQ$2*100,"")</f>
        <v/>
      </c>
      <c r="AR203" s="24">
        <f>IF(AND(A203&lt;&gt;"",T203&gt;0),SUM(T203,$AR$8)/$AR$2*100,"")</f>
        <v>58.697137580794092</v>
      </c>
      <c r="AS203" s="24">
        <f>IF(AND(A203&lt;&gt;"",X203&lt;&gt;0),SUM(X203,$AS$8)/$AS$2*100,"")</f>
        <v>58.697137580794077</v>
      </c>
      <c r="AT203" s="86">
        <f>IF(A203&lt;&gt;"",SUM(W203:X203,$AT$8)/$AT$2*100,"")</f>
        <v>58.697137580794077</v>
      </c>
      <c r="AU203" s="24">
        <f>AA203</f>
        <v>73.848568790397039</v>
      </c>
      <c r="AV203" s="24"/>
      <c r="AW203" s="27">
        <f>IF(A203&lt;&gt;"",AE203-AA203,"")</f>
        <v>-15.151431209602961</v>
      </c>
      <c r="AY203" s="27">
        <f>AR203-AP203</f>
        <v>5.1944780063260083</v>
      </c>
      <c r="AZ203" s="27">
        <f>ABS(AY203)</f>
        <v>5.1944780063260083</v>
      </c>
    </row>
    <row r="204" spans="1:52" s="27" customFormat="1" ht="12.75" customHeight="1" x14ac:dyDescent="0.2">
      <c r="A204" s="10">
        <v>534130</v>
      </c>
      <c r="B204" s="2">
        <v>25</v>
      </c>
      <c r="C204" s="10">
        <v>25</v>
      </c>
      <c r="D204" s="10">
        <v>24</v>
      </c>
      <c r="E204" s="10">
        <v>14</v>
      </c>
      <c r="F204" s="10">
        <v>24</v>
      </c>
      <c r="G204" s="10">
        <v>19</v>
      </c>
      <c r="H204" s="10">
        <v>25</v>
      </c>
      <c r="I204" s="10">
        <v>22</v>
      </c>
      <c r="J204" s="2"/>
      <c r="K204" s="10">
        <v>49</v>
      </c>
      <c r="L204" s="10">
        <v>51</v>
      </c>
      <c r="M204" s="10">
        <v>59</v>
      </c>
      <c r="N204" s="51">
        <v>57</v>
      </c>
      <c r="O204" s="11">
        <v>60</v>
      </c>
      <c r="P204" s="10"/>
      <c r="Q204" s="40"/>
      <c r="R204" s="2">
        <v>121</v>
      </c>
      <c r="S204" s="10">
        <f>IF(T204="",R204,MAX((R204+$R$8)/$R$2,(T204+$T$8)/$T$2)*$R$2-$R$8)</f>
        <v>143.72228934598533</v>
      </c>
      <c r="T204" s="12">
        <v>213</v>
      </c>
      <c r="U204" s="34">
        <f>IF(A204&lt;&gt;"",SUM(B204:I204),"")</f>
        <v>178</v>
      </c>
      <c r="V204" s="10">
        <f>IF(A204&lt;&gt;"",SUM(J204:O204),"")</f>
        <v>276</v>
      </c>
      <c r="W204" s="10">
        <f>IF(A204&lt;&gt;"",SUM(P204:Q204),"")</f>
        <v>0</v>
      </c>
      <c r="X204" s="10">
        <f>IF(A204&lt;&gt;"",SUM(S204:T204),"")</f>
        <v>356.72228934598536</v>
      </c>
      <c r="Y204" s="12" t="s">
        <v>69</v>
      </c>
      <c r="Z204" s="12">
        <f>IF(A204&lt;&gt;"",SUM(U204:Y204),"")</f>
        <v>810.72228934598536</v>
      </c>
      <c r="AA204" s="27">
        <f>IF(A204&lt;&gt;"",(Z204+Normalize_To_Add)/(Point_Total_So_Far)*100,"")</f>
        <v>88.581902123730387</v>
      </c>
      <c r="AB204" s="10">
        <f>IF(A204&lt;&gt;"",RANK(AA204,All_Student_XC),"")</f>
        <v>104</v>
      </c>
      <c r="AC204" s="31" t="str">
        <f>IF(A204&lt;&gt;"",CHOOSE(10-MIN(9,TRUNC((AA204+0.5)/10)),"A","B","C","D","F","F","F","F","F","F"),"")</f>
        <v>B</v>
      </c>
      <c r="AD204" s="31" t="str">
        <f>IF(A204&lt;&gt;"",IF(OR(AA204+0.5&gt;=93,AA204+0.5&lt;60),"",IF(MOD(AA204+0.5,10)&gt;=7,"+",IF(MOD(AA204+0.5,10)&lt;3,"-",""))),"")</f>
        <v>+</v>
      </c>
      <c r="AE204" s="31">
        <f>IF(A204&lt;&gt;"",SUM(W204:X204,$W$8:$X$8)/SUM($W$2:$X$2)*100,"")</f>
        <v>86.363804247460763</v>
      </c>
      <c r="AF204" s="31" t="str">
        <f>IF(A204&lt;&gt;"",CHOOSE(10-MIN(9,TRUNC((AE204+0.5)/10)),"A","B","C","D","F","F","F","F","F","F"),"")</f>
        <v>B</v>
      </c>
      <c r="AG204" s="31" t="str">
        <f>IF(A204&lt;&gt;"",IF(OR(AE204+0.5&gt;=93,AE204+0.5&lt;60),"",IF(MOD(AE204+0.5,10)&gt;=7,"+",IF(MOD(AE204+0.5,10)&lt;3,"-",""))),"")</f>
        <v/>
      </c>
      <c r="AH204" s="35">
        <f>IF(A204&lt;&gt;"",MIN(MAX(AA204,AE204),AA204+$AH$8,AE204+$AH$8),"")</f>
        <v>88.581902123730387</v>
      </c>
      <c r="AI204" s="31" t="str">
        <f>IF(A204&lt;&gt;"",CHOOSE(10-MIN(9,TRUNC((AH204+0.5)/10)),"A","B","C","D","F","F","F","F","F","F"),"")</f>
        <v>B</v>
      </c>
      <c r="AJ204" s="31" t="str">
        <f>IF(A204&lt;&gt;"",IF(OR(AH204+0.5&gt;=93,AH204+0.5&lt;60),"",IF(MOD(AH204+0.5,10)&gt;=7,"+",IF(MOD(AH204+0.5,10)&lt;3,"-",""))),"")</f>
        <v>+</v>
      </c>
      <c r="AK204" s="31" t="b">
        <f>IF(A204&lt;&gt;"",OR(AI204&lt;&gt;AC204,AJ204&lt;&gt;AD204),"")</f>
        <v>0</v>
      </c>
      <c r="AL204" s="81">
        <f>IF(AND(A204&lt;&gt;"",U204&gt;0),SUM(U204,$AL$8)/$AL$2*100,"")</f>
        <v>89</v>
      </c>
      <c r="AM204" s="24">
        <f>IF(AND(A204&lt;&gt;"",V204&gt;0),SUM(V204,$AM$8)/$AM$2*100,"")</f>
        <v>92</v>
      </c>
      <c r="AN204" s="24" t="str">
        <f>IF(AND(A204&lt;&gt;"",P204&lt;&gt;0),SUM(P204,$AN$8)/$AN$2*100,"")</f>
        <v/>
      </c>
      <c r="AO204" s="24" t="str">
        <f>IF(AND(A204&lt;&gt;"",Q204&lt;&gt;0),SUM(Q204,$AO$8)/$AO$2*100,"")</f>
        <v/>
      </c>
      <c r="AP204" s="24">
        <f>IF(AND(A204&lt;&gt;"",R204&lt;&gt;0),SUM(R204,$AP$8)/$AP$2*100,"")</f>
        <v>75.002659574468083</v>
      </c>
      <c r="AQ204" s="24" t="str">
        <f>IF(AND(A204&lt;&gt;"",W204&gt;0),SUM(W204,$AQ$8)/$AQ$2*100,"")</f>
        <v/>
      </c>
      <c r="AR204" s="24">
        <f>IF(AND(A204&lt;&gt;"",T204&gt;0),SUM(T204,$AR$8)/$AR$2*100,"")</f>
        <v>86.363804247460749</v>
      </c>
      <c r="AS204" s="24">
        <f>IF(AND(A204&lt;&gt;"",X204&lt;&gt;0),SUM(X204,$AS$8)/$AS$2*100,"")</f>
        <v>86.363804247460763</v>
      </c>
      <c r="AT204" s="86">
        <f>IF(A204&lt;&gt;"",SUM(W204:X204,$AT$8)/$AT$2*100,"")</f>
        <v>86.363804247460763</v>
      </c>
      <c r="AU204" s="24">
        <f>AA204</f>
        <v>88.581902123730387</v>
      </c>
      <c r="AV204" s="24"/>
      <c r="AW204" s="27">
        <f>IF(A204&lt;&gt;"",AE204-AA204,"")</f>
        <v>-2.2180978762696242</v>
      </c>
      <c r="AY204" s="27">
        <f>AR204-AP204</f>
        <v>11.361144672992666</v>
      </c>
      <c r="AZ204" s="27">
        <f>ABS(AY204)</f>
        <v>11.361144672992666</v>
      </c>
    </row>
    <row r="205" spans="1:52" s="27" customFormat="1" ht="12.75" customHeight="1" x14ac:dyDescent="0.2">
      <c r="A205" s="50">
        <v>537964</v>
      </c>
      <c r="B205" s="2">
        <v>8</v>
      </c>
      <c r="C205" s="50">
        <v>14</v>
      </c>
      <c r="D205" s="10">
        <v>20</v>
      </c>
      <c r="E205" s="10">
        <v>19</v>
      </c>
      <c r="F205" s="10">
        <v>6</v>
      </c>
      <c r="G205" s="10">
        <v>25</v>
      </c>
      <c r="H205" s="10">
        <v>22</v>
      </c>
      <c r="I205" s="10">
        <v>23</v>
      </c>
      <c r="J205" s="2"/>
      <c r="K205" s="10">
        <v>9</v>
      </c>
      <c r="L205" s="10">
        <v>49</v>
      </c>
      <c r="M205" s="10">
        <v>55</v>
      </c>
      <c r="N205" s="51">
        <v>0</v>
      </c>
      <c r="O205" s="11">
        <v>60</v>
      </c>
      <c r="P205" s="10"/>
      <c r="Q205" s="40"/>
      <c r="R205" s="2">
        <v>95</v>
      </c>
      <c r="S205" s="10">
        <f>IF(T205="",R205,MAX((R205+$R$8)/$R$2,(T205+$T$8)/$T$2)*$R$2-$R$8)</f>
        <v>95.000000000000014</v>
      </c>
      <c r="T205" s="62">
        <v>104</v>
      </c>
      <c r="U205" s="10">
        <f>IF(A205&lt;&gt;"",SUM(B205:I205),"")</f>
        <v>137</v>
      </c>
      <c r="V205" s="10">
        <f>IF(A205&lt;&gt;"",SUM(J205:O205),"")</f>
        <v>173</v>
      </c>
      <c r="W205" s="10">
        <f>IF(A205&lt;&gt;"",SUM(P205:Q205),"")</f>
        <v>0</v>
      </c>
      <c r="X205" s="10">
        <f>IF(A205&lt;&gt;"",SUM(S205:T205),"")</f>
        <v>199</v>
      </c>
      <c r="Y205" s="12" t="s">
        <v>69</v>
      </c>
      <c r="Z205" s="12">
        <f>IF(A205&lt;&gt;"",SUM(U205:Y205),"")</f>
        <v>509</v>
      </c>
      <c r="AA205" s="27">
        <f>IF(A205&lt;&gt;"",(Z205+Normalize_To_Add)/(Point_Total_So_Far)*100,"")</f>
        <v>58.409673189131837</v>
      </c>
      <c r="AB205" s="10">
        <f>IF(A205&lt;&gt;"",RANK(AA205,All_Student_XC),"")</f>
        <v>347</v>
      </c>
      <c r="AC205" s="31" t="str">
        <f>IF(A205&lt;&gt;"",CHOOSE(10-MIN(9,TRUNC((AA205+0.5)/10)),"A","B","C","D","F","F","F","F","F","F"),"")</f>
        <v>F</v>
      </c>
      <c r="AD205" s="31" t="str">
        <f>IF(A205&lt;&gt;"",IF(OR(AA205+0.5&gt;=93,AA205+0.5&lt;60),"",IF(MOD(AA205+0.5,10)&gt;=7,"+",IF(MOD(AA205+0.5,10)&lt;3,"-",""))),"")</f>
        <v/>
      </c>
      <c r="AE205" s="31">
        <f>IF(A205&lt;&gt;"",SUM(W205:X205,$W$8:$X$8)/SUM($W$2:$X$2)*100,"")</f>
        <v>54.819346378263688</v>
      </c>
      <c r="AF205" s="43" t="str">
        <f>IF(A205&lt;&gt;"",CHOOSE(10-MIN(9,TRUNC((AE205+0.5)/10)),"A","B","C","D","F","F","F","F","F","F"),"")</f>
        <v>F</v>
      </c>
      <c r="AG205" s="43" t="str">
        <f>IF(A205&lt;&gt;"",IF(OR(AE205+0.5&gt;=93,AE205+0.5&lt;60),"",IF(MOD(AE205+0.5,10)&gt;=7,"+",IF(MOD(AE205+0.5,10)&lt;3,"-",""))),"")</f>
        <v/>
      </c>
      <c r="AH205" s="35">
        <f>IF(A205&lt;&gt;"",MIN(MAX(AA205,AE205),AA205+$AH$8,AE205+$AH$8),"")</f>
        <v>58.409673189131837</v>
      </c>
      <c r="AI205" s="31" t="str">
        <f>IF(A205&lt;&gt;"",CHOOSE(10-MIN(9,TRUNC((AH205+0.5)/10)),"A","B","C","D","F","F","F","F","F","F"),"")</f>
        <v>F</v>
      </c>
      <c r="AJ205" s="31" t="str">
        <f>IF(A205&lt;&gt;"",IF(OR(AH205+0.5&gt;=93,AH205+0.5&lt;60),"",IF(MOD(AH205+0.5,10)&gt;=7,"+",IF(MOD(AH205+0.5,10)&lt;3,"-",""))),"")</f>
        <v/>
      </c>
      <c r="AK205" s="31" t="b">
        <f>IF(A205&lt;&gt;"",OR(AI205&lt;&gt;AC205,AJ205&lt;&gt;AD205),"")</f>
        <v>0</v>
      </c>
      <c r="AL205" s="81">
        <f>IF(AND(A205&lt;&gt;"",U205&gt;0),SUM(U205,$AL$8)/$AL$2*100,"")</f>
        <v>68.5</v>
      </c>
      <c r="AM205" s="24">
        <f>IF(AND(A205&lt;&gt;"",V205&gt;0),SUM(V205,$AM$8)/$AM$2*100,"")</f>
        <v>57.666666666666664</v>
      </c>
      <c r="AN205" s="24" t="str">
        <f>IF(AND(A205&lt;&gt;"",P205&lt;&gt;0),SUM(P205,$AN$8)/$AN$2*100,"")</f>
        <v/>
      </c>
      <c r="AO205" s="24" t="str">
        <f>IF(AND(A205&lt;&gt;"",Q205&lt;&gt;0),SUM(Q205,$AO$8)/$AO$2*100,"")</f>
        <v/>
      </c>
      <c r="AP205" s="24">
        <f>IF(AND(A205&lt;&gt;"",R205&lt;&gt;0),SUM(R205,$AP$8)/$AP$2*100,"")</f>
        <v>62.00265957446809</v>
      </c>
      <c r="AQ205" s="24" t="str">
        <f>IF(AND(A205&lt;&gt;"",W205&gt;0),SUM(W205,$AQ$8)/$AQ$2*100,"")</f>
        <v/>
      </c>
      <c r="AR205" s="24">
        <f>IF(AND(A205&lt;&gt;"",T205&gt;0),SUM(T205,$AR$8)/$AR$2*100,"")</f>
        <v>50.03047091412742</v>
      </c>
      <c r="AS205" s="24">
        <f>IF(AND(A205&lt;&gt;"",X205&lt;&gt;0),SUM(X205,$AS$8)/$AS$2*100,"")</f>
        <v>54.819346378263688</v>
      </c>
      <c r="AT205" s="86">
        <f>IF(A205&lt;&gt;"",SUM(W205:X205,$AT$8)/$AT$2*100,"")</f>
        <v>54.819346378263688</v>
      </c>
      <c r="AU205" s="24">
        <f>AA205</f>
        <v>58.409673189131837</v>
      </c>
      <c r="AV205" s="24"/>
      <c r="AW205" s="27">
        <f>IF(A205&lt;&gt;"",AE205-AA205,"")</f>
        <v>-3.5903268108681488</v>
      </c>
      <c r="AY205" s="27">
        <f>AR205-AP205</f>
        <v>-11.97218866034067</v>
      </c>
      <c r="AZ205" s="27">
        <f>ABS(AY205)</f>
        <v>11.97218866034067</v>
      </c>
    </row>
    <row r="206" spans="1:52" s="27" customFormat="1" ht="12.75" customHeight="1" x14ac:dyDescent="0.2">
      <c r="A206" s="50">
        <v>540212</v>
      </c>
      <c r="B206" s="2">
        <v>5</v>
      </c>
      <c r="C206" s="50">
        <v>10</v>
      </c>
      <c r="D206" s="10">
        <v>20</v>
      </c>
      <c r="E206" s="10">
        <v>24</v>
      </c>
      <c r="F206" s="10">
        <v>19</v>
      </c>
      <c r="G206" s="10">
        <v>25</v>
      </c>
      <c r="H206" s="10">
        <v>7</v>
      </c>
      <c r="I206" s="10" t="s">
        <v>69</v>
      </c>
      <c r="J206" s="2"/>
      <c r="K206" s="10">
        <v>28</v>
      </c>
      <c r="L206" s="10" t="s">
        <v>69</v>
      </c>
      <c r="M206" s="10">
        <v>0</v>
      </c>
      <c r="N206" s="51">
        <v>0</v>
      </c>
      <c r="O206" s="11" t="s">
        <v>69</v>
      </c>
      <c r="P206" s="10"/>
      <c r="Q206" s="40"/>
      <c r="R206" s="2">
        <v>111</v>
      </c>
      <c r="S206" s="10">
        <f>IF(T206="",R206,MAX((R206+$R$8)/$R$2,(T206+$T$8)/$T$2)*$R$2-$R$8)</f>
        <v>111</v>
      </c>
      <c r="T206" s="62">
        <v>162</v>
      </c>
      <c r="U206" s="2">
        <f>IF(A206&lt;&gt;"",SUM(B206:I206),"")</f>
        <v>110</v>
      </c>
      <c r="V206" s="10">
        <f>IF(A206&lt;&gt;"",SUM(J206:O206),"")</f>
        <v>28</v>
      </c>
      <c r="W206" s="10">
        <f>IF(A206&lt;&gt;"",SUM(P206:Q206),"")</f>
        <v>0</v>
      </c>
      <c r="X206" s="10">
        <f>IF(A206&lt;&gt;"",SUM(S206:T206),"")</f>
        <v>273</v>
      </c>
      <c r="Y206" s="12" t="s">
        <v>69</v>
      </c>
      <c r="Z206" s="12">
        <f>IF(A206&lt;&gt;"",SUM(U206:Y206),"")</f>
        <v>411</v>
      </c>
      <c r="AA206" s="27">
        <f>IF(A206&lt;&gt;"",(Z206+Normalize_To_Add)/(Point_Total_So_Far)*100,"")</f>
        <v>48.60967318913184</v>
      </c>
      <c r="AB206" s="10">
        <f>IF(A206&lt;&gt;"",RANK(AA206,All_Student_XC),"")</f>
        <v>359</v>
      </c>
      <c r="AC206" s="31" t="str">
        <f>IF(A206&lt;&gt;"",CHOOSE(10-MIN(9,TRUNC((AA206+0.5)/10)),"A","B","C","D","F","F","F","F","F","F"),"")</f>
        <v>F</v>
      </c>
      <c r="AD206" s="31" t="str">
        <f>IF(A206&lt;&gt;"",IF(OR(AA206+0.5&gt;=93,AA206+0.5&lt;60),"",IF(MOD(AA206+0.5,10)&gt;=7,"+",IF(MOD(AA206+0.5,10)&lt;3,"-",""))),"")</f>
        <v/>
      </c>
      <c r="AE206" s="31">
        <f>IF(A206&lt;&gt;"",SUM(W206:X206,$W$8:$X$8)/SUM($W$2:$X$2)*100,"")</f>
        <v>69.619346378263685</v>
      </c>
      <c r="AF206" s="43" t="str">
        <f>IF(A206&lt;&gt;"",CHOOSE(10-MIN(9,TRUNC((AE206+0.5)/10)),"A","B","C","D","F","F","F","F","F","F"),"")</f>
        <v>C</v>
      </c>
      <c r="AG206" s="43" t="str">
        <f>IF(A206&lt;&gt;"",IF(OR(AE206+0.5&gt;=93,AE206+0.5&lt;60),"",IF(MOD(AE206+0.5,10)&gt;=7,"+",IF(MOD(AE206+0.5,10)&lt;3,"-",""))),"")</f>
        <v>-</v>
      </c>
      <c r="AH206" s="35">
        <f>IF(A206&lt;&gt;"",MIN(MAX(AA206,AE206),AA206+$AH$8,AE206+$AH$8),"")</f>
        <v>69.619346378263685</v>
      </c>
      <c r="AI206" s="31" t="str">
        <f>IF(A206&lt;&gt;"",CHOOSE(10-MIN(9,TRUNC((AH206+0.5)/10)),"A","B","C","D","F","F","F","F","F","F"),"")</f>
        <v>C</v>
      </c>
      <c r="AJ206" s="31" t="str">
        <f>IF(A206&lt;&gt;"",IF(OR(AH206+0.5&gt;=93,AH206+0.5&lt;60),"",IF(MOD(AH206+0.5,10)&gt;=7,"+",IF(MOD(AH206+0.5,10)&lt;3,"-",""))),"")</f>
        <v>-</v>
      </c>
      <c r="AK206" s="31" t="b">
        <f>IF(A206&lt;&gt;"",OR(AI206&lt;&gt;AC206,AJ206&lt;&gt;AD206),"")</f>
        <v>1</v>
      </c>
      <c r="AL206" s="81">
        <f>IF(AND(A206&lt;&gt;"",U206&gt;0),SUM(U206,$AL$8)/$AL$2*100,"")</f>
        <v>55.000000000000007</v>
      </c>
      <c r="AM206" s="24">
        <f>IF(AND(A206&lt;&gt;"",V206&gt;0),SUM(V206,$AM$8)/$AM$2*100,"")</f>
        <v>9.3333333333333339</v>
      </c>
      <c r="AN206" s="24" t="str">
        <f>IF(AND(A206&lt;&gt;"",P206&lt;&gt;0),SUM(P206,$AN$8)/$AN$2*100,"")</f>
        <v/>
      </c>
      <c r="AO206" s="24" t="str">
        <f>IF(AND(A206&lt;&gt;"",Q206&lt;&gt;0),SUM(Q206,$AO$8)/$AO$2*100,"")</f>
        <v/>
      </c>
      <c r="AP206" s="24">
        <f>IF(AND(A206&lt;&gt;"",R206&lt;&gt;0),SUM(R206,$AP$8)/$AP$2*100,"")</f>
        <v>70.002659574468083</v>
      </c>
      <c r="AQ206" s="24" t="str">
        <f>IF(AND(A206&lt;&gt;"",W206&gt;0),SUM(W206,$AQ$8)/$AQ$2*100,"")</f>
        <v/>
      </c>
      <c r="AR206" s="24">
        <f>IF(AND(A206&lt;&gt;"",T206&gt;0),SUM(T206,$AR$8)/$AR$2*100,"")</f>
        <v>69.363804247460763</v>
      </c>
      <c r="AS206" s="24">
        <f>IF(AND(A206&lt;&gt;"",X206&lt;&gt;0),SUM(X206,$AS$8)/$AS$2*100,"")</f>
        <v>69.619346378263685</v>
      </c>
      <c r="AT206" s="86">
        <f>IF(A206&lt;&gt;"",SUM(W206:X206,$AT$8)/$AT$2*100,"")</f>
        <v>69.619346378263685</v>
      </c>
      <c r="AU206" s="24">
        <f>AA206</f>
        <v>48.60967318913184</v>
      </c>
      <c r="AV206" s="24"/>
      <c r="AW206" s="27">
        <f>IF(A206&lt;&gt;"",AE206-AA206,"")</f>
        <v>21.009673189131846</v>
      </c>
      <c r="AY206" s="27">
        <f>AR206-AP206</f>
        <v>-0.63885532700732028</v>
      </c>
      <c r="AZ206" s="27">
        <f>ABS(AY206)</f>
        <v>0.63885532700732028</v>
      </c>
    </row>
    <row r="207" spans="1:52" s="27" customFormat="1" ht="12.75" customHeight="1" x14ac:dyDescent="0.2">
      <c r="A207" s="10">
        <v>542952</v>
      </c>
      <c r="B207" s="2">
        <v>25</v>
      </c>
      <c r="C207" s="10">
        <v>21</v>
      </c>
      <c r="D207" s="10" t="s">
        <v>69</v>
      </c>
      <c r="E207" s="10" t="s">
        <v>69</v>
      </c>
      <c r="F207" s="10">
        <v>23</v>
      </c>
      <c r="G207" s="10">
        <v>25</v>
      </c>
      <c r="H207" s="10">
        <v>25</v>
      </c>
      <c r="I207" s="10">
        <v>25</v>
      </c>
      <c r="J207" s="2"/>
      <c r="K207" s="10">
        <v>58</v>
      </c>
      <c r="L207" s="10">
        <v>62</v>
      </c>
      <c r="M207" s="10">
        <v>19</v>
      </c>
      <c r="N207" s="51">
        <v>32</v>
      </c>
      <c r="O207" s="11">
        <v>60</v>
      </c>
      <c r="P207" s="10"/>
      <c r="Q207" s="40"/>
      <c r="R207" s="2">
        <v>103</v>
      </c>
      <c r="S207" s="10">
        <f>IF(T207="",R207,MAX((R207+$R$8)/$R$2,(T207+$T$8)/$T$2)*$R$2-$R$8)</f>
        <v>107.72228934598536</v>
      </c>
      <c r="T207" s="12">
        <v>159</v>
      </c>
      <c r="U207" s="68">
        <f>IF(A207&lt;&gt;"",SUM(B207:I207),"")</f>
        <v>144</v>
      </c>
      <c r="V207" s="10">
        <f>IF(A207&lt;&gt;"",SUM(J207:O207),"")</f>
        <v>231</v>
      </c>
      <c r="W207" s="10">
        <f>IF(A207&lt;&gt;"",SUM(P207:Q207),"")</f>
        <v>0</v>
      </c>
      <c r="X207" s="10">
        <f>IF(A207&lt;&gt;"",SUM(S207:T207),"")</f>
        <v>266.72228934598536</v>
      </c>
      <c r="Y207" s="12" t="s">
        <v>69</v>
      </c>
      <c r="Z207" s="12">
        <f>IF(A207&lt;&gt;"",SUM(U207:Y207),"")</f>
        <v>641.72228934598536</v>
      </c>
      <c r="AA207" s="27">
        <f>IF(A207&lt;&gt;"",(Z207+Normalize_To_Add)/(Point_Total_So_Far)*100,"")</f>
        <v>71.681902123730382</v>
      </c>
      <c r="AB207" s="10">
        <f>IF(A207&lt;&gt;"",RANK(AA207,All_Student_XC),"")</f>
        <v>298</v>
      </c>
      <c r="AC207" s="31" t="str">
        <f>IF(A207&lt;&gt;"",CHOOSE(10-MIN(9,TRUNC((AA207+0.5)/10)),"A","B","C","D","F","F","F","F","F","F"),"")</f>
        <v>C</v>
      </c>
      <c r="AD207" s="31" t="str">
        <f>IF(A207&lt;&gt;"",IF(OR(AA207+0.5&gt;=93,AA207+0.5&lt;60),"",IF(MOD(AA207+0.5,10)&gt;=7,"+",IF(MOD(AA207+0.5,10)&lt;3,"-",""))),"")</f>
        <v>-</v>
      </c>
      <c r="AE207" s="31">
        <f>IF(A207&lt;&gt;"",SUM(W207:X207,$W$8:$X$8)/SUM($W$2:$X$2)*100,"")</f>
        <v>68.363804247460763</v>
      </c>
      <c r="AF207" s="31" t="str">
        <f>IF(A207&lt;&gt;"",CHOOSE(10-MIN(9,TRUNC((AE207+0.5)/10)),"A","B","C","D","F","F","F","F","F","F"),"")</f>
        <v>D</v>
      </c>
      <c r="AG207" s="31" t="str">
        <f>IF(A207&lt;&gt;"",IF(OR(AE207+0.5&gt;=93,AE207+0.5&lt;60),"",IF(MOD(AE207+0.5,10)&gt;=7,"+",IF(MOD(AE207+0.5,10)&lt;3,"-",""))),"")</f>
        <v>+</v>
      </c>
      <c r="AH207" s="35">
        <f>IF(A207&lt;&gt;"",MIN(MAX(AA207,AE207),AA207+$AH$8,AE207+$AH$8),"")</f>
        <v>71.681902123730382</v>
      </c>
      <c r="AI207" s="31" t="str">
        <f>IF(A207&lt;&gt;"",CHOOSE(10-MIN(9,TRUNC((AH207+0.5)/10)),"A","B","C","D","F","F","F","F","F","F"),"")</f>
        <v>C</v>
      </c>
      <c r="AJ207" s="31" t="str">
        <f>IF(A207&lt;&gt;"",IF(OR(AH207+0.5&gt;=93,AH207+0.5&lt;60),"",IF(MOD(AH207+0.5,10)&gt;=7,"+",IF(MOD(AH207+0.5,10)&lt;3,"-",""))),"")</f>
        <v>-</v>
      </c>
      <c r="AK207" s="31" t="b">
        <f>IF(A207&lt;&gt;"",OR(AI207&lt;&gt;AC207,AJ207&lt;&gt;AD207),"")</f>
        <v>0</v>
      </c>
      <c r="AL207" s="81">
        <f>IF(AND(A207&lt;&gt;"",U207&gt;0),SUM(U207,$AL$8)/$AL$2*100,"")</f>
        <v>72</v>
      </c>
      <c r="AM207" s="24">
        <f>IF(AND(A207&lt;&gt;"",V207&gt;0),SUM(V207,$AM$8)/$AM$2*100,"")</f>
        <v>77</v>
      </c>
      <c r="AN207" s="24" t="str">
        <f>IF(AND(A207&lt;&gt;"",P207&lt;&gt;0),SUM(P207,$AN$8)/$AN$2*100,"")</f>
        <v/>
      </c>
      <c r="AO207" s="24" t="str">
        <f>IF(AND(A207&lt;&gt;"",Q207&lt;&gt;0),SUM(Q207,$AO$8)/$AO$2*100,"")</f>
        <v/>
      </c>
      <c r="AP207" s="24">
        <f>IF(AND(A207&lt;&gt;"",R207&lt;&gt;0),SUM(R207,$AP$8)/$AP$2*100,"")</f>
        <v>66.002659574468083</v>
      </c>
      <c r="AQ207" s="24" t="str">
        <f>IF(AND(A207&lt;&gt;"",W207&gt;0),SUM(W207,$AQ$8)/$AQ$2*100,"")</f>
        <v/>
      </c>
      <c r="AR207" s="24">
        <f>IF(AND(A207&lt;&gt;"",T207&gt;0),SUM(T207,$AR$8)/$AR$2*100,"")</f>
        <v>68.363804247460763</v>
      </c>
      <c r="AS207" s="24">
        <f>IF(AND(A207&lt;&gt;"",X207&lt;&gt;0),SUM(X207,$AS$8)/$AS$2*100,"")</f>
        <v>68.363804247460763</v>
      </c>
      <c r="AT207" s="86">
        <f>IF(A207&lt;&gt;"",SUM(W207:X207,$AT$8)/$AT$2*100,"")</f>
        <v>68.363804247460763</v>
      </c>
      <c r="AU207" s="24">
        <f>AA207</f>
        <v>71.681902123730382</v>
      </c>
      <c r="AV207" s="24"/>
      <c r="AW207" s="27">
        <f>IF(A207&lt;&gt;"",AE207-AA207,"")</f>
        <v>-3.3180978762696185</v>
      </c>
      <c r="AY207" s="27">
        <f>AR207-AP207</f>
        <v>2.3611446729926797</v>
      </c>
      <c r="AZ207" s="27">
        <f>ABS(AY207)</f>
        <v>2.3611446729926797</v>
      </c>
    </row>
    <row r="208" spans="1:52" s="27" customFormat="1" ht="12.75" customHeight="1" x14ac:dyDescent="0.2">
      <c r="A208" s="50">
        <v>542960</v>
      </c>
      <c r="B208" s="2">
        <v>25</v>
      </c>
      <c r="C208" s="50">
        <v>19</v>
      </c>
      <c r="D208" s="10">
        <v>21</v>
      </c>
      <c r="E208" s="10">
        <v>21</v>
      </c>
      <c r="F208" s="10">
        <v>21</v>
      </c>
      <c r="G208" s="10">
        <v>25</v>
      </c>
      <c r="H208" s="10">
        <v>24</v>
      </c>
      <c r="I208" s="10">
        <v>19</v>
      </c>
      <c r="J208" s="2"/>
      <c r="K208" s="10">
        <v>57</v>
      </c>
      <c r="L208" s="10">
        <v>60</v>
      </c>
      <c r="M208" s="10">
        <v>59</v>
      </c>
      <c r="N208" s="51">
        <v>61</v>
      </c>
      <c r="O208" s="11">
        <v>62</v>
      </c>
      <c r="P208" s="10"/>
      <c r="Q208" s="40"/>
      <c r="R208" s="2">
        <v>142</v>
      </c>
      <c r="S208" s="10">
        <f>IF(T208="",R208,MAX((R208+$R$8)/$R$2,(T208+$T$8)/$T$2)*$R$2-$R$8)</f>
        <v>143.72228934598533</v>
      </c>
      <c r="T208" s="62">
        <v>213</v>
      </c>
      <c r="U208" s="2">
        <f>IF(A208&lt;&gt;"",SUM(B208:I208),"")</f>
        <v>175</v>
      </c>
      <c r="V208" s="10">
        <f>IF(A208&lt;&gt;"",SUM(J208:O208),"")</f>
        <v>299</v>
      </c>
      <c r="W208" s="10">
        <f>IF(A208&lt;&gt;"",SUM(P208:Q208),"")</f>
        <v>0</v>
      </c>
      <c r="X208" s="10">
        <f>IF(A208&lt;&gt;"",SUM(S208:T208),"")</f>
        <v>356.72228934598536</v>
      </c>
      <c r="Y208" s="12">
        <v>3</v>
      </c>
      <c r="Z208" s="12">
        <f>IF(A208&lt;&gt;"",SUM(U208:Y208),"")</f>
        <v>833.72228934598536</v>
      </c>
      <c r="AA208" s="27">
        <f>IF(A208&lt;&gt;"",(Z208+Normalize_To_Add)/(Point_Total_So_Far)*100,"")</f>
        <v>90.88190212373037</v>
      </c>
      <c r="AB208" s="10">
        <f>IF(A208&lt;&gt;"",RANK(AA208,All_Student_XC),"")</f>
        <v>68</v>
      </c>
      <c r="AC208" s="31" t="str">
        <f>IF(A208&lt;&gt;"",CHOOSE(10-MIN(9,TRUNC((AA208+0.5)/10)),"A","B","C","D","F","F","F","F","F","F"),"")</f>
        <v>A</v>
      </c>
      <c r="AD208" s="31" t="str">
        <f>IF(A208&lt;&gt;"",IF(OR(AA208+0.5&gt;=93,AA208+0.5&lt;60),"",IF(MOD(AA208+0.5,10)&gt;=7,"+",IF(MOD(AA208+0.5,10)&lt;3,"-",""))),"")</f>
        <v>-</v>
      </c>
      <c r="AE208" s="31">
        <f>IF(A208&lt;&gt;"",SUM(W208:X208,$W$8:$X$8)/SUM($W$2:$X$2)*100,"")</f>
        <v>86.363804247460763</v>
      </c>
      <c r="AF208" s="43" t="str">
        <f>IF(A208&lt;&gt;"",CHOOSE(10-MIN(9,TRUNC((AE208+0.5)/10)),"A","B","C","D","F","F","F","F","F","F"),"")</f>
        <v>B</v>
      </c>
      <c r="AG208" s="43" t="str">
        <f>IF(A208&lt;&gt;"",IF(OR(AE208+0.5&gt;=93,AE208+0.5&lt;60),"",IF(MOD(AE208+0.5,10)&gt;=7,"+",IF(MOD(AE208+0.5,10)&lt;3,"-",""))),"")</f>
        <v/>
      </c>
      <c r="AH208" s="35">
        <f>IF(A208&lt;&gt;"",MIN(MAX(AA208,AE208),AA208+$AH$8,AE208+$AH$8),"")</f>
        <v>90.88190212373037</v>
      </c>
      <c r="AI208" s="31" t="str">
        <f>IF(A208&lt;&gt;"",CHOOSE(10-MIN(9,TRUNC((AH208+0.5)/10)),"A","B","C","D","F","F","F","F","F","F"),"")</f>
        <v>A</v>
      </c>
      <c r="AJ208" s="31" t="str">
        <f>IF(A208&lt;&gt;"",IF(OR(AH208+0.5&gt;=93,AH208+0.5&lt;60),"",IF(MOD(AH208+0.5,10)&gt;=7,"+",IF(MOD(AH208+0.5,10)&lt;3,"-",""))),"")</f>
        <v>-</v>
      </c>
      <c r="AK208" s="31" t="b">
        <f>IF(A208&lt;&gt;"",OR(AI208&lt;&gt;AC208,AJ208&lt;&gt;AD208),"")</f>
        <v>0</v>
      </c>
      <c r="AL208" s="81">
        <f>IF(AND(A208&lt;&gt;"",U208&gt;0),SUM(U208,$AL$8)/$AL$2*100,"")</f>
        <v>87.5</v>
      </c>
      <c r="AM208" s="24">
        <f>IF(AND(A208&lt;&gt;"",V208&gt;0),SUM(V208,$AM$8)/$AM$2*100,"")</f>
        <v>99.666666666666671</v>
      </c>
      <c r="AN208" s="24" t="str">
        <f>IF(AND(A208&lt;&gt;"",P208&lt;&gt;0),SUM(P208,$AN$8)/$AN$2*100,"")</f>
        <v/>
      </c>
      <c r="AO208" s="24" t="str">
        <f>IF(AND(A208&lt;&gt;"",Q208&lt;&gt;0),SUM(Q208,$AO$8)/$AO$2*100,"")</f>
        <v/>
      </c>
      <c r="AP208" s="24">
        <f>IF(AND(A208&lt;&gt;"",R208&lt;&gt;0),SUM(R208,$AP$8)/$AP$2*100,"")</f>
        <v>85.502659574468083</v>
      </c>
      <c r="AQ208" s="24" t="str">
        <f>IF(AND(A208&lt;&gt;"",W208&gt;0),SUM(W208,$AQ$8)/$AQ$2*100,"")</f>
        <v/>
      </c>
      <c r="AR208" s="24">
        <f>IF(AND(A208&lt;&gt;"",T208&gt;0),SUM(T208,$AR$8)/$AR$2*100,"")</f>
        <v>86.363804247460749</v>
      </c>
      <c r="AS208" s="24">
        <f>IF(AND(A208&lt;&gt;"",X208&lt;&gt;0),SUM(X208,$AS$8)/$AS$2*100,"")</f>
        <v>86.363804247460763</v>
      </c>
      <c r="AT208" s="86">
        <f>IF(A208&lt;&gt;"",SUM(W208:X208,$AT$8)/$AT$2*100,"")</f>
        <v>86.363804247460763</v>
      </c>
      <c r="AU208" s="24">
        <f>AA208</f>
        <v>90.88190212373037</v>
      </c>
      <c r="AV208" s="24"/>
      <c r="AW208" s="27">
        <f>IF(A208&lt;&gt;"",AE208-AA208,"")</f>
        <v>-4.5180978762696071</v>
      </c>
      <c r="AY208" s="27">
        <f>AR208-AP208</f>
        <v>0.86114467299266551</v>
      </c>
      <c r="AZ208" s="27">
        <f>ABS(AY208)</f>
        <v>0.86114467299266551</v>
      </c>
    </row>
    <row r="209" spans="1:52" s="27" customFormat="1" ht="12.75" customHeight="1" x14ac:dyDescent="0.2">
      <c r="A209" s="10">
        <v>544600</v>
      </c>
      <c r="B209" s="2">
        <v>25</v>
      </c>
      <c r="C209" s="10">
        <v>25</v>
      </c>
      <c r="D209" s="10">
        <v>21</v>
      </c>
      <c r="E209" s="10">
        <v>22</v>
      </c>
      <c r="F209" s="10">
        <v>20</v>
      </c>
      <c r="G209" s="10">
        <v>25</v>
      </c>
      <c r="H209" s="10">
        <v>23</v>
      </c>
      <c r="I209" s="10">
        <v>25</v>
      </c>
      <c r="J209" s="2"/>
      <c r="K209" s="10">
        <v>62</v>
      </c>
      <c r="L209" s="10">
        <v>62</v>
      </c>
      <c r="M209" s="10">
        <v>57</v>
      </c>
      <c r="N209" s="51">
        <v>60</v>
      </c>
      <c r="O209" s="11">
        <v>62</v>
      </c>
      <c r="P209" s="10"/>
      <c r="Q209" s="40"/>
      <c r="R209" s="2">
        <v>83</v>
      </c>
      <c r="S209" s="10">
        <f>IF(T209="",R209,MAX((R209+$R$8)/$R$2,(T209+$T$8)/$T$2)*$R$2-$R$8)</f>
        <v>123.72228934598533</v>
      </c>
      <c r="T209" s="12">
        <v>183</v>
      </c>
      <c r="U209" s="68">
        <f>IF(A209&lt;&gt;"",SUM(B209:I209),"")</f>
        <v>186</v>
      </c>
      <c r="V209" s="10">
        <f>IF(A209&lt;&gt;"",SUM(J209:O209),"")</f>
        <v>303</v>
      </c>
      <c r="W209" s="10">
        <f>IF(A209&lt;&gt;"",SUM(P209:Q209),"")</f>
        <v>0</v>
      </c>
      <c r="X209" s="10">
        <f>IF(A209&lt;&gt;"",SUM(S209:T209),"")</f>
        <v>306.72228934598536</v>
      </c>
      <c r="Y209" s="12">
        <v>3</v>
      </c>
      <c r="Z209" s="12">
        <f>IF(A209&lt;&gt;"",SUM(U209:Y209),"")</f>
        <v>798.72228934598536</v>
      </c>
      <c r="AA209" s="27">
        <f>IF(A209&lt;&gt;"",(Z209+Normalize_To_Add)/(Point_Total_So_Far)*100,"")</f>
        <v>87.381902123730384</v>
      </c>
      <c r="AB209" s="10">
        <f>IF(A209&lt;&gt;"",RANK(AA209,All_Student_XC),"")</f>
        <v>121</v>
      </c>
      <c r="AC209" s="31" t="str">
        <f>IF(A209&lt;&gt;"",CHOOSE(10-MIN(9,TRUNC((AA209+0.5)/10)),"A","B","C","D","F","F","F","F","F","F"),"")</f>
        <v>B</v>
      </c>
      <c r="AD209" s="31" t="str">
        <f>IF(A209&lt;&gt;"",IF(OR(AA209+0.5&gt;=93,AA209+0.5&lt;60),"",IF(MOD(AA209+0.5,10)&gt;=7,"+",IF(MOD(AA209+0.5,10)&lt;3,"-",""))),"")</f>
        <v>+</v>
      </c>
      <c r="AE209" s="31">
        <f>IF(A209&lt;&gt;"",SUM(W209:X209,$W$8:$X$8)/SUM($W$2:$X$2)*100,"")</f>
        <v>76.363804247460749</v>
      </c>
      <c r="AF209" s="31" t="str">
        <f>IF(A209&lt;&gt;"",CHOOSE(10-MIN(9,TRUNC((AE209+0.5)/10)),"A","B","C","D","F","F","F","F","F","F"),"")</f>
        <v>C</v>
      </c>
      <c r="AG209" s="31" t="str">
        <f>IF(A209&lt;&gt;"",IF(OR(AE209+0.5&gt;=93,AE209+0.5&lt;60),"",IF(MOD(AE209+0.5,10)&gt;=7,"+",IF(MOD(AE209+0.5,10)&lt;3,"-",""))),"")</f>
        <v/>
      </c>
      <c r="AH209" s="35">
        <f>IF(A209&lt;&gt;"",MIN(MAX(AA209,AE209),AA209+$AH$8,AE209+$AH$8),"")</f>
        <v>87.381902123730384</v>
      </c>
      <c r="AI209" s="31" t="str">
        <f>IF(A209&lt;&gt;"",CHOOSE(10-MIN(9,TRUNC((AH209+0.5)/10)),"A","B","C","D","F","F","F","F","F","F"),"")</f>
        <v>B</v>
      </c>
      <c r="AJ209" s="31" t="str">
        <f>IF(A209&lt;&gt;"",IF(OR(AH209+0.5&gt;=93,AH209+0.5&lt;60),"",IF(MOD(AH209+0.5,10)&gt;=7,"+",IF(MOD(AH209+0.5,10)&lt;3,"-",""))),"")</f>
        <v>+</v>
      </c>
      <c r="AK209" s="31" t="b">
        <f>IF(A209&lt;&gt;"",OR(AI209&lt;&gt;AC209,AJ209&lt;&gt;AD209),"")</f>
        <v>0</v>
      </c>
      <c r="AL209" s="81">
        <f>IF(AND(A209&lt;&gt;"",U209&gt;0),SUM(U209,$AL$8)/$AL$2*100,"")</f>
        <v>93</v>
      </c>
      <c r="AM209" s="24">
        <f>IF(AND(A209&lt;&gt;"",V209&gt;0),SUM(V209,$AM$8)/$AM$2*100,"")</f>
        <v>101</v>
      </c>
      <c r="AN209" s="24" t="str">
        <f>IF(AND(A209&lt;&gt;"",P209&lt;&gt;0),SUM(P209,$AN$8)/$AN$2*100,"")</f>
        <v/>
      </c>
      <c r="AO209" s="24" t="str">
        <f>IF(AND(A209&lt;&gt;"",Q209&lt;&gt;0),SUM(Q209,$AO$8)/$AO$2*100,"")</f>
        <v/>
      </c>
      <c r="AP209" s="24">
        <f>IF(AND(A209&lt;&gt;"",R209&lt;&gt;0),SUM(R209,$AP$8)/$AP$2*100,"")</f>
        <v>56.002659574468083</v>
      </c>
      <c r="AQ209" s="24" t="str">
        <f>IF(AND(A209&lt;&gt;"",W209&gt;0),SUM(W209,$AQ$8)/$AQ$2*100,"")</f>
        <v/>
      </c>
      <c r="AR209" s="24">
        <f>IF(AND(A209&lt;&gt;"",T209&gt;0),SUM(T209,$AR$8)/$AR$2*100,"")</f>
        <v>76.363804247460749</v>
      </c>
      <c r="AS209" s="24">
        <f>IF(AND(A209&lt;&gt;"",X209&lt;&gt;0),SUM(X209,$AS$8)/$AS$2*100,"")</f>
        <v>76.363804247460749</v>
      </c>
      <c r="AT209" s="86">
        <f>IF(A209&lt;&gt;"",SUM(W209:X209,$AT$8)/$AT$2*100,"")</f>
        <v>76.363804247460749</v>
      </c>
      <c r="AU209" s="24">
        <f>AA209</f>
        <v>87.381902123730384</v>
      </c>
      <c r="AV209" s="24"/>
      <c r="AW209" s="27">
        <f>IF(A209&lt;&gt;"",AE209-AA209,"")</f>
        <v>-11.018097876269636</v>
      </c>
      <c r="AY209" s="27">
        <f>AR209-AP209</f>
        <v>20.361144672992666</v>
      </c>
      <c r="AZ209" s="27">
        <f>ABS(AY209)</f>
        <v>20.361144672992666</v>
      </c>
    </row>
    <row r="210" spans="1:52" s="27" customFormat="1" ht="12.75" customHeight="1" x14ac:dyDescent="0.2">
      <c r="A210" s="50">
        <v>549126</v>
      </c>
      <c r="B210" s="2">
        <v>23</v>
      </c>
      <c r="C210" s="50">
        <v>25</v>
      </c>
      <c r="D210" s="10">
        <v>25</v>
      </c>
      <c r="E210" s="10">
        <v>24</v>
      </c>
      <c r="F210" s="10">
        <v>25</v>
      </c>
      <c r="G210" s="10">
        <v>25</v>
      </c>
      <c r="H210" s="10">
        <v>14</v>
      </c>
      <c r="I210" s="10">
        <v>25</v>
      </c>
      <c r="J210" s="2"/>
      <c r="K210" s="10">
        <v>63</v>
      </c>
      <c r="L210" s="10">
        <v>61</v>
      </c>
      <c r="M210" s="10">
        <v>61</v>
      </c>
      <c r="N210" s="51">
        <v>56</v>
      </c>
      <c r="O210" s="11">
        <v>60</v>
      </c>
      <c r="P210" s="10"/>
      <c r="Q210" s="40"/>
      <c r="R210" s="2">
        <v>157</v>
      </c>
      <c r="S210" s="10">
        <f>IF(T210="",R210,MAX((R210+$R$8)/$R$2,(T210+$T$8)/$T$2)*$R$2-$R$8)</f>
        <v>157</v>
      </c>
      <c r="T210" s="62">
        <v>168</v>
      </c>
      <c r="U210" s="2">
        <f>IF(A210&lt;&gt;"",SUM(B210:I210),"")</f>
        <v>186</v>
      </c>
      <c r="V210" s="10">
        <f>IF(A210&lt;&gt;"",SUM(J210:O210),"")</f>
        <v>301</v>
      </c>
      <c r="W210" s="10">
        <f>IF(A210&lt;&gt;"",SUM(P210:Q210),"")</f>
        <v>0</v>
      </c>
      <c r="X210" s="10">
        <f>IF(A210&lt;&gt;"",SUM(S210:T210),"")</f>
        <v>325</v>
      </c>
      <c r="Y210" s="12">
        <v>3</v>
      </c>
      <c r="Z210" s="12">
        <f>IF(A210&lt;&gt;"",SUM(U210:Y210),"")</f>
        <v>815</v>
      </c>
      <c r="AA210" s="27">
        <f>IF(A210&lt;&gt;"",(Z210+Normalize_To_Add)/(Point_Total_So_Far)*100,"")</f>
        <v>89.009673189131846</v>
      </c>
      <c r="AB210" s="10">
        <f>IF(A210&lt;&gt;"",RANK(AA210,All_Student_XC),"")</f>
        <v>96</v>
      </c>
      <c r="AC210" s="31" t="str">
        <f>IF(A210&lt;&gt;"",CHOOSE(10-MIN(9,TRUNC((AA210+0.5)/10)),"A","B","C","D","F","F","F","F","F","F"),"")</f>
        <v>B</v>
      </c>
      <c r="AD210" s="31" t="str">
        <f>IF(A210&lt;&gt;"",IF(OR(AA210+0.5&gt;=93,AA210+0.5&lt;60),"",IF(MOD(AA210+0.5,10)&gt;=7,"+",IF(MOD(AA210+0.5,10)&lt;3,"-",""))),"")</f>
        <v>+</v>
      </c>
      <c r="AE210" s="31">
        <f>IF(A210&lt;&gt;"",SUM(W210:X210,$W$8:$X$8)/SUM($W$2:$X$2)*100,"")</f>
        <v>80.019346378263691</v>
      </c>
      <c r="AF210" s="43" t="str">
        <f>IF(A210&lt;&gt;"",CHOOSE(10-MIN(9,TRUNC((AE210+0.5)/10)),"A","B","C","D","F","F","F","F","F","F"),"")</f>
        <v>B</v>
      </c>
      <c r="AG210" s="43" t="str">
        <f>IF(A210&lt;&gt;"",IF(OR(AE210+0.5&gt;=93,AE210+0.5&lt;60),"",IF(MOD(AE210+0.5,10)&gt;=7,"+",IF(MOD(AE210+0.5,10)&lt;3,"-",""))),"")</f>
        <v>-</v>
      </c>
      <c r="AH210" s="35">
        <f>IF(A210&lt;&gt;"",MIN(MAX(AA210,AE210),AA210+$AH$8,AE210+$AH$8),"")</f>
        <v>89.009673189131846</v>
      </c>
      <c r="AI210" s="31" t="str">
        <f>IF(A210&lt;&gt;"",CHOOSE(10-MIN(9,TRUNC((AH210+0.5)/10)),"A","B","C","D","F","F","F","F","F","F"),"")</f>
        <v>B</v>
      </c>
      <c r="AJ210" s="31" t="str">
        <f>IF(A210&lt;&gt;"",IF(OR(AH210+0.5&gt;=93,AH210+0.5&lt;60),"",IF(MOD(AH210+0.5,10)&gt;=7,"+",IF(MOD(AH210+0.5,10)&lt;3,"-",""))),"")</f>
        <v>+</v>
      </c>
      <c r="AK210" s="31" t="b">
        <f>IF(A210&lt;&gt;"",OR(AI210&lt;&gt;AC210,AJ210&lt;&gt;AD210),"")</f>
        <v>0</v>
      </c>
      <c r="AL210" s="81">
        <f>IF(AND(A210&lt;&gt;"",U210&gt;0),SUM(U210,$AL$8)/$AL$2*100,"")</f>
        <v>93</v>
      </c>
      <c r="AM210" s="24">
        <f>IF(AND(A210&lt;&gt;"",V210&gt;0),SUM(V210,$AM$8)/$AM$2*100,"")</f>
        <v>100.33333333333334</v>
      </c>
      <c r="AN210" s="24" t="str">
        <f>IF(AND(A210&lt;&gt;"",P210&lt;&gt;0),SUM(P210,$AN$8)/$AN$2*100,"")</f>
        <v/>
      </c>
      <c r="AO210" s="24" t="str">
        <f>IF(AND(A210&lt;&gt;"",Q210&lt;&gt;0),SUM(Q210,$AO$8)/$AO$2*100,"")</f>
        <v/>
      </c>
      <c r="AP210" s="24">
        <f>IF(AND(A210&lt;&gt;"",R210&lt;&gt;0),SUM(R210,$AP$8)/$AP$2*100,"")</f>
        <v>93.002659574468083</v>
      </c>
      <c r="AQ210" s="24" t="str">
        <f>IF(AND(A210&lt;&gt;"",W210&gt;0),SUM(W210,$AQ$8)/$AQ$2*100,"")</f>
        <v/>
      </c>
      <c r="AR210" s="24">
        <f>IF(AND(A210&lt;&gt;"",T210&gt;0),SUM(T210,$AR$8)/$AR$2*100,"")</f>
        <v>71.363804247460749</v>
      </c>
      <c r="AS210" s="24">
        <f>IF(AND(A210&lt;&gt;"",X210&lt;&gt;0),SUM(X210,$AS$8)/$AS$2*100,"")</f>
        <v>80.019346378263691</v>
      </c>
      <c r="AT210" s="86">
        <f>IF(A210&lt;&gt;"",SUM(W210:X210,$AT$8)/$AT$2*100,"")</f>
        <v>80.019346378263691</v>
      </c>
      <c r="AU210" s="24">
        <f>AA210</f>
        <v>89.009673189131846</v>
      </c>
      <c r="AV210" s="24"/>
      <c r="AW210" s="27">
        <f>IF(A210&lt;&gt;"",AE210-AA210,"")</f>
        <v>-8.9903268108681544</v>
      </c>
      <c r="AY210" s="27">
        <f>AR210-AP210</f>
        <v>-21.638855327007334</v>
      </c>
      <c r="AZ210" s="27">
        <f>ABS(AY210)</f>
        <v>21.638855327007334</v>
      </c>
    </row>
    <row r="211" spans="1:52" s="27" customFormat="1" ht="12.75" customHeight="1" x14ac:dyDescent="0.2">
      <c r="A211" s="50">
        <v>559904</v>
      </c>
      <c r="B211" s="2">
        <v>25</v>
      </c>
      <c r="C211" s="50">
        <v>25</v>
      </c>
      <c r="D211" s="10">
        <v>24</v>
      </c>
      <c r="E211" s="10">
        <v>24</v>
      </c>
      <c r="F211" s="10">
        <v>22</v>
      </c>
      <c r="G211" s="10">
        <v>25</v>
      </c>
      <c r="H211" s="10">
        <v>19</v>
      </c>
      <c r="I211" s="10">
        <v>25</v>
      </c>
      <c r="J211" s="2"/>
      <c r="K211" s="10">
        <v>62</v>
      </c>
      <c r="L211" s="10">
        <v>59</v>
      </c>
      <c r="M211" s="10">
        <v>60</v>
      </c>
      <c r="N211" s="51">
        <v>62</v>
      </c>
      <c r="O211" s="11">
        <v>62</v>
      </c>
      <c r="P211" s="10"/>
      <c r="Q211" s="40"/>
      <c r="R211" s="2">
        <v>158</v>
      </c>
      <c r="S211" s="10">
        <f>IF(T211="",R211,MAX((R211+$R$8)/$R$2,(T211+$T$8)/$T$2)*$R$2-$R$8)</f>
        <v>160.38895601265202</v>
      </c>
      <c r="T211" s="62">
        <v>238</v>
      </c>
      <c r="U211" s="2">
        <f>IF(A211&lt;&gt;"",SUM(B211:I211),"")</f>
        <v>189</v>
      </c>
      <c r="V211" s="10">
        <f>IF(A211&lt;&gt;"",SUM(J211:O211),"")</f>
        <v>305</v>
      </c>
      <c r="W211" s="10">
        <f>IF(A211&lt;&gt;"",SUM(P211:Q211),"")</f>
        <v>0</v>
      </c>
      <c r="X211" s="10">
        <f>IF(A211&lt;&gt;"",SUM(S211:T211),"")</f>
        <v>398.38895601265199</v>
      </c>
      <c r="Y211" s="12">
        <v>3</v>
      </c>
      <c r="Z211" s="12">
        <f>IF(A211&lt;&gt;"",SUM(U211:Y211),"")</f>
        <v>895.38895601265199</v>
      </c>
      <c r="AA211" s="27">
        <f>IF(A211&lt;&gt;"",(Z211+Normalize_To_Add)/(Point_Total_So_Far)*100,"")</f>
        <v>97.048568790397042</v>
      </c>
      <c r="AB211" s="10">
        <f>IF(A211&lt;&gt;"",RANK(AA211,All_Student_XC),"")</f>
        <v>18</v>
      </c>
      <c r="AC211" s="31" t="str">
        <f>IF(A211&lt;&gt;"",CHOOSE(10-MIN(9,TRUNC((AA211+0.5)/10)),"A","B","C","D","F","F","F","F","F","F"),"")</f>
        <v>A</v>
      </c>
      <c r="AD211" s="31" t="str">
        <f>IF(A211&lt;&gt;"",IF(OR(AA211+0.5&gt;=93,AA211+0.5&lt;60),"",IF(MOD(AA211+0.5,10)&gt;=7,"+",IF(MOD(AA211+0.5,10)&lt;3,"-",""))),"")</f>
        <v/>
      </c>
      <c r="AE211" s="31">
        <f>IF(A211&lt;&gt;"",SUM(W211:X211,$W$8:$X$8)/SUM($W$2:$X$2)*100,"")</f>
        <v>94.697137580794092</v>
      </c>
      <c r="AF211" s="43" t="str">
        <f>IF(A211&lt;&gt;"",CHOOSE(10-MIN(9,TRUNC((AE211+0.5)/10)),"A","B","C","D","F","F","F","F","F","F"),"")</f>
        <v>A</v>
      </c>
      <c r="AG211" s="43" t="str">
        <f>IF(A211&lt;&gt;"",IF(OR(AE211+0.5&gt;=93,AE211+0.5&lt;60),"",IF(MOD(AE211+0.5,10)&gt;=7,"+",IF(MOD(AE211+0.5,10)&lt;3,"-",""))),"")</f>
        <v/>
      </c>
      <c r="AH211" s="35">
        <f>IF(A211&lt;&gt;"",MIN(MAX(AA211,AE211),AA211+$AH$8,AE211+$AH$8),"")</f>
        <v>97.048568790397042</v>
      </c>
      <c r="AI211" s="31" t="str">
        <f>IF(A211&lt;&gt;"",CHOOSE(10-MIN(9,TRUNC((AH211+0.5)/10)),"A","B","C","D","F","F","F","F","F","F"),"")</f>
        <v>A</v>
      </c>
      <c r="AJ211" s="31" t="str">
        <f>IF(A211&lt;&gt;"",IF(OR(AH211+0.5&gt;=93,AH211+0.5&lt;60),"",IF(MOD(AH211+0.5,10)&gt;=7,"+",IF(MOD(AH211+0.5,10)&lt;3,"-",""))),"")</f>
        <v/>
      </c>
      <c r="AK211" s="31" t="b">
        <f>IF(A211&lt;&gt;"",OR(AI211&lt;&gt;AC211,AJ211&lt;&gt;AD211),"")</f>
        <v>0</v>
      </c>
      <c r="AL211" s="81">
        <f>IF(AND(A211&lt;&gt;"",U211&gt;0),SUM(U211,$AL$8)/$AL$2*100,"")</f>
        <v>94.5</v>
      </c>
      <c r="AM211" s="24">
        <f>IF(AND(A211&lt;&gt;"",V211&gt;0),SUM(V211,$AM$8)/$AM$2*100,"")</f>
        <v>101.66666666666666</v>
      </c>
      <c r="AN211" s="24" t="str">
        <f>IF(AND(A211&lt;&gt;"",P211&lt;&gt;0),SUM(P211,$AN$8)/$AN$2*100,"")</f>
        <v/>
      </c>
      <c r="AO211" s="24" t="str">
        <f>IF(AND(A211&lt;&gt;"",Q211&lt;&gt;0),SUM(Q211,$AO$8)/$AO$2*100,"")</f>
        <v/>
      </c>
      <c r="AP211" s="24">
        <f>IF(AND(A211&lt;&gt;"",R211&lt;&gt;0),SUM(R211,$AP$8)/$AP$2*100,"")</f>
        <v>93.502659574468083</v>
      </c>
      <c r="AQ211" s="24" t="str">
        <f>IF(AND(A211&lt;&gt;"",W211&gt;0),SUM(W211,$AQ$8)/$AQ$2*100,"")</f>
        <v/>
      </c>
      <c r="AR211" s="24">
        <f>IF(AND(A211&lt;&gt;"",T211&gt;0),SUM(T211,$AR$8)/$AR$2*100,"")</f>
        <v>94.697137580794092</v>
      </c>
      <c r="AS211" s="24">
        <f>IF(AND(A211&lt;&gt;"",X211&lt;&gt;0),SUM(X211,$AS$8)/$AS$2*100,"")</f>
        <v>94.697137580794092</v>
      </c>
      <c r="AT211" s="86">
        <f>IF(A211&lt;&gt;"",SUM(W211:X211,$AT$8)/$AT$2*100,"")</f>
        <v>94.697137580794092</v>
      </c>
      <c r="AU211" s="24">
        <f>AA211</f>
        <v>97.048568790397042</v>
      </c>
      <c r="AV211" s="24"/>
      <c r="AW211" s="27">
        <f>IF(A211&lt;&gt;"",AE211-AA211,"")</f>
        <v>-2.3514312096029499</v>
      </c>
      <c r="AY211" s="27">
        <f>AR211-AP211</f>
        <v>1.1944780063260083</v>
      </c>
      <c r="AZ211" s="27">
        <f>ABS(AY211)</f>
        <v>1.1944780063260083</v>
      </c>
    </row>
    <row r="212" spans="1:52" s="27" customFormat="1" ht="12.75" customHeight="1" x14ac:dyDescent="0.2">
      <c r="A212" s="10">
        <v>560616</v>
      </c>
      <c r="B212" s="2">
        <v>20</v>
      </c>
      <c r="C212" s="10">
        <v>22</v>
      </c>
      <c r="D212" s="10">
        <v>25</v>
      </c>
      <c r="E212" s="10">
        <v>25</v>
      </c>
      <c r="F212" s="10">
        <v>20</v>
      </c>
      <c r="G212" s="10">
        <v>25</v>
      </c>
      <c r="H212" s="10">
        <v>23</v>
      </c>
      <c r="I212" s="10">
        <v>25</v>
      </c>
      <c r="J212" s="2"/>
      <c r="K212" s="10">
        <v>38</v>
      </c>
      <c r="L212" s="10">
        <v>60</v>
      </c>
      <c r="M212" s="10">
        <v>57</v>
      </c>
      <c r="N212" s="51">
        <v>38</v>
      </c>
      <c r="O212" s="11">
        <v>62</v>
      </c>
      <c r="P212" s="10"/>
      <c r="Q212" s="40"/>
      <c r="R212" s="2">
        <v>114</v>
      </c>
      <c r="S212" s="10">
        <f>IF(T212="",R212,MAX((R212+$R$8)/$R$2,(T212+$T$8)/$T$2)*$R$2-$R$8)</f>
        <v>114</v>
      </c>
      <c r="T212" s="12">
        <v>125</v>
      </c>
      <c r="U212" s="68">
        <f>IF(A212&lt;&gt;"",SUM(B212:I212),"")</f>
        <v>185</v>
      </c>
      <c r="V212" s="10">
        <f>IF(A212&lt;&gt;"",SUM(J212:O212),"")</f>
        <v>255</v>
      </c>
      <c r="W212" s="10">
        <f>IF(A212&lt;&gt;"",SUM(P212:Q212),"")</f>
        <v>0</v>
      </c>
      <c r="X212" s="10">
        <f>IF(A212&lt;&gt;"",SUM(S212:T212),"")</f>
        <v>239</v>
      </c>
      <c r="Y212" s="12">
        <v>3</v>
      </c>
      <c r="Z212" s="12">
        <f>IF(A212&lt;&gt;"",SUM(U212:Y212),"")</f>
        <v>682</v>
      </c>
      <c r="AA212" s="27">
        <f>IF(A212&lt;&gt;"",(Z212+Normalize_To_Add)/(Point_Total_So_Far)*100,"")</f>
        <v>75.709673189131848</v>
      </c>
      <c r="AB212" s="10">
        <f>IF(A212&lt;&gt;"",RANK(AA212,All_Student_XC),"")</f>
        <v>268</v>
      </c>
      <c r="AC212" s="31" t="str">
        <f>IF(A212&lt;&gt;"",CHOOSE(10-MIN(9,TRUNC((AA212+0.5)/10)),"A","B","C","D","F","F","F","F","F","F"),"")</f>
        <v>C</v>
      </c>
      <c r="AD212" s="31" t="str">
        <f>IF(A212&lt;&gt;"",IF(OR(AA212+0.5&gt;=93,AA212+0.5&lt;60),"",IF(MOD(AA212+0.5,10)&gt;=7,"+",IF(MOD(AA212+0.5,10)&lt;3,"-",""))),"")</f>
        <v/>
      </c>
      <c r="AE212" s="31">
        <f>IF(A212&lt;&gt;"",SUM(W212:X212,$W$8:$X$8)/SUM($W$2:$X$2)*100,"")</f>
        <v>62.819346378263688</v>
      </c>
      <c r="AF212" s="31" t="str">
        <f>IF(A212&lt;&gt;"",CHOOSE(10-MIN(9,TRUNC((AE212+0.5)/10)),"A","B","C","D","F","F","F","F","F","F"),"")</f>
        <v>D</v>
      </c>
      <c r="AG212" s="31" t="str">
        <f>IF(A212&lt;&gt;"",IF(OR(AE212+0.5&gt;=93,AE212+0.5&lt;60),"",IF(MOD(AE212+0.5,10)&gt;=7,"+",IF(MOD(AE212+0.5,10)&lt;3,"-",""))),"")</f>
        <v/>
      </c>
      <c r="AH212" s="35">
        <f>IF(A212&lt;&gt;"",MIN(MAX(AA212,AE212),AA212+$AH$8,AE212+$AH$8),"")</f>
        <v>75.709673189131848</v>
      </c>
      <c r="AI212" s="31" t="str">
        <f>IF(A212&lt;&gt;"",CHOOSE(10-MIN(9,TRUNC((AH212+0.5)/10)),"A","B","C","D","F","F","F","F","F","F"),"")</f>
        <v>C</v>
      </c>
      <c r="AJ212" s="31" t="str">
        <f>IF(A212&lt;&gt;"",IF(OR(AH212+0.5&gt;=93,AH212+0.5&lt;60),"",IF(MOD(AH212+0.5,10)&gt;=7,"+",IF(MOD(AH212+0.5,10)&lt;3,"-",""))),"")</f>
        <v/>
      </c>
      <c r="AK212" s="31" t="b">
        <f>IF(A212&lt;&gt;"",OR(AI212&lt;&gt;AC212,AJ212&lt;&gt;AD212),"")</f>
        <v>0</v>
      </c>
      <c r="AL212" s="81">
        <f>IF(AND(A212&lt;&gt;"",U212&gt;0),SUM(U212,$AL$8)/$AL$2*100,"")</f>
        <v>92.5</v>
      </c>
      <c r="AM212" s="24">
        <f>IF(AND(A212&lt;&gt;"",V212&gt;0),SUM(V212,$AM$8)/$AM$2*100,"")</f>
        <v>85</v>
      </c>
      <c r="AN212" s="24" t="str">
        <f>IF(AND(A212&lt;&gt;"",P212&lt;&gt;0),SUM(P212,$AN$8)/$AN$2*100,"")</f>
        <v/>
      </c>
      <c r="AO212" s="24" t="str">
        <f>IF(AND(A212&lt;&gt;"",Q212&lt;&gt;0),SUM(Q212,$AO$8)/$AO$2*100,"")</f>
        <v/>
      </c>
      <c r="AP212" s="24">
        <f>IF(AND(A212&lt;&gt;"",R212&lt;&gt;0),SUM(R212,$AP$8)/$AP$2*100,"")</f>
        <v>71.502659574468083</v>
      </c>
      <c r="AQ212" s="24" t="str">
        <f>IF(AND(A212&lt;&gt;"",W212&gt;0),SUM(W212,$AQ$8)/$AQ$2*100,"")</f>
        <v/>
      </c>
      <c r="AR212" s="24">
        <f>IF(AND(A212&lt;&gt;"",T212&gt;0),SUM(T212,$AR$8)/$AR$2*100,"")</f>
        <v>57.03047091412742</v>
      </c>
      <c r="AS212" s="24">
        <f>IF(AND(A212&lt;&gt;"",X212&lt;&gt;0),SUM(X212,$AS$8)/$AS$2*100,"")</f>
        <v>62.819346378263688</v>
      </c>
      <c r="AT212" s="86">
        <f>IF(A212&lt;&gt;"",SUM(W212:X212,$AT$8)/$AT$2*100,"")</f>
        <v>62.819346378263688</v>
      </c>
      <c r="AU212" s="24">
        <f>AA212</f>
        <v>75.709673189131848</v>
      </c>
      <c r="AV212" s="24"/>
      <c r="AW212" s="27">
        <f>IF(A212&lt;&gt;"",AE212-AA212,"")</f>
        <v>-12.89032681086816</v>
      </c>
      <c r="AY212" s="27">
        <f>AR212-AP212</f>
        <v>-14.472188660340663</v>
      </c>
      <c r="AZ212" s="27">
        <f>ABS(AY212)</f>
        <v>14.472188660340663</v>
      </c>
    </row>
    <row r="213" spans="1:52" s="27" customFormat="1" ht="12.75" customHeight="1" x14ac:dyDescent="0.2">
      <c r="A213" s="10">
        <v>561740</v>
      </c>
      <c r="B213" s="2">
        <v>12</v>
      </c>
      <c r="C213" s="10">
        <v>24</v>
      </c>
      <c r="D213" s="10">
        <v>21</v>
      </c>
      <c r="E213" s="10">
        <v>23</v>
      </c>
      <c r="F213" s="10">
        <v>22</v>
      </c>
      <c r="G213" s="10">
        <v>25</v>
      </c>
      <c r="H213" s="10">
        <v>12</v>
      </c>
      <c r="I213" s="10">
        <v>24</v>
      </c>
      <c r="J213" s="2"/>
      <c r="K213" s="10">
        <v>21</v>
      </c>
      <c r="L213" s="10">
        <v>59</v>
      </c>
      <c r="M213" s="10">
        <v>26</v>
      </c>
      <c r="N213" s="51">
        <v>57</v>
      </c>
      <c r="O213" s="11" t="s">
        <v>69</v>
      </c>
      <c r="P213" s="10"/>
      <c r="Q213" s="40"/>
      <c r="R213" s="2">
        <v>93</v>
      </c>
      <c r="S213" s="10">
        <f>IF(T213="",R213,MAX((R213+$R$8)/$R$2,(T213+$T$8)/$T$2)*$R$2-$R$8)</f>
        <v>93.722289345985331</v>
      </c>
      <c r="T213" s="12">
        <v>138</v>
      </c>
      <c r="U213" s="68">
        <f>IF(A213&lt;&gt;"",SUM(B213:I213),"")</f>
        <v>163</v>
      </c>
      <c r="V213" s="10">
        <f>IF(A213&lt;&gt;"",SUM(J213:O213),"")</f>
        <v>163</v>
      </c>
      <c r="W213" s="10">
        <f>IF(A213&lt;&gt;"",SUM(P213:Q213),"")</f>
        <v>0</v>
      </c>
      <c r="X213" s="10">
        <f>IF(A213&lt;&gt;"",SUM(S213:T213),"")</f>
        <v>231.72228934598533</v>
      </c>
      <c r="Y213" s="12" t="s">
        <v>69</v>
      </c>
      <c r="Z213" s="12">
        <f>IF(A213&lt;&gt;"",SUM(U213:Y213),"")</f>
        <v>557.72228934598536</v>
      </c>
      <c r="AA213" s="27">
        <f>IF(A213&lt;&gt;"",(Z213+Normalize_To_Add)/(Point_Total_So_Far)*100,"")</f>
        <v>63.281902123730383</v>
      </c>
      <c r="AB213" s="10">
        <f>IF(A213&lt;&gt;"",RANK(AA213,All_Student_XC),"")</f>
        <v>339</v>
      </c>
      <c r="AC213" s="31" t="str">
        <f>IF(A213&lt;&gt;"",CHOOSE(10-MIN(9,TRUNC((AA213+0.5)/10)),"A","B","C","D","F","F","F","F","F","F"),"")</f>
        <v>D</v>
      </c>
      <c r="AD213" s="31" t="str">
        <f>IF(A213&lt;&gt;"",IF(OR(AA213+0.5&gt;=93,AA213+0.5&lt;60),"",IF(MOD(AA213+0.5,10)&gt;=7,"+",IF(MOD(AA213+0.5,10)&lt;3,"-",""))),"")</f>
        <v/>
      </c>
      <c r="AE213" s="31">
        <f>IF(A213&lt;&gt;"",SUM(W213:X213,$W$8:$X$8)/SUM($W$2:$X$2)*100,"")</f>
        <v>61.363804247460763</v>
      </c>
      <c r="AF213" s="31" t="str">
        <f>IF(A213&lt;&gt;"",CHOOSE(10-MIN(9,TRUNC((AE213+0.5)/10)),"A","B","C","D","F","F","F","F","F","F"),"")</f>
        <v>D</v>
      </c>
      <c r="AG213" s="31" t="str">
        <f>IF(A213&lt;&gt;"",IF(OR(AE213+0.5&gt;=93,AE213+0.5&lt;60),"",IF(MOD(AE213+0.5,10)&gt;=7,"+",IF(MOD(AE213+0.5,10)&lt;3,"-",""))),"")</f>
        <v>-</v>
      </c>
      <c r="AH213" s="35">
        <f>IF(A213&lt;&gt;"",MIN(MAX(AA213,AE213),AA213+$AH$8,AE213+$AH$8),"")</f>
        <v>63.281902123730383</v>
      </c>
      <c r="AI213" s="31" t="str">
        <f>IF(A213&lt;&gt;"",CHOOSE(10-MIN(9,TRUNC((AH213+0.5)/10)),"A","B","C","D","F","F","F","F","F","F"),"")</f>
        <v>D</v>
      </c>
      <c r="AJ213" s="31" t="str">
        <f>IF(A213&lt;&gt;"",IF(OR(AH213+0.5&gt;=93,AH213+0.5&lt;60),"",IF(MOD(AH213+0.5,10)&gt;=7,"+",IF(MOD(AH213+0.5,10)&lt;3,"-",""))),"")</f>
        <v/>
      </c>
      <c r="AK213" s="31" t="b">
        <f>IF(A213&lt;&gt;"",OR(AI213&lt;&gt;AC213,AJ213&lt;&gt;AD213),"")</f>
        <v>0</v>
      </c>
      <c r="AL213" s="81">
        <f>IF(AND(A213&lt;&gt;"",U213&gt;0),SUM(U213,$AL$8)/$AL$2*100,"")</f>
        <v>81.5</v>
      </c>
      <c r="AM213" s="24">
        <f>IF(AND(A213&lt;&gt;"",V213&gt;0),SUM(V213,$AM$8)/$AM$2*100,"")</f>
        <v>54.333333333333336</v>
      </c>
      <c r="AN213" s="24" t="str">
        <f>IF(AND(A213&lt;&gt;"",P213&lt;&gt;0),SUM(P213,$AN$8)/$AN$2*100,"")</f>
        <v/>
      </c>
      <c r="AO213" s="24" t="str">
        <f>IF(AND(A213&lt;&gt;"",Q213&lt;&gt;0),SUM(Q213,$AO$8)/$AO$2*100,"")</f>
        <v/>
      </c>
      <c r="AP213" s="24">
        <f>IF(AND(A213&lt;&gt;"",R213&lt;&gt;0),SUM(R213,$AP$8)/$AP$2*100,"")</f>
        <v>61.00265957446809</v>
      </c>
      <c r="AQ213" s="24" t="str">
        <f>IF(AND(A213&lt;&gt;"",W213&gt;0),SUM(W213,$AQ$8)/$AQ$2*100,"")</f>
        <v/>
      </c>
      <c r="AR213" s="24">
        <f>IF(AND(A213&lt;&gt;"",T213&gt;0),SUM(T213,$AR$8)/$AR$2*100,"")</f>
        <v>61.363804247460749</v>
      </c>
      <c r="AS213" s="24">
        <f>IF(AND(A213&lt;&gt;"",X213&lt;&gt;0),SUM(X213,$AS$8)/$AS$2*100,"")</f>
        <v>61.363804247460763</v>
      </c>
      <c r="AT213" s="86">
        <f>IF(A213&lt;&gt;"",SUM(W213:X213,$AT$8)/$AT$2*100,"")</f>
        <v>61.363804247460763</v>
      </c>
      <c r="AU213" s="24">
        <f>AA213</f>
        <v>63.281902123730383</v>
      </c>
      <c r="AV213" s="24"/>
      <c r="AW213" s="27">
        <f>IF(A213&lt;&gt;"",AE213-AA213,"")</f>
        <v>-1.9180978762696199</v>
      </c>
      <c r="AY213" s="27">
        <f>AR213-AP213</f>
        <v>0.3611446729926584</v>
      </c>
      <c r="AZ213" s="27">
        <f>ABS(AY213)</f>
        <v>0.3611446729926584</v>
      </c>
    </row>
    <row r="214" spans="1:52" s="27" customFormat="1" ht="12.75" customHeight="1" x14ac:dyDescent="0.2">
      <c r="A214" s="50">
        <v>563514</v>
      </c>
      <c r="B214" s="2">
        <v>25</v>
      </c>
      <c r="C214" s="50">
        <v>22</v>
      </c>
      <c r="D214" s="10">
        <v>23</v>
      </c>
      <c r="E214" s="10">
        <v>25</v>
      </c>
      <c r="F214" s="10">
        <v>25</v>
      </c>
      <c r="G214" s="10">
        <v>25</v>
      </c>
      <c r="H214" s="10">
        <v>24</v>
      </c>
      <c r="I214" s="10">
        <v>25</v>
      </c>
      <c r="J214" s="2"/>
      <c r="K214" s="10">
        <v>62</v>
      </c>
      <c r="L214" s="10">
        <v>60</v>
      </c>
      <c r="M214" s="10">
        <v>59</v>
      </c>
      <c r="N214" s="51">
        <v>47</v>
      </c>
      <c r="O214" s="11">
        <v>62</v>
      </c>
      <c r="P214" s="10"/>
      <c r="Q214" s="40"/>
      <c r="R214" s="2">
        <v>139</v>
      </c>
      <c r="S214" s="10">
        <f>IF(T214="",R214,MAX((R214+$R$8)/$R$2,(T214+$T$8)/$T$2)*$R$2-$R$8)</f>
        <v>139</v>
      </c>
      <c r="T214" s="62">
        <v>197</v>
      </c>
      <c r="U214" s="2">
        <f>IF(A214&lt;&gt;"",SUM(B214:I214),"")</f>
        <v>194</v>
      </c>
      <c r="V214" s="10">
        <f>IF(A214&lt;&gt;"",SUM(J214:O214),"")</f>
        <v>290</v>
      </c>
      <c r="W214" s="10">
        <f>IF(A214&lt;&gt;"",SUM(P214:Q214),"")</f>
        <v>0</v>
      </c>
      <c r="X214" s="10">
        <f>IF(A214&lt;&gt;"",SUM(S214:T214),"")</f>
        <v>336</v>
      </c>
      <c r="Y214" s="12">
        <v>3</v>
      </c>
      <c r="Z214" s="12">
        <f>IF(A214&lt;&gt;"",SUM(U214:Y214),"")</f>
        <v>823</v>
      </c>
      <c r="AA214" s="27">
        <f>IF(A214&lt;&gt;"",(Z214+Normalize_To_Add)/(Point_Total_So_Far)*100,"")</f>
        <v>89.809673189131843</v>
      </c>
      <c r="AB214" s="10">
        <f>IF(A214&lt;&gt;"",RANK(AA214,All_Student_XC),"")</f>
        <v>81</v>
      </c>
      <c r="AC214" s="31" t="str">
        <f>IF(A214&lt;&gt;"",CHOOSE(10-MIN(9,TRUNC((AA214+0.5)/10)),"A","B","C","D","F","F","F","F","F","F"),"")</f>
        <v>A</v>
      </c>
      <c r="AD214" s="31" t="str">
        <f>IF(A214&lt;&gt;"",IF(OR(AA214+0.5&gt;=93,AA214+0.5&lt;60),"",IF(MOD(AA214+0.5,10)&gt;=7,"+",IF(MOD(AA214+0.5,10)&lt;3,"-",""))),"")</f>
        <v>-</v>
      </c>
      <c r="AE214" s="31">
        <f>IF(A214&lt;&gt;"",SUM(W214:X214,$W$8:$X$8)/SUM($W$2:$X$2)*100,"")</f>
        <v>82.21934637826368</v>
      </c>
      <c r="AF214" s="43" t="str">
        <f>IF(A214&lt;&gt;"",CHOOSE(10-MIN(9,TRUNC((AE214+0.5)/10)),"A","B","C","D","F","F","F","F","F","F"),"")</f>
        <v>B</v>
      </c>
      <c r="AG214" s="43" t="str">
        <f>IF(A214&lt;&gt;"",IF(OR(AE214+0.5&gt;=93,AE214+0.5&lt;60),"",IF(MOD(AE214+0.5,10)&gt;=7,"+",IF(MOD(AE214+0.5,10)&lt;3,"-",""))),"")</f>
        <v>-</v>
      </c>
      <c r="AH214" s="35">
        <f>IF(A214&lt;&gt;"",MIN(MAX(AA214,AE214),AA214+$AH$8,AE214+$AH$8),"")</f>
        <v>89.809673189131843</v>
      </c>
      <c r="AI214" s="31" t="str">
        <f>IF(A214&lt;&gt;"",CHOOSE(10-MIN(9,TRUNC((AH214+0.5)/10)),"A","B","C","D","F","F","F","F","F","F"),"")</f>
        <v>A</v>
      </c>
      <c r="AJ214" s="31" t="str">
        <f>IF(A214&lt;&gt;"",IF(OR(AH214+0.5&gt;=93,AH214+0.5&lt;60),"",IF(MOD(AH214+0.5,10)&gt;=7,"+",IF(MOD(AH214+0.5,10)&lt;3,"-",""))),"")</f>
        <v>-</v>
      </c>
      <c r="AK214" s="31" t="b">
        <f>IF(A214&lt;&gt;"",OR(AI214&lt;&gt;AC214,AJ214&lt;&gt;AD214),"")</f>
        <v>0</v>
      </c>
      <c r="AL214" s="81">
        <f>IF(AND(A214&lt;&gt;"",U214&gt;0),SUM(U214,$AL$8)/$AL$2*100,"")</f>
        <v>97</v>
      </c>
      <c r="AM214" s="24">
        <f>IF(AND(A214&lt;&gt;"",V214&gt;0),SUM(V214,$AM$8)/$AM$2*100,"")</f>
        <v>96.666666666666671</v>
      </c>
      <c r="AN214" s="24" t="str">
        <f>IF(AND(A214&lt;&gt;"",P214&lt;&gt;0),SUM(P214,$AN$8)/$AN$2*100,"")</f>
        <v/>
      </c>
      <c r="AO214" s="24" t="str">
        <f>IF(AND(A214&lt;&gt;"",Q214&lt;&gt;0),SUM(Q214,$AO$8)/$AO$2*100,"")</f>
        <v/>
      </c>
      <c r="AP214" s="24">
        <f>IF(AND(A214&lt;&gt;"",R214&lt;&gt;0),SUM(R214,$AP$8)/$AP$2*100,"")</f>
        <v>84.002659574468083</v>
      </c>
      <c r="AQ214" s="24" t="str">
        <f>IF(AND(A214&lt;&gt;"",W214&gt;0),SUM(W214,$AQ$8)/$AQ$2*100,"")</f>
        <v/>
      </c>
      <c r="AR214" s="24">
        <f>IF(AND(A214&lt;&gt;"",T214&gt;0),SUM(T214,$AR$8)/$AR$2*100,"")</f>
        <v>81.03047091412742</v>
      </c>
      <c r="AS214" s="24">
        <f>IF(AND(A214&lt;&gt;"",X214&lt;&gt;0),SUM(X214,$AS$8)/$AS$2*100,"")</f>
        <v>82.21934637826368</v>
      </c>
      <c r="AT214" s="86">
        <f>IF(A214&lt;&gt;"",SUM(W214:X214,$AT$8)/$AT$2*100,"")</f>
        <v>82.21934637826368</v>
      </c>
      <c r="AU214" s="24">
        <f>AA214</f>
        <v>89.809673189131843</v>
      </c>
      <c r="AV214" s="24"/>
      <c r="AW214" s="27">
        <f>IF(A214&lt;&gt;"",AE214-AA214,"")</f>
        <v>-7.590326810868163</v>
      </c>
      <c r="AY214" s="27">
        <f>AR214-AP214</f>
        <v>-2.9721886603406631</v>
      </c>
      <c r="AZ214" s="27">
        <f>ABS(AY214)</f>
        <v>2.9721886603406631</v>
      </c>
    </row>
    <row r="215" spans="1:52" s="27" customFormat="1" ht="12.75" customHeight="1" x14ac:dyDescent="0.2">
      <c r="A215" s="10">
        <v>565994</v>
      </c>
      <c r="B215" s="2">
        <v>10</v>
      </c>
      <c r="C215" s="10">
        <v>20</v>
      </c>
      <c r="D215" s="10">
        <v>15</v>
      </c>
      <c r="E215" s="10">
        <v>23</v>
      </c>
      <c r="F215" s="10">
        <v>24</v>
      </c>
      <c r="G215" s="10">
        <v>10</v>
      </c>
      <c r="H215" s="10">
        <v>12</v>
      </c>
      <c r="I215" s="10">
        <v>25</v>
      </c>
      <c r="J215" s="2"/>
      <c r="K215" s="10">
        <v>51</v>
      </c>
      <c r="L215" s="10">
        <v>19</v>
      </c>
      <c r="M215" s="10">
        <v>19</v>
      </c>
      <c r="N215" s="51" t="s">
        <v>69</v>
      </c>
      <c r="O215" s="11" t="s">
        <v>69</v>
      </c>
      <c r="P215" s="10"/>
      <c r="Q215" s="40"/>
      <c r="R215" s="2">
        <v>134</v>
      </c>
      <c r="S215" s="10">
        <f>IF(T215="",R215,MAX((R215+$R$8)/$R$2,(T215+$T$8)/$T$2)*$R$2-$R$8)</f>
        <v>134</v>
      </c>
      <c r="T215" s="12">
        <v>149</v>
      </c>
      <c r="U215" s="1">
        <f>IF(A215&lt;&gt;"",SUM(B215:I215),"")</f>
        <v>139</v>
      </c>
      <c r="V215" s="10">
        <f>IF(A215&lt;&gt;"",SUM(J215:O215),"")</f>
        <v>89</v>
      </c>
      <c r="W215" s="10">
        <f>IF(A215&lt;&gt;"",SUM(P215:Q215),"")</f>
        <v>0</v>
      </c>
      <c r="X215" s="10">
        <f>IF(A215&lt;&gt;"",SUM(S215:T215),"")</f>
        <v>283</v>
      </c>
      <c r="Y215" s="12" t="s">
        <v>69</v>
      </c>
      <c r="Z215" s="12">
        <f>IF(A215&lt;&gt;"",SUM(U215:Y215),"")</f>
        <v>511</v>
      </c>
      <c r="AA215" s="27">
        <f>IF(A215&lt;&gt;"",(Z215+Normalize_To_Add)/(Point_Total_So_Far)*100,"")</f>
        <v>58.60967318913184</v>
      </c>
      <c r="AB215" s="10">
        <f>IF(A215&lt;&gt;"",RANK(AA215,All_Student_XC),"")</f>
        <v>346</v>
      </c>
      <c r="AC215" s="31" t="str">
        <f>IF(A215&lt;&gt;"",CHOOSE(10-MIN(9,TRUNC((AA215+0.5)/10)),"A","B","C","D","F","F","F","F","F","F"),"")</f>
        <v>F</v>
      </c>
      <c r="AD215" s="31" t="str">
        <f>IF(A215&lt;&gt;"",IF(OR(AA215+0.5&gt;=93,AA215+0.5&lt;60),"",IF(MOD(AA215+0.5,10)&gt;=7,"+",IF(MOD(AA215+0.5,10)&lt;3,"-",""))),"")</f>
        <v/>
      </c>
      <c r="AE215" s="31">
        <f>IF(A215&lt;&gt;"",SUM(W215:X215,$W$8:$X$8)/SUM($W$2:$X$2)*100,"")</f>
        <v>71.619346378263685</v>
      </c>
      <c r="AF215" s="43" t="str">
        <f>IF(A215&lt;&gt;"",CHOOSE(10-MIN(9,TRUNC((AE215+0.5)/10)),"A","B","C","D","F","F","F","F","F","F"),"")</f>
        <v>C</v>
      </c>
      <c r="AG215" s="43" t="str">
        <f>IF(A215&lt;&gt;"",IF(OR(AE215+0.5&gt;=93,AE215+0.5&lt;60),"",IF(MOD(AE215+0.5,10)&gt;=7,"+",IF(MOD(AE215+0.5,10)&lt;3,"-",""))),"")</f>
        <v>-</v>
      </c>
      <c r="AH215" s="35">
        <f>IF(A215&lt;&gt;"",MIN(MAX(AA215,AE215),AA215+$AH$8,AE215+$AH$8),"")</f>
        <v>71.619346378263685</v>
      </c>
      <c r="AI215" s="31" t="str">
        <f>IF(A215&lt;&gt;"",CHOOSE(10-MIN(9,TRUNC((AH215+0.5)/10)),"A","B","C","D","F","F","F","F","F","F"),"")</f>
        <v>C</v>
      </c>
      <c r="AJ215" s="31" t="str">
        <f>IF(A215&lt;&gt;"",IF(OR(AH215+0.5&gt;=93,AH215+0.5&lt;60),"",IF(MOD(AH215+0.5,10)&gt;=7,"+",IF(MOD(AH215+0.5,10)&lt;3,"-",""))),"")</f>
        <v>-</v>
      </c>
      <c r="AK215" s="31" t="b">
        <f>IF(A215&lt;&gt;"",OR(AI215&lt;&gt;AC215,AJ215&lt;&gt;AD215),"")</f>
        <v>1</v>
      </c>
      <c r="AL215" s="81">
        <f>IF(AND(A215&lt;&gt;"",U215&gt;0),SUM(U215,$AL$8)/$AL$2*100,"")</f>
        <v>69.5</v>
      </c>
      <c r="AM215" s="24">
        <f>IF(AND(A215&lt;&gt;"",V215&gt;0),SUM(V215,$AM$8)/$AM$2*100,"")</f>
        <v>29.666666666666668</v>
      </c>
      <c r="AN215" s="24" t="str">
        <f>IF(AND(A215&lt;&gt;"",P215&lt;&gt;0),SUM(P215,$AN$8)/$AN$2*100,"")</f>
        <v/>
      </c>
      <c r="AO215" s="24" t="str">
        <f>IF(AND(A215&lt;&gt;"",Q215&lt;&gt;0),SUM(Q215,$AO$8)/$AO$2*100,"")</f>
        <v/>
      </c>
      <c r="AP215" s="24">
        <f>IF(AND(A215&lt;&gt;"",R215&lt;&gt;0),SUM(R215,$AP$8)/$AP$2*100,"")</f>
        <v>81.502659574468083</v>
      </c>
      <c r="AQ215" s="24" t="str">
        <f>IF(AND(A215&lt;&gt;"",W215&gt;0),SUM(W215,$AQ$8)/$AQ$2*100,"")</f>
        <v/>
      </c>
      <c r="AR215" s="24">
        <f>IF(AND(A215&lt;&gt;"",T215&gt;0),SUM(T215,$AR$8)/$AR$2*100,"")</f>
        <v>65.03047091412742</v>
      </c>
      <c r="AS215" s="24">
        <f>IF(AND(A215&lt;&gt;"",X215&lt;&gt;0),SUM(X215,$AS$8)/$AS$2*100,"")</f>
        <v>71.619346378263685</v>
      </c>
      <c r="AT215" s="86">
        <f>IF(A215&lt;&gt;"",SUM(W215:X215,$AT$8)/$AT$2*100,"")</f>
        <v>71.619346378263685</v>
      </c>
      <c r="AU215" s="24">
        <f>AA215</f>
        <v>58.60967318913184</v>
      </c>
      <c r="AV215" s="24"/>
      <c r="AW215" s="27">
        <f>IF(A215&lt;&gt;"",AE215-AA215,"")</f>
        <v>13.009673189131846</v>
      </c>
      <c r="AY215" s="27">
        <f>AR215-AP215</f>
        <v>-16.472188660340663</v>
      </c>
      <c r="AZ215" s="27">
        <f>ABS(AY215)</f>
        <v>16.472188660340663</v>
      </c>
    </row>
    <row r="216" spans="1:52" s="27" customFormat="1" ht="12.75" customHeight="1" x14ac:dyDescent="0.2">
      <c r="A216" s="10">
        <v>570032</v>
      </c>
      <c r="B216" s="2">
        <v>25</v>
      </c>
      <c r="C216" s="10">
        <v>22</v>
      </c>
      <c r="D216" s="10">
        <v>22</v>
      </c>
      <c r="E216" s="10">
        <v>21</v>
      </c>
      <c r="F216" s="10">
        <v>13</v>
      </c>
      <c r="G216" s="10">
        <v>25</v>
      </c>
      <c r="H216" s="10">
        <v>23</v>
      </c>
      <c r="I216" s="10">
        <v>25</v>
      </c>
      <c r="J216" s="2"/>
      <c r="K216" s="10">
        <v>40</v>
      </c>
      <c r="L216" s="10">
        <v>49</v>
      </c>
      <c r="M216" s="10">
        <v>56</v>
      </c>
      <c r="N216" s="51">
        <v>56</v>
      </c>
      <c r="O216" s="11">
        <v>62</v>
      </c>
      <c r="P216" s="10"/>
      <c r="Q216" s="40"/>
      <c r="R216" s="2">
        <v>84</v>
      </c>
      <c r="S216" s="10">
        <f>IF(T216="",R216,MAX((R216+$R$8)/$R$2,(T216+$T$8)/$T$2)*$R$2-$R$8)</f>
        <v>137.72228934598533</v>
      </c>
      <c r="T216" s="12">
        <v>204</v>
      </c>
      <c r="U216" s="68">
        <f>IF(A216&lt;&gt;"",SUM(B216:I216),"")</f>
        <v>176</v>
      </c>
      <c r="V216" s="10">
        <f>IF(A216&lt;&gt;"",SUM(J216:O216),"")</f>
        <v>263</v>
      </c>
      <c r="W216" s="10">
        <f>IF(A216&lt;&gt;"",SUM(P216:Q216),"")</f>
        <v>0</v>
      </c>
      <c r="X216" s="10">
        <f>IF(A216&lt;&gt;"",SUM(S216:T216),"")</f>
        <v>341.72228934598536</v>
      </c>
      <c r="Y216" s="12">
        <v>3</v>
      </c>
      <c r="Z216" s="12">
        <f>IF(A216&lt;&gt;"",SUM(U216:Y216),"")</f>
        <v>783.72228934598536</v>
      </c>
      <c r="AA216" s="27">
        <f>IF(A216&lt;&gt;"",(Z216+Normalize_To_Add)/(Point_Total_So_Far)*100,"")</f>
        <v>85.881902123730384</v>
      </c>
      <c r="AB216" s="10">
        <f>IF(A216&lt;&gt;"",RANK(AA216,All_Student_XC),"")</f>
        <v>144</v>
      </c>
      <c r="AC216" s="31" t="str">
        <f>IF(A216&lt;&gt;"",CHOOSE(10-MIN(9,TRUNC((AA216+0.5)/10)),"A","B","C","D","F","F","F","F","F","F"),"")</f>
        <v>B</v>
      </c>
      <c r="AD216" s="31" t="str">
        <f>IF(A216&lt;&gt;"",IF(OR(AA216+0.5&gt;=93,AA216+0.5&lt;60),"",IF(MOD(AA216+0.5,10)&gt;=7,"+",IF(MOD(AA216+0.5,10)&lt;3,"-",""))),"")</f>
        <v/>
      </c>
      <c r="AE216" s="31">
        <f>IF(A216&lt;&gt;"",SUM(W216:X216,$W$8:$X$8)/SUM($W$2:$X$2)*100,"")</f>
        <v>83.363804247460763</v>
      </c>
      <c r="AF216" s="31" t="str">
        <f>IF(A216&lt;&gt;"",CHOOSE(10-MIN(9,TRUNC((AE216+0.5)/10)),"A","B","C","D","F","F","F","F","F","F"),"")</f>
        <v>B</v>
      </c>
      <c r="AG216" s="31" t="str">
        <f>IF(A216&lt;&gt;"",IF(OR(AE216+0.5&gt;=93,AE216+0.5&lt;60),"",IF(MOD(AE216+0.5,10)&gt;=7,"+",IF(MOD(AE216+0.5,10)&lt;3,"-",""))),"")</f>
        <v/>
      </c>
      <c r="AH216" s="35">
        <f>IF(A216&lt;&gt;"",MIN(MAX(AA216,AE216),AA216+$AH$8,AE216+$AH$8),"")</f>
        <v>85.881902123730384</v>
      </c>
      <c r="AI216" s="31" t="str">
        <f>IF(A216&lt;&gt;"",CHOOSE(10-MIN(9,TRUNC((AH216+0.5)/10)),"A","B","C","D","F","F","F","F","F","F"),"")</f>
        <v>B</v>
      </c>
      <c r="AJ216" s="31" t="str">
        <f>IF(A216&lt;&gt;"",IF(OR(AH216+0.5&gt;=93,AH216+0.5&lt;60),"",IF(MOD(AH216+0.5,10)&gt;=7,"+",IF(MOD(AH216+0.5,10)&lt;3,"-",""))),"")</f>
        <v/>
      </c>
      <c r="AK216" s="31" t="b">
        <f>IF(A216&lt;&gt;"",OR(AI216&lt;&gt;AC216,AJ216&lt;&gt;AD216),"")</f>
        <v>0</v>
      </c>
      <c r="AL216" s="81">
        <f>IF(AND(A216&lt;&gt;"",U216&gt;0),SUM(U216,$AL$8)/$AL$2*100,"")</f>
        <v>88</v>
      </c>
      <c r="AM216" s="24">
        <f>IF(AND(A216&lt;&gt;"",V216&gt;0),SUM(V216,$AM$8)/$AM$2*100,"")</f>
        <v>87.666666666666671</v>
      </c>
      <c r="AN216" s="24" t="str">
        <f>IF(AND(A216&lt;&gt;"",P216&lt;&gt;0),SUM(P216,$AN$8)/$AN$2*100,"")</f>
        <v/>
      </c>
      <c r="AO216" s="24" t="str">
        <f>IF(AND(A216&lt;&gt;"",Q216&lt;&gt;0),SUM(Q216,$AO$8)/$AO$2*100,"")</f>
        <v/>
      </c>
      <c r="AP216" s="24">
        <f>IF(AND(A216&lt;&gt;"",R216&lt;&gt;0),SUM(R216,$AP$8)/$AP$2*100,"")</f>
        <v>56.502659574468083</v>
      </c>
      <c r="AQ216" s="24" t="str">
        <f>IF(AND(A216&lt;&gt;"",W216&gt;0),SUM(W216,$AQ$8)/$AQ$2*100,"")</f>
        <v/>
      </c>
      <c r="AR216" s="24">
        <f>IF(AND(A216&lt;&gt;"",T216&gt;0),SUM(T216,$AR$8)/$AR$2*100,"")</f>
        <v>83.363804247460749</v>
      </c>
      <c r="AS216" s="24">
        <f>IF(AND(A216&lt;&gt;"",X216&lt;&gt;0),SUM(X216,$AS$8)/$AS$2*100,"")</f>
        <v>83.363804247460763</v>
      </c>
      <c r="AT216" s="86">
        <f>IF(A216&lt;&gt;"",SUM(W216:X216,$AT$8)/$AT$2*100,"")</f>
        <v>83.363804247460763</v>
      </c>
      <c r="AU216" s="24">
        <f>AA216</f>
        <v>85.881902123730384</v>
      </c>
      <c r="AV216" s="24"/>
      <c r="AW216" s="27">
        <f>IF(A216&lt;&gt;"",AE216-AA216,"")</f>
        <v>-2.5180978762696213</v>
      </c>
      <c r="AY216" s="27">
        <f>AR216-AP216</f>
        <v>26.861144672992666</v>
      </c>
      <c r="AZ216" s="27">
        <f>ABS(AY216)</f>
        <v>26.861144672992666</v>
      </c>
    </row>
    <row r="217" spans="1:52" s="27" customFormat="1" ht="12.75" customHeight="1" x14ac:dyDescent="0.2">
      <c r="A217" s="50">
        <v>571136</v>
      </c>
      <c r="B217" s="2">
        <v>23</v>
      </c>
      <c r="C217" s="50">
        <v>25</v>
      </c>
      <c r="D217" s="10">
        <v>24</v>
      </c>
      <c r="E217" s="10">
        <v>22</v>
      </c>
      <c r="F217" s="10">
        <v>23</v>
      </c>
      <c r="G217" s="10">
        <v>17</v>
      </c>
      <c r="H217" s="10">
        <v>25</v>
      </c>
      <c r="I217" s="10">
        <v>21</v>
      </c>
      <c r="J217" s="2"/>
      <c r="K217" s="10">
        <v>62</v>
      </c>
      <c r="L217" s="10">
        <v>57</v>
      </c>
      <c r="M217" s="10">
        <v>59</v>
      </c>
      <c r="N217" s="51">
        <v>61</v>
      </c>
      <c r="O217" s="11">
        <v>62</v>
      </c>
      <c r="P217" s="10"/>
      <c r="Q217" s="40"/>
      <c r="R217" s="2">
        <v>158</v>
      </c>
      <c r="S217" s="10">
        <f>IF(T217="",R217,MAX((R217+$R$8)/$R$2,(T217+$T$8)/$T$2)*$R$2-$R$8)</f>
        <v>158</v>
      </c>
      <c r="T217" s="62">
        <v>173</v>
      </c>
      <c r="U217" s="2">
        <f>IF(A217&lt;&gt;"",SUM(B217:I217),"")</f>
        <v>180</v>
      </c>
      <c r="V217" s="10">
        <f>IF(A217&lt;&gt;"",SUM(J217:O217),"")</f>
        <v>301</v>
      </c>
      <c r="W217" s="10">
        <f>IF(A217&lt;&gt;"",SUM(P217:Q217),"")</f>
        <v>0</v>
      </c>
      <c r="X217" s="10">
        <f>IF(A217&lt;&gt;"",SUM(S217:T217),"")</f>
        <v>331</v>
      </c>
      <c r="Y217" s="12">
        <v>3</v>
      </c>
      <c r="Z217" s="12">
        <f>IF(A217&lt;&gt;"",SUM(U217:Y217),"")</f>
        <v>815</v>
      </c>
      <c r="AA217" s="27">
        <f>IF(A217&lt;&gt;"",(Z217+Normalize_To_Add)/(Point_Total_So_Far)*100,"")</f>
        <v>89.009673189131846</v>
      </c>
      <c r="AB217" s="10">
        <f>IF(A217&lt;&gt;"",RANK(AA217,All_Student_XC),"")</f>
        <v>96</v>
      </c>
      <c r="AC217" s="31" t="str">
        <f>IF(A217&lt;&gt;"",CHOOSE(10-MIN(9,TRUNC((AA217+0.5)/10)),"A","B","C","D","F","F","F","F","F","F"),"")</f>
        <v>B</v>
      </c>
      <c r="AD217" s="31" t="str">
        <f>IF(A217&lt;&gt;"",IF(OR(AA217+0.5&gt;=93,AA217+0.5&lt;60),"",IF(MOD(AA217+0.5,10)&gt;=7,"+",IF(MOD(AA217+0.5,10)&lt;3,"-",""))),"")</f>
        <v>+</v>
      </c>
      <c r="AE217" s="31">
        <f>IF(A217&lt;&gt;"",SUM(W217:X217,$W$8:$X$8)/SUM($W$2:$X$2)*100,"")</f>
        <v>81.219346378263694</v>
      </c>
      <c r="AF217" s="43" t="str">
        <f>IF(A217&lt;&gt;"",CHOOSE(10-MIN(9,TRUNC((AE217+0.5)/10)),"A","B","C","D","F","F","F","F","F","F"),"")</f>
        <v>B</v>
      </c>
      <c r="AG217" s="43" t="str">
        <f>IF(A217&lt;&gt;"",IF(OR(AE217+0.5&gt;=93,AE217+0.5&lt;60),"",IF(MOD(AE217+0.5,10)&gt;=7,"+",IF(MOD(AE217+0.5,10)&lt;3,"-",""))),"")</f>
        <v>-</v>
      </c>
      <c r="AH217" s="35">
        <f>IF(A217&lt;&gt;"",MIN(MAX(AA217,AE217),AA217+$AH$8,AE217+$AH$8),"")</f>
        <v>89.009673189131846</v>
      </c>
      <c r="AI217" s="31" t="str">
        <f>IF(A217&lt;&gt;"",CHOOSE(10-MIN(9,TRUNC((AH217+0.5)/10)),"A","B","C","D","F","F","F","F","F","F"),"")</f>
        <v>B</v>
      </c>
      <c r="AJ217" s="31" t="str">
        <f>IF(A217&lt;&gt;"",IF(OR(AH217+0.5&gt;=93,AH217+0.5&lt;60),"",IF(MOD(AH217+0.5,10)&gt;=7,"+",IF(MOD(AH217+0.5,10)&lt;3,"-",""))),"")</f>
        <v>+</v>
      </c>
      <c r="AK217" s="31" t="b">
        <f>IF(A217&lt;&gt;"",OR(AI217&lt;&gt;AC217,AJ217&lt;&gt;AD217),"")</f>
        <v>0</v>
      </c>
      <c r="AL217" s="81">
        <f>IF(AND(A217&lt;&gt;"",U217&gt;0),SUM(U217,$AL$8)/$AL$2*100,"")</f>
        <v>90</v>
      </c>
      <c r="AM217" s="24">
        <f>IF(AND(A217&lt;&gt;"",V217&gt;0),SUM(V217,$AM$8)/$AM$2*100,"")</f>
        <v>100.33333333333334</v>
      </c>
      <c r="AN217" s="24" t="str">
        <f>IF(AND(A217&lt;&gt;"",P217&lt;&gt;0),SUM(P217,$AN$8)/$AN$2*100,"")</f>
        <v/>
      </c>
      <c r="AO217" s="24" t="str">
        <f>IF(AND(A217&lt;&gt;"",Q217&lt;&gt;0),SUM(Q217,$AO$8)/$AO$2*100,"")</f>
        <v/>
      </c>
      <c r="AP217" s="24">
        <f>IF(AND(A217&lt;&gt;"",R217&lt;&gt;0),SUM(R217,$AP$8)/$AP$2*100,"")</f>
        <v>93.502659574468083</v>
      </c>
      <c r="AQ217" s="24" t="str">
        <f>IF(AND(A217&lt;&gt;"",W217&gt;0),SUM(W217,$AQ$8)/$AQ$2*100,"")</f>
        <v/>
      </c>
      <c r="AR217" s="24">
        <f>IF(AND(A217&lt;&gt;"",T217&gt;0),SUM(T217,$AR$8)/$AR$2*100,"")</f>
        <v>73.03047091412742</v>
      </c>
      <c r="AS217" s="24">
        <f>IF(AND(A217&lt;&gt;"",X217&lt;&gt;0),SUM(X217,$AS$8)/$AS$2*100,"")</f>
        <v>81.219346378263694</v>
      </c>
      <c r="AT217" s="86">
        <f>IF(A217&lt;&gt;"",SUM(W217:X217,$AT$8)/$AT$2*100,"")</f>
        <v>81.219346378263694</v>
      </c>
      <c r="AU217" s="24">
        <f>AA217</f>
        <v>89.009673189131846</v>
      </c>
      <c r="AV217" s="24"/>
      <c r="AW217" s="27">
        <f>IF(A217&lt;&gt;"",AE217-AA217,"")</f>
        <v>-7.7903268108681516</v>
      </c>
      <c r="AY217" s="27">
        <f>AR217-AP217</f>
        <v>-20.472188660340663</v>
      </c>
      <c r="AZ217" s="27">
        <f>ABS(AY217)</f>
        <v>20.472188660340663</v>
      </c>
    </row>
    <row r="218" spans="1:52" s="27" customFormat="1" ht="12.75" customHeight="1" x14ac:dyDescent="0.2">
      <c r="A218" s="50">
        <v>571676</v>
      </c>
      <c r="B218" s="2">
        <v>17</v>
      </c>
      <c r="C218" s="50">
        <v>25</v>
      </c>
      <c r="D218" s="10">
        <v>12</v>
      </c>
      <c r="E218" s="10">
        <v>12</v>
      </c>
      <c r="F218" s="10">
        <v>20</v>
      </c>
      <c r="G218" s="10">
        <v>25</v>
      </c>
      <c r="H218" s="10">
        <v>10</v>
      </c>
      <c r="I218" s="10">
        <v>23</v>
      </c>
      <c r="J218" s="2"/>
      <c r="K218" s="10">
        <v>52</v>
      </c>
      <c r="L218" s="10">
        <v>58</v>
      </c>
      <c r="M218" s="10">
        <v>37</v>
      </c>
      <c r="N218" s="51">
        <v>50</v>
      </c>
      <c r="O218" s="11">
        <v>41</v>
      </c>
      <c r="P218" s="10"/>
      <c r="Q218" s="40"/>
      <c r="R218" s="2">
        <v>73</v>
      </c>
      <c r="S218" s="10">
        <f>IF(T218="",R218,MAX((R218+$R$8)/$R$2,(T218+$T$8)/$T$2)*$R$2-$R$8)</f>
        <v>109.05562267931867</v>
      </c>
      <c r="T218" s="62">
        <v>161</v>
      </c>
      <c r="U218" s="2">
        <f>IF(A218&lt;&gt;"",SUM(B218:I218),"")</f>
        <v>144</v>
      </c>
      <c r="V218" s="10">
        <f>IF(A218&lt;&gt;"",SUM(J218:O218),"")</f>
        <v>238</v>
      </c>
      <c r="W218" s="10">
        <f>IF(A218&lt;&gt;"",SUM(P218:Q218),"")</f>
        <v>0</v>
      </c>
      <c r="X218" s="10">
        <f>IF(A218&lt;&gt;"",SUM(S218:T218),"")</f>
        <v>270.05562267931867</v>
      </c>
      <c r="Y218" s="12">
        <v>3</v>
      </c>
      <c r="Z218" s="12">
        <f>IF(A218&lt;&gt;"",SUM(U218:Y218),"")</f>
        <v>655.05562267931873</v>
      </c>
      <c r="AA218" s="27">
        <f>IF(A218&lt;&gt;"",(Z218+Normalize_To_Add)/(Point_Total_So_Far)*100,"")</f>
        <v>73.015235457063724</v>
      </c>
      <c r="AB218" s="10">
        <f>IF(A218&lt;&gt;"",RANK(AA218,All_Student_XC),"")</f>
        <v>287</v>
      </c>
      <c r="AC218" s="31" t="str">
        <f>IF(A218&lt;&gt;"",CHOOSE(10-MIN(9,TRUNC((AA218+0.5)/10)),"A","B","C","D","F","F","F","F","F","F"),"")</f>
        <v>C</v>
      </c>
      <c r="AD218" s="31" t="str">
        <f>IF(A218&lt;&gt;"",IF(OR(AA218+0.5&gt;=93,AA218+0.5&lt;60),"",IF(MOD(AA218+0.5,10)&gt;=7,"+",IF(MOD(AA218+0.5,10)&lt;3,"-",""))),"")</f>
        <v/>
      </c>
      <c r="AE218" s="31">
        <f>IF(A218&lt;&gt;"",SUM(W218:X218,$W$8:$X$8)/SUM($W$2:$X$2)*100,"")</f>
        <v>69.03047091412742</v>
      </c>
      <c r="AF218" s="43" t="str">
        <f>IF(A218&lt;&gt;"",CHOOSE(10-MIN(9,TRUNC((AE218+0.5)/10)),"A","B","C","D","F","F","F","F","F","F"),"")</f>
        <v>D</v>
      </c>
      <c r="AG218" s="43" t="str">
        <f>IF(A218&lt;&gt;"",IF(OR(AE218+0.5&gt;=93,AE218+0.5&lt;60),"",IF(MOD(AE218+0.5,10)&gt;=7,"+",IF(MOD(AE218+0.5,10)&lt;3,"-",""))),"")</f>
        <v>+</v>
      </c>
      <c r="AH218" s="35">
        <f>IF(A218&lt;&gt;"",MIN(MAX(AA218,AE218),AA218+$AH$8,AE218+$AH$8),"")</f>
        <v>73.015235457063724</v>
      </c>
      <c r="AI218" s="31" t="str">
        <f>IF(A218&lt;&gt;"",CHOOSE(10-MIN(9,TRUNC((AH218+0.5)/10)),"A","B","C","D","F","F","F","F","F","F"),"")</f>
        <v>C</v>
      </c>
      <c r="AJ218" s="31" t="str">
        <f>IF(A218&lt;&gt;"",IF(OR(AH218+0.5&gt;=93,AH218+0.5&lt;60),"",IF(MOD(AH218+0.5,10)&gt;=7,"+",IF(MOD(AH218+0.5,10)&lt;3,"-",""))),"")</f>
        <v/>
      </c>
      <c r="AK218" s="31" t="b">
        <f>IF(A218&lt;&gt;"",OR(AI218&lt;&gt;AC218,AJ218&lt;&gt;AD218),"")</f>
        <v>0</v>
      </c>
      <c r="AL218" s="81">
        <f>IF(AND(A218&lt;&gt;"",U218&gt;0),SUM(U218,$AL$8)/$AL$2*100,"")</f>
        <v>72</v>
      </c>
      <c r="AM218" s="24">
        <f>IF(AND(A218&lt;&gt;"",V218&gt;0),SUM(V218,$AM$8)/$AM$2*100,"")</f>
        <v>79.333333333333329</v>
      </c>
      <c r="AN218" s="24" t="str">
        <f>IF(AND(A218&lt;&gt;"",P218&lt;&gt;0),SUM(P218,$AN$8)/$AN$2*100,"")</f>
        <v/>
      </c>
      <c r="AO218" s="24" t="str">
        <f>IF(AND(A218&lt;&gt;"",Q218&lt;&gt;0),SUM(Q218,$AO$8)/$AO$2*100,"")</f>
        <v/>
      </c>
      <c r="AP218" s="24">
        <f>IF(AND(A218&lt;&gt;"",R218&lt;&gt;0),SUM(R218,$AP$8)/$AP$2*100,"")</f>
        <v>51.002659574468076</v>
      </c>
      <c r="AQ218" s="24" t="str">
        <f>IF(AND(A218&lt;&gt;"",W218&gt;0),SUM(W218,$AQ$8)/$AQ$2*100,"")</f>
        <v/>
      </c>
      <c r="AR218" s="24">
        <f>IF(AND(A218&lt;&gt;"",T218&gt;0),SUM(T218,$AR$8)/$AR$2*100,"")</f>
        <v>69.03047091412742</v>
      </c>
      <c r="AS218" s="24">
        <f>IF(AND(A218&lt;&gt;"",X218&lt;&gt;0),SUM(X218,$AS$8)/$AS$2*100,"")</f>
        <v>69.03047091412742</v>
      </c>
      <c r="AT218" s="86">
        <f>IF(A218&lt;&gt;"",SUM(W218:X218,$AT$8)/$AT$2*100,"")</f>
        <v>69.03047091412742</v>
      </c>
      <c r="AU218" s="24">
        <f>AA218</f>
        <v>73.015235457063724</v>
      </c>
      <c r="AV218" s="24"/>
      <c r="AW218" s="27">
        <f>IF(A218&lt;&gt;"",AE218-AA218,"")</f>
        <v>-3.9847645429363041</v>
      </c>
      <c r="AY218" s="27">
        <f>AR218-AP218</f>
        <v>18.027811339659344</v>
      </c>
      <c r="AZ218" s="27">
        <f>ABS(AY218)</f>
        <v>18.027811339659344</v>
      </c>
    </row>
    <row r="219" spans="1:52" s="27" customFormat="1" ht="12.75" customHeight="1" x14ac:dyDescent="0.2">
      <c r="A219" s="10">
        <v>573530</v>
      </c>
      <c r="B219" s="2">
        <v>19</v>
      </c>
      <c r="C219" s="10">
        <v>25</v>
      </c>
      <c r="D219" s="10">
        <v>22</v>
      </c>
      <c r="E219" s="10">
        <v>23</v>
      </c>
      <c r="F219" s="10">
        <v>15</v>
      </c>
      <c r="G219" s="10">
        <v>25</v>
      </c>
      <c r="H219" s="10">
        <v>24</v>
      </c>
      <c r="I219" s="10">
        <v>25</v>
      </c>
      <c r="J219" s="2"/>
      <c r="K219" s="10">
        <v>52</v>
      </c>
      <c r="L219" s="10">
        <v>60</v>
      </c>
      <c r="M219" s="10">
        <v>60</v>
      </c>
      <c r="N219" s="51">
        <v>59</v>
      </c>
      <c r="O219" s="11">
        <v>61</v>
      </c>
      <c r="P219" s="10"/>
      <c r="Q219" s="40"/>
      <c r="R219" s="2">
        <v>128</v>
      </c>
      <c r="S219" s="10">
        <f>IF(T219="",R219,MAX((R219+$R$8)/$R$2,(T219+$T$8)/$T$2)*$R$2-$R$8)</f>
        <v>128</v>
      </c>
      <c r="T219" s="12">
        <v>174</v>
      </c>
      <c r="U219" s="68">
        <f>IF(A219&lt;&gt;"",SUM(B219:I219),"")</f>
        <v>178</v>
      </c>
      <c r="V219" s="10">
        <f>IF(A219&lt;&gt;"",SUM(J219:O219),"")</f>
        <v>292</v>
      </c>
      <c r="W219" s="10">
        <f>IF(A219&lt;&gt;"",SUM(P219:Q219),"")</f>
        <v>0</v>
      </c>
      <c r="X219" s="10">
        <f>IF(A219&lt;&gt;"",SUM(S219:T219),"")</f>
        <v>302</v>
      </c>
      <c r="Y219" s="12">
        <v>3</v>
      </c>
      <c r="Z219" s="12">
        <f>IF(A219&lt;&gt;"",SUM(U219:Y219),"")</f>
        <v>775</v>
      </c>
      <c r="AA219" s="27">
        <f>IF(A219&lt;&gt;"",(Z219+Normalize_To_Add)/(Point_Total_So_Far)*100,"")</f>
        <v>85.009673189131846</v>
      </c>
      <c r="AB219" s="10">
        <f>IF(A219&lt;&gt;"",RANK(AA219,All_Student_XC),"")</f>
        <v>158</v>
      </c>
      <c r="AC219" s="31" t="str">
        <f>IF(A219&lt;&gt;"",CHOOSE(10-MIN(9,TRUNC((AA219+0.5)/10)),"A","B","C","D","F","F","F","F","F","F"),"")</f>
        <v>B</v>
      </c>
      <c r="AD219" s="31" t="str">
        <f>IF(A219&lt;&gt;"",IF(OR(AA219+0.5&gt;=93,AA219+0.5&lt;60),"",IF(MOD(AA219+0.5,10)&gt;=7,"+",IF(MOD(AA219+0.5,10)&lt;3,"-",""))),"")</f>
        <v/>
      </c>
      <c r="AE219" s="31">
        <f>IF(A219&lt;&gt;"",SUM(W219:X219,$W$8:$X$8)/SUM($W$2:$X$2)*100,"")</f>
        <v>75.419346378263683</v>
      </c>
      <c r="AF219" s="31" t="str">
        <f>IF(A219&lt;&gt;"",CHOOSE(10-MIN(9,TRUNC((AE219+0.5)/10)),"A","B","C","D","F","F","F","F","F","F"),"")</f>
        <v>C</v>
      </c>
      <c r="AG219" s="31" t="str">
        <f>IF(A219&lt;&gt;"",IF(OR(AE219+0.5&gt;=93,AE219+0.5&lt;60),"",IF(MOD(AE219+0.5,10)&gt;=7,"+",IF(MOD(AE219+0.5,10)&lt;3,"-",""))),"")</f>
        <v/>
      </c>
      <c r="AH219" s="35">
        <f>IF(A219&lt;&gt;"",MIN(MAX(AA219,AE219),AA219+$AH$8,AE219+$AH$8),"")</f>
        <v>85.009673189131846</v>
      </c>
      <c r="AI219" s="31" t="str">
        <f>IF(A219&lt;&gt;"",CHOOSE(10-MIN(9,TRUNC((AH219+0.5)/10)),"A","B","C","D","F","F","F","F","F","F"),"")</f>
        <v>B</v>
      </c>
      <c r="AJ219" s="31" t="str">
        <f>IF(A219&lt;&gt;"",IF(OR(AH219+0.5&gt;=93,AH219+0.5&lt;60),"",IF(MOD(AH219+0.5,10)&gt;=7,"+",IF(MOD(AH219+0.5,10)&lt;3,"-",""))),"")</f>
        <v/>
      </c>
      <c r="AK219" s="31" t="b">
        <f>IF(A219&lt;&gt;"",OR(AI219&lt;&gt;AC219,AJ219&lt;&gt;AD219),"")</f>
        <v>0</v>
      </c>
      <c r="AL219" s="81">
        <f>IF(AND(A219&lt;&gt;"",U219&gt;0),SUM(U219,$AL$8)/$AL$2*100,"")</f>
        <v>89</v>
      </c>
      <c r="AM219" s="24">
        <f>IF(AND(A219&lt;&gt;"",V219&gt;0),SUM(V219,$AM$8)/$AM$2*100,"")</f>
        <v>97.333333333333343</v>
      </c>
      <c r="AN219" s="24" t="str">
        <f>IF(AND(A219&lt;&gt;"",P219&lt;&gt;0),SUM(P219,$AN$8)/$AN$2*100,"")</f>
        <v/>
      </c>
      <c r="AO219" s="24" t="str">
        <f>IF(AND(A219&lt;&gt;"",Q219&lt;&gt;0),SUM(Q219,$AO$8)/$AO$2*100,"")</f>
        <v/>
      </c>
      <c r="AP219" s="24">
        <f>IF(AND(A219&lt;&gt;"",R219&lt;&gt;0),SUM(R219,$AP$8)/$AP$2*100,"")</f>
        <v>78.502659574468083</v>
      </c>
      <c r="AQ219" s="24" t="str">
        <f>IF(AND(A219&lt;&gt;"",W219&gt;0),SUM(W219,$AQ$8)/$AQ$2*100,"")</f>
        <v/>
      </c>
      <c r="AR219" s="24">
        <f>IF(AND(A219&lt;&gt;"",T219&gt;0),SUM(T219,$AR$8)/$AR$2*100,"")</f>
        <v>73.363804247460749</v>
      </c>
      <c r="AS219" s="24">
        <f>IF(AND(A219&lt;&gt;"",X219&lt;&gt;0),SUM(X219,$AS$8)/$AS$2*100,"")</f>
        <v>75.419346378263683</v>
      </c>
      <c r="AT219" s="86">
        <f>IF(A219&lt;&gt;"",SUM(W219:X219,$AT$8)/$AT$2*100,"")</f>
        <v>75.419346378263683</v>
      </c>
      <c r="AU219" s="24">
        <f>AA219</f>
        <v>85.009673189131846</v>
      </c>
      <c r="AV219" s="24"/>
      <c r="AW219" s="27">
        <f>IF(A219&lt;&gt;"",AE219-AA219,"")</f>
        <v>-9.590326810868163</v>
      </c>
      <c r="AY219" s="27">
        <f>AR219-AP219</f>
        <v>-5.1388553270073345</v>
      </c>
      <c r="AZ219" s="27">
        <f>ABS(AY219)</f>
        <v>5.1388553270073345</v>
      </c>
    </row>
    <row r="220" spans="1:52" s="27" customFormat="1" ht="12.75" customHeight="1" x14ac:dyDescent="0.2">
      <c r="A220" s="10">
        <v>584072</v>
      </c>
      <c r="B220" s="2">
        <v>25</v>
      </c>
      <c r="C220" s="10">
        <v>25</v>
      </c>
      <c r="D220" s="10">
        <v>24</v>
      </c>
      <c r="E220" s="10">
        <v>24</v>
      </c>
      <c r="F220" s="10">
        <v>23</v>
      </c>
      <c r="G220" s="10">
        <v>25</v>
      </c>
      <c r="H220" s="10">
        <v>24</v>
      </c>
      <c r="I220" s="10">
        <v>25</v>
      </c>
      <c r="J220" s="2"/>
      <c r="K220" s="10">
        <v>55</v>
      </c>
      <c r="L220" s="10">
        <v>60</v>
      </c>
      <c r="M220" s="10">
        <v>48</v>
      </c>
      <c r="N220" s="51">
        <v>45</v>
      </c>
      <c r="O220" s="11">
        <v>60</v>
      </c>
      <c r="P220" s="10"/>
      <c r="Q220" s="40"/>
      <c r="R220" s="2">
        <v>102</v>
      </c>
      <c r="S220" s="10">
        <f>IF(T220="",R220,MAX((R220+$R$8)/$R$2,(T220+$T$8)/$T$2)*$R$2-$R$8)</f>
        <v>119.72228934598533</v>
      </c>
      <c r="T220" s="12">
        <v>177</v>
      </c>
      <c r="U220" s="1">
        <f>IF(A220&lt;&gt;"",SUM(B220:I220),"")</f>
        <v>195</v>
      </c>
      <c r="V220" s="10">
        <f>IF(A220&lt;&gt;"",SUM(J220:O220),"")</f>
        <v>268</v>
      </c>
      <c r="W220" s="10">
        <f>IF(A220&lt;&gt;"",SUM(P220:Q220),"")</f>
        <v>0</v>
      </c>
      <c r="X220" s="10">
        <f>IF(A220&lt;&gt;"",SUM(S220:T220),"")</f>
        <v>296.72228934598536</v>
      </c>
      <c r="Y220" s="12">
        <v>3</v>
      </c>
      <c r="Z220" s="12">
        <f>IF(A220&lt;&gt;"",SUM(U220:Y220),"")</f>
        <v>762.72228934598536</v>
      </c>
      <c r="AA220" s="27">
        <f>IF(A220&lt;&gt;"",(Z220+Normalize_To_Add)/(Point_Total_So_Far)*100,"")</f>
        <v>83.781902123730376</v>
      </c>
      <c r="AB220" s="10">
        <f>IF(A220&lt;&gt;"",RANK(AA220,All_Student_XC),"")</f>
        <v>170</v>
      </c>
      <c r="AC220" s="31" t="str">
        <f>IF(A220&lt;&gt;"",CHOOSE(10-MIN(9,TRUNC((AA220+0.5)/10)),"A","B","C","D","F","F","F","F","F","F"),"")</f>
        <v>B</v>
      </c>
      <c r="AD220" s="31" t="str">
        <f>IF(A220&lt;&gt;"",IF(OR(AA220+0.5&gt;=93,AA220+0.5&lt;60),"",IF(MOD(AA220+0.5,10)&gt;=7,"+",IF(MOD(AA220+0.5,10)&lt;3,"-",""))),"")</f>
        <v/>
      </c>
      <c r="AE220" s="31">
        <f>IF(A220&lt;&gt;"",SUM(W220:X220,$W$8:$X$8)/SUM($W$2:$X$2)*100,"")</f>
        <v>74.363804247460749</v>
      </c>
      <c r="AF220" s="31" t="str">
        <f>IF(A220&lt;&gt;"",CHOOSE(10-MIN(9,TRUNC((AE220+0.5)/10)),"A","B","C","D","F","F","F","F","F","F"),"")</f>
        <v>C</v>
      </c>
      <c r="AG220" s="31" t="str">
        <f>IF(A220&lt;&gt;"",IF(OR(AE220+0.5&gt;=93,AE220+0.5&lt;60),"",IF(MOD(AE220+0.5,10)&gt;=7,"+",IF(MOD(AE220+0.5,10)&lt;3,"-",""))),"")</f>
        <v/>
      </c>
      <c r="AH220" s="35">
        <f>IF(A220&lt;&gt;"",MIN(MAX(AA220,AE220),AA220+$AH$8,AE220+$AH$8),"")</f>
        <v>83.781902123730376</v>
      </c>
      <c r="AI220" s="31" t="str">
        <f>IF(A220&lt;&gt;"",CHOOSE(10-MIN(9,TRUNC((AH220+0.5)/10)),"A","B","C","D","F","F","F","F","F","F"),"")</f>
        <v>B</v>
      </c>
      <c r="AJ220" s="31" t="str">
        <f>IF(A220&lt;&gt;"",IF(OR(AH220+0.5&gt;=93,AH220+0.5&lt;60),"",IF(MOD(AH220+0.5,10)&gt;=7,"+",IF(MOD(AH220+0.5,10)&lt;3,"-",""))),"")</f>
        <v/>
      </c>
      <c r="AK220" s="31" t="b">
        <f>IF(A220&lt;&gt;"",OR(AI220&lt;&gt;AC220,AJ220&lt;&gt;AD220),"")</f>
        <v>0</v>
      </c>
      <c r="AL220" s="81">
        <f>IF(AND(A220&lt;&gt;"",U220&gt;0),SUM(U220,$AL$8)/$AL$2*100,"")</f>
        <v>97.5</v>
      </c>
      <c r="AM220" s="24">
        <f>IF(AND(A220&lt;&gt;"",V220&gt;0),SUM(V220,$AM$8)/$AM$2*100,"")</f>
        <v>89.333333333333329</v>
      </c>
      <c r="AN220" s="24" t="str">
        <f>IF(AND(A220&lt;&gt;"",P220&lt;&gt;0),SUM(P220,$AN$8)/$AN$2*100,"")</f>
        <v/>
      </c>
      <c r="AO220" s="24" t="str">
        <f>IF(AND(A220&lt;&gt;"",Q220&lt;&gt;0),SUM(Q220,$AO$8)/$AO$2*100,"")</f>
        <v/>
      </c>
      <c r="AP220" s="24">
        <f>IF(AND(A220&lt;&gt;"",R220&lt;&gt;0),SUM(R220,$AP$8)/$AP$2*100,"")</f>
        <v>65.502659574468083</v>
      </c>
      <c r="AQ220" s="24" t="str">
        <f>IF(AND(A220&lt;&gt;"",W220&gt;0),SUM(W220,$AQ$8)/$AQ$2*100,"")</f>
        <v/>
      </c>
      <c r="AR220" s="24">
        <f>IF(AND(A220&lt;&gt;"",T220&gt;0),SUM(T220,$AR$8)/$AR$2*100,"")</f>
        <v>74.363804247460749</v>
      </c>
      <c r="AS220" s="24">
        <f>IF(AND(A220&lt;&gt;"",X220&lt;&gt;0),SUM(X220,$AS$8)/$AS$2*100,"")</f>
        <v>74.363804247460749</v>
      </c>
      <c r="AT220" s="86">
        <f>IF(A220&lt;&gt;"",SUM(W220:X220,$AT$8)/$AT$2*100,"")</f>
        <v>74.363804247460749</v>
      </c>
      <c r="AU220" s="24">
        <f>AA220</f>
        <v>83.781902123730376</v>
      </c>
      <c r="AV220" s="24"/>
      <c r="AW220" s="27">
        <f>IF(A220&lt;&gt;"",AE220-AA220,"")</f>
        <v>-9.418097876269627</v>
      </c>
      <c r="AY220" s="27">
        <f>AR220-AP220</f>
        <v>8.8611446729926655</v>
      </c>
      <c r="AZ220" s="27">
        <f>ABS(AY220)</f>
        <v>8.8611446729926655</v>
      </c>
    </row>
    <row r="221" spans="1:52" s="27" customFormat="1" ht="12.75" customHeight="1" x14ac:dyDescent="0.2">
      <c r="A221" s="50">
        <v>598716</v>
      </c>
      <c r="B221" s="2">
        <v>17</v>
      </c>
      <c r="C221" s="50">
        <v>25</v>
      </c>
      <c r="D221" s="10">
        <v>21</v>
      </c>
      <c r="E221" s="10">
        <v>21</v>
      </c>
      <c r="F221" s="10">
        <v>20</v>
      </c>
      <c r="G221" s="10">
        <v>25</v>
      </c>
      <c r="H221" s="10">
        <v>25</v>
      </c>
      <c r="I221" s="10">
        <v>25</v>
      </c>
      <c r="J221" s="2"/>
      <c r="K221" s="10">
        <v>50</v>
      </c>
      <c r="L221" s="10">
        <v>43</v>
      </c>
      <c r="M221" s="10">
        <v>52</v>
      </c>
      <c r="N221" s="51">
        <v>62</v>
      </c>
      <c r="O221" s="11">
        <v>62</v>
      </c>
      <c r="P221" s="10"/>
      <c r="Q221" s="40"/>
      <c r="R221" s="2">
        <v>57</v>
      </c>
      <c r="S221" s="10">
        <f>IF(T221="",R221,MAX((R221+$R$8)/$R$2,(T221+$T$8)/$T$2)*$R$2-$R$8)</f>
        <v>121.05562267931867</v>
      </c>
      <c r="T221" s="62">
        <v>179</v>
      </c>
      <c r="U221" s="2">
        <f>IF(A221&lt;&gt;"",SUM(B221:I221),"")</f>
        <v>179</v>
      </c>
      <c r="V221" s="10">
        <f>IF(A221&lt;&gt;"",SUM(J221:O221),"")</f>
        <v>269</v>
      </c>
      <c r="W221" s="10">
        <f>IF(A221&lt;&gt;"",SUM(P221:Q221),"")</f>
        <v>0</v>
      </c>
      <c r="X221" s="10">
        <f>IF(A221&lt;&gt;"",SUM(S221:T221),"")</f>
        <v>300.05562267931867</v>
      </c>
      <c r="Y221" s="12">
        <v>3</v>
      </c>
      <c r="Z221" s="12">
        <f>IF(A221&lt;&gt;"",SUM(U221:Y221),"")</f>
        <v>751.05562267931873</v>
      </c>
      <c r="AA221" s="27">
        <f>IF(A221&lt;&gt;"",(Z221+Normalize_To_Add)/(Point_Total_So_Far)*100,"")</f>
        <v>82.615235457063719</v>
      </c>
      <c r="AB221" s="10">
        <f>IF(A221&lt;&gt;"",RANK(AA221,All_Student_XC),"")</f>
        <v>177</v>
      </c>
      <c r="AC221" s="31" t="str">
        <f>IF(A221&lt;&gt;"",CHOOSE(10-MIN(9,TRUNC((AA221+0.5)/10)),"A","B","C","D","F","F","F","F","F","F"),"")</f>
        <v>B</v>
      </c>
      <c r="AD221" s="31" t="str">
        <f>IF(A221&lt;&gt;"",IF(OR(AA221+0.5&gt;=93,AA221+0.5&lt;60),"",IF(MOD(AA221+0.5,10)&gt;=7,"+",IF(MOD(AA221+0.5,10)&lt;3,"-",""))),"")</f>
        <v/>
      </c>
      <c r="AE221" s="31">
        <f>IF(A221&lt;&gt;"",SUM(W221:X221,$W$8:$X$8)/SUM($W$2:$X$2)*100,"")</f>
        <v>75.03047091412742</v>
      </c>
      <c r="AF221" s="43" t="str">
        <f>IF(A221&lt;&gt;"",CHOOSE(10-MIN(9,TRUNC((AE221+0.5)/10)),"A","B","C","D","F","F","F","F","F","F"),"")</f>
        <v>C</v>
      </c>
      <c r="AG221" s="43" t="str">
        <f>IF(A221&lt;&gt;"",IF(OR(AE221+0.5&gt;=93,AE221+0.5&lt;60),"",IF(MOD(AE221+0.5,10)&gt;=7,"+",IF(MOD(AE221+0.5,10)&lt;3,"-",""))),"")</f>
        <v/>
      </c>
      <c r="AH221" s="35">
        <f>IF(A221&lt;&gt;"",MIN(MAX(AA221,AE221),AA221+$AH$8,AE221+$AH$8),"")</f>
        <v>82.615235457063719</v>
      </c>
      <c r="AI221" s="31" t="str">
        <f>IF(A221&lt;&gt;"",CHOOSE(10-MIN(9,TRUNC((AH221+0.5)/10)),"A","B","C","D","F","F","F","F","F","F"),"")</f>
        <v>B</v>
      </c>
      <c r="AJ221" s="31" t="str">
        <f>IF(A221&lt;&gt;"",IF(OR(AH221+0.5&gt;=93,AH221+0.5&lt;60),"",IF(MOD(AH221+0.5,10)&gt;=7,"+",IF(MOD(AH221+0.5,10)&lt;3,"-",""))),"")</f>
        <v/>
      </c>
      <c r="AK221" s="31" t="b">
        <f>IF(A221&lt;&gt;"",OR(AI221&lt;&gt;AC221,AJ221&lt;&gt;AD221),"")</f>
        <v>0</v>
      </c>
      <c r="AL221" s="81">
        <f>IF(AND(A221&lt;&gt;"",U221&gt;0),SUM(U221,$AL$8)/$AL$2*100,"")</f>
        <v>89.5</v>
      </c>
      <c r="AM221" s="24">
        <f>IF(AND(A221&lt;&gt;"",V221&gt;0),SUM(V221,$AM$8)/$AM$2*100,"")</f>
        <v>89.666666666666657</v>
      </c>
      <c r="AN221" s="24" t="str">
        <f>IF(AND(A221&lt;&gt;"",P221&lt;&gt;0),SUM(P221,$AN$8)/$AN$2*100,"")</f>
        <v/>
      </c>
      <c r="AO221" s="24" t="str">
        <f>IF(AND(A221&lt;&gt;"",Q221&lt;&gt;0),SUM(Q221,$AO$8)/$AO$2*100,"")</f>
        <v/>
      </c>
      <c r="AP221" s="24">
        <f>IF(AND(A221&lt;&gt;"",R221&lt;&gt;0),SUM(R221,$AP$8)/$AP$2*100,"")</f>
        <v>43.002659574468083</v>
      </c>
      <c r="AQ221" s="24" t="str">
        <f>IF(AND(A221&lt;&gt;"",W221&gt;0),SUM(W221,$AQ$8)/$AQ$2*100,"")</f>
        <v/>
      </c>
      <c r="AR221" s="24">
        <f>IF(AND(A221&lt;&gt;"",T221&gt;0),SUM(T221,$AR$8)/$AR$2*100,"")</f>
        <v>75.03047091412742</v>
      </c>
      <c r="AS221" s="24">
        <f>IF(AND(A221&lt;&gt;"",X221&lt;&gt;0),SUM(X221,$AS$8)/$AS$2*100,"")</f>
        <v>75.03047091412742</v>
      </c>
      <c r="AT221" s="86">
        <f>IF(A221&lt;&gt;"",SUM(W221:X221,$AT$8)/$AT$2*100,"")</f>
        <v>75.03047091412742</v>
      </c>
      <c r="AU221" s="24">
        <f>AA221</f>
        <v>82.615235457063719</v>
      </c>
      <c r="AV221" s="24"/>
      <c r="AW221" s="27">
        <f>IF(A221&lt;&gt;"",AE221-AA221,"")</f>
        <v>-7.5847645429362984</v>
      </c>
      <c r="AY221" s="27">
        <f>AR221-AP221</f>
        <v>32.027811339659337</v>
      </c>
      <c r="AZ221" s="27">
        <f>ABS(AY221)</f>
        <v>32.027811339659337</v>
      </c>
    </row>
    <row r="222" spans="1:52" s="27" customFormat="1" ht="12.75" customHeight="1" x14ac:dyDescent="0.2">
      <c r="A222" s="50">
        <v>599662</v>
      </c>
      <c r="B222" s="2">
        <v>18</v>
      </c>
      <c r="C222" s="50">
        <v>22</v>
      </c>
      <c r="D222" s="10">
        <v>19</v>
      </c>
      <c r="E222" s="10">
        <v>17</v>
      </c>
      <c r="F222" s="10">
        <v>15</v>
      </c>
      <c r="G222" s="10">
        <v>19</v>
      </c>
      <c r="H222" s="10">
        <v>14</v>
      </c>
      <c r="I222" s="10">
        <v>25</v>
      </c>
      <c r="J222" s="2"/>
      <c r="K222" s="10">
        <v>61</v>
      </c>
      <c r="L222" s="10">
        <v>62</v>
      </c>
      <c r="M222" s="10">
        <v>55</v>
      </c>
      <c r="N222" s="51">
        <v>60</v>
      </c>
      <c r="O222" s="11">
        <v>61</v>
      </c>
      <c r="P222" s="10"/>
      <c r="Q222" s="40"/>
      <c r="R222" s="2">
        <v>109</v>
      </c>
      <c r="S222" s="10">
        <f>IF(T222="",R222,MAX((R222+$R$8)/$R$2,(T222+$T$8)/$T$2)*$R$2-$R$8)</f>
        <v>109</v>
      </c>
      <c r="T222" s="62">
        <v>152</v>
      </c>
      <c r="U222" s="2">
        <f>IF(A222&lt;&gt;"",SUM(B222:I222),"")</f>
        <v>149</v>
      </c>
      <c r="V222" s="10">
        <f>IF(A222&lt;&gt;"",SUM(J222:O222),"")</f>
        <v>299</v>
      </c>
      <c r="W222" s="10">
        <f>IF(A222&lt;&gt;"",SUM(P222:Q222),"")</f>
        <v>0</v>
      </c>
      <c r="X222" s="10">
        <f>IF(A222&lt;&gt;"",SUM(S222:T222),"")</f>
        <v>261</v>
      </c>
      <c r="Y222" s="12">
        <v>3</v>
      </c>
      <c r="Z222" s="12">
        <f>IF(A222&lt;&gt;"",SUM(U222:Y222),"")</f>
        <v>712</v>
      </c>
      <c r="AA222" s="27">
        <f>IF(A222&lt;&gt;"",(Z222+Normalize_To_Add)/(Point_Total_So_Far)*100,"")</f>
        <v>78.709673189131848</v>
      </c>
      <c r="AB222" s="10">
        <f>IF(A222&lt;&gt;"",RANK(AA222,All_Student_XC),"")</f>
        <v>228</v>
      </c>
      <c r="AC222" s="31" t="str">
        <f>IF(A222&lt;&gt;"",CHOOSE(10-MIN(9,TRUNC((AA222+0.5)/10)),"A","B","C","D","F","F","F","F","F","F"),"")</f>
        <v>C</v>
      </c>
      <c r="AD222" s="31" t="str">
        <f>IF(A222&lt;&gt;"",IF(OR(AA222+0.5&gt;=93,AA222+0.5&lt;60),"",IF(MOD(AA222+0.5,10)&gt;=7,"+",IF(MOD(AA222+0.5,10)&lt;3,"-",""))),"")</f>
        <v>+</v>
      </c>
      <c r="AE222" s="31">
        <f>IF(A222&lt;&gt;"",SUM(W222:X222,$W$8:$X$8)/SUM($W$2:$X$2)*100,"")</f>
        <v>67.219346378263694</v>
      </c>
      <c r="AF222" s="43" t="str">
        <f>IF(A222&lt;&gt;"",CHOOSE(10-MIN(9,TRUNC((AE222+0.5)/10)),"A","B","C","D","F","F","F","F","F","F"),"")</f>
        <v>D</v>
      </c>
      <c r="AG222" s="43" t="str">
        <f>IF(A222&lt;&gt;"",IF(OR(AE222+0.5&gt;=93,AE222+0.5&lt;60),"",IF(MOD(AE222+0.5,10)&gt;=7,"+",IF(MOD(AE222+0.5,10)&lt;3,"-",""))),"")</f>
        <v>+</v>
      </c>
      <c r="AH222" s="35">
        <f>IF(A222&lt;&gt;"",MIN(MAX(AA222,AE222),AA222+$AH$8,AE222+$AH$8),"")</f>
        <v>78.709673189131848</v>
      </c>
      <c r="AI222" s="31" t="str">
        <f>IF(A222&lt;&gt;"",CHOOSE(10-MIN(9,TRUNC((AH222+0.5)/10)),"A","B","C","D","F","F","F","F","F","F"),"")</f>
        <v>C</v>
      </c>
      <c r="AJ222" s="31" t="str">
        <f>IF(A222&lt;&gt;"",IF(OR(AH222+0.5&gt;=93,AH222+0.5&lt;60),"",IF(MOD(AH222+0.5,10)&gt;=7,"+",IF(MOD(AH222+0.5,10)&lt;3,"-",""))),"")</f>
        <v>+</v>
      </c>
      <c r="AK222" s="31" t="b">
        <f>IF(A222&lt;&gt;"",OR(AI222&lt;&gt;AC222,AJ222&lt;&gt;AD222),"")</f>
        <v>0</v>
      </c>
      <c r="AL222" s="81">
        <f>IF(AND(A222&lt;&gt;"",U222&gt;0),SUM(U222,$AL$8)/$AL$2*100,"")</f>
        <v>74.5</v>
      </c>
      <c r="AM222" s="24">
        <f>IF(AND(A222&lt;&gt;"",V222&gt;0),SUM(V222,$AM$8)/$AM$2*100,"")</f>
        <v>99.666666666666671</v>
      </c>
      <c r="AN222" s="24" t="str">
        <f>IF(AND(A222&lt;&gt;"",P222&lt;&gt;0),SUM(P222,$AN$8)/$AN$2*100,"")</f>
        <v/>
      </c>
      <c r="AO222" s="24" t="str">
        <f>IF(AND(A222&lt;&gt;"",Q222&lt;&gt;0),SUM(Q222,$AO$8)/$AO$2*100,"")</f>
        <v/>
      </c>
      <c r="AP222" s="24">
        <f>IF(AND(A222&lt;&gt;"",R222&lt;&gt;0),SUM(R222,$AP$8)/$AP$2*100,"")</f>
        <v>69.002659574468083</v>
      </c>
      <c r="AQ222" s="24" t="str">
        <f>IF(AND(A222&lt;&gt;"",W222&gt;0),SUM(W222,$AQ$8)/$AQ$2*100,"")</f>
        <v/>
      </c>
      <c r="AR222" s="24">
        <f>IF(AND(A222&lt;&gt;"",T222&gt;0),SUM(T222,$AR$8)/$AR$2*100,"")</f>
        <v>66.03047091412742</v>
      </c>
      <c r="AS222" s="24">
        <f>IF(AND(A222&lt;&gt;"",X222&lt;&gt;0),SUM(X222,$AS$8)/$AS$2*100,"")</f>
        <v>67.219346378263694</v>
      </c>
      <c r="AT222" s="86">
        <f>IF(A222&lt;&gt;"",SUM(W222:X222,$AT$8)/$AT$2*100,"")</f>
        <v>67.219346378263694</v>
      </c>
      <c r="AU222" s="24">
        <f>AA222</f>
        <v>78.709673189131848</v>
      </c>
      <c r="AV222" s="24"/>
      <c r="AW222" s="27">
        <f>IF(A222&lt;&gt;"",AE222-AA222,"")</f>
        <v>-11.490326810868154</v>
      </c>
      <c r="AY222" s="27">
        <f>AR222-AP222</f>
        <v>-2.9721886603406631</v>
      </c>
      <c r="AZ222" s="27">
        <f>ABS(AY222)</f>
        <v>2.9721886603406631</v>
      </c>
    </row>
    <row r="223" spans="1:52" s="27" customFormat="1" ht="12.75" customHeight="1" x14ac:dyDescent="0.2">
      <c r="A223" s="50">
        <v>599734</v>
      </c>
      <c r="B223" s="2">
        <v>25</v>
      </c>
      <c r="C223" s="50">
        <v>25</v>
      </c>
      <c r="D223" s="10">
        <v>25</v>
      </c>
      <c r="E223" s="24">
        <v>23</v>
      </c>
      <c r="F223" s="24">
        <v>24</v>
      </c>
      <c r="G223" s="10">
        <v>16</v>
      </c>
      <c r="H223" s="10">
        <v>24</v>
      </c>
      <c r="I223" s="10">
        <v>25</v>
      </c>
      <c r="J223" s="2"/>
      <c r="K223" s="10">
        <v>62</v>
      </c>
      <c r="L223" s="10">
        <v>60</v>
      </c>
      <c r="M223" s="10">
        <v>61</v>
      </c>
      <c r="N223" s="51">
        <v>61</v>
      </c>
      <c r="O223" s="11">
        <v>62</v>
      </c>
      <c r="P223" s="10"/>
      <c r="Q223" s="40"/>
      <c r="R223" s="2">
        <v>139</v>
      </c>
      <c r="S223" s="10">
        <f>IF(T223="",R223,MAX((R223+$R$8)/$R$2,(T223+$T$8)/$T$2)*$R$2-$R$8)</f>
        <v>170.38895601265199</v>
      </c>
      <c r="T223" s="62">
        <v>253</v>
      </c>
      <c r="U223" s="2">
        <f>IF(A223&lt;&gt;"",SUM(B223:I223),"")</f>
        <v>187</v>
      </c>
      <c r="V223" s="10">
        <f>IF(A223&lt;&gt;"",SUM(J223:O223),"")</f>
        <v>306</v>
      </c>
      <c r="W223" s="10">
        <f>IF(A223&lt;&gt;"",SUM(P223:Q223),"")</f>
        <v>0</v>
      </c>
      <c r="X223" s="10">
        <f>IF(A223&lt;&gt;"",SUM(S223:T223),"")</f>
        <v>423.38895601265199</v>
      </c>
      <c r="Y223" s="12">
        <v>3</v>
      </c>
      <c r="Z223" s="12">
        <f>IF(A223&lt;&gt;"",SUM(U223:Y223),"")</f>
        <v>919.38895601265199</v>
      </c>
      <c r="AA223" s="27">
        <f>IF(A223&lt;&gt;"",(Z223+Normalize_To_Add)/(Point_Total_So_Far)*100,"")</f>
        <v>99.448568790397047</v>
      </c>
      <c r="AB223" s="10">
        <f>IF(A223&lt;&gt;"",RANK(AA223,All_Student_XC),"")</f>
        <v>8</v>
      </c>
      <c r="AC223" s="31" t="str">
        <f>IF(A223&lt;&gt;"",CHOOSE(10-MIN(9,TRUNC((AA223+0.5)/10)),"A","B","C","D","F","F","F","F","F","F"),"")</f>
        <v>A</v>
      </c>
      <c r="AD223" s="31" t="str">
        <f>IF(A223&lt;&gt;"",IF(OR(AA223+0.5&gt;=93,AA223+0.5&lt;60),"",IF(MOD(AA223+0.5,10)&gt;=7,"+",IF(MOD(AA223+0.5,10)&lt;3,"-",""))),"")</f>
        <v/>
      </c>
      <c r="AE223" s="31">
        <f>IF(A223&lt;&gt;"",SUM(W223:X223,$W$8:$X$8)/SUM($W$2:$X$2)*100,"")</f>
        <v>99.697137580794077</v>
      </c>
      <c r="AF223" s="43" t="str">
        <f>IF(A223&lt;&gt;"",CHOOSE(10-MIN(9,TRUNC((AE223+0.5)/10)),"A","B","C","D","F","F","F","F","F","F"),"")</f>
        <v>A</v>
      </c>
      <c r="AG223" s="43" t="str">
        <f>IF(A223&lt;&gt;"",IF(OR(AE223+0.5&gt;=93,AE223+0.5&lt;60),"",IF(MOD(AE223+0.5,10)&gt;=7,"+",IF(MOD(AE223+0.5,10)&lt;3,"-",""))),"")</f>
        <v/>
      </c>
      <c r="AH223" s="35">
        <f>IF(A223&lt;&gt;"",MIN(MAX(AA223,AE223),AA223+$AH$8,AE223+$AH$8),"")</f>
        <v>99.697137580794077</v>
      </c>
      <c r="AI223" s="31" t="str">
        <f>IF(A223&lt;&gt;"",CHOOSE(10-MIN(9,TRUNC((AH223+0.5)/10)),"A","B","C","D","F","F","F","F","F","F"),"")</f>
        <v>A</v>
      </c>
      <c r="AJ223" s="31" t="str">
        <f>IF(A223&lt;&gt;"",IF(OR(AH223+0.5&gt;=93,AH223+0.5&lt;60),"",IF(MOD(AH223+0.5,10)&gt;=7,"+",IF(MOD(AH223+0.5,10)&lt;3,"-",""))),"")</f>
        <v/>
      </c>
      <c r="AK223" s="31" t="b">
        <f>IF(A223&lt;&gt;"",OR(AI223&lt;&gt;AC223,AJ223&lt;&gt;AD223),"")</f>
        <v>0</v>
      </c>
      <c r="AL223" s="81">
        <f>IF(AND(A223&lt;&gt;"",U223&gt;0),SUM(U223,$AL$8)/$AL$2*100,"")</f>
        <v>93.5</v>
      </c>
      <c r="AM223" s="24">
        <f>IF(AND(A223&lt;&gt;"",V223&gt;0),SUM(V223,$AM$8)/$AM$2*100,"")</f>
        <v>102</v>
      </c>
      <c r="AN223" s="24" t="str">
        <f>IF(AND(A223&lt;&gt;"",P223&lt;&gt;0),SUM(P223,$AN$8)/$AN$2*100,"")</f>
        <v/>
      </c>
      <c r="AO223" s="24" t="str">
        <f>IF(AND(A223&lt;&gt;"",Q223&lt;&gt;0),SUM(Q223,$AO$8)/$AO$2*100,"")</f>
        <v/>
      </c>
      <c r="AP223" s="24">
        <f>IF(AND(A223&lt;&gt;"",R223&lt;&gt;0),SUM(R223,$AP$8)/$AP$2*100,"")</f>
        <v>84.002659574468083</v>
      </c>
      <c r="AQ223" s="24" t="str">
        <f>IF(AND(A223&lt;&gt;"",W223&gt;0),SUM(W223,$AQ$8)/$AQ$2*100,"")</f>
        <v/>
      </c>
      <c r="AR223" s="24">
        <f>IF(AND(A223&lt;&gt;"",T223&gt;0),SUM(T223,$AR$8)/$AR$2*100,"")</f>
        <v>99.697137580794077</v>
      </c>
      <c r="AS223" s="24">
        <f>IF(AND(A223&lt;&gt;"",X223&lt;&gt;0),SUM(X223,$AS$8)/$AS$2*100,"")</f>
        <v>99.697137580794077</v>
      </c>
      <c r="AT223" s="86">
        <f>IF(A223&lt;&gt;"",SUM(W223:X223,$AT$8)/$AT$2*100,"")</f>
        <v>99.697137580794077</v>
      </c>
      <c r="AU223" s="24">
        <f>AA223</f>
        <v>99.448568790397047</v>
      </c>
      <c r="AV223" s="24"/>
      <c r="AW223" s="27">
        <f>IF(A223&lt;&gt;"",AE223-AA223,"")</f>
        <v>0.24856879039703017</v>
      </c>
      <c r="AY223" s="27">
        <f>AR223-AP223</f>
        <v>15.694478006325994</v>
      </c>
      <c r="AZ223" s="27">
        <f>ABS(AY223)</f>
        <v>15.694478006325994</v>
      </c>
    </row>
    <row r="224" spans="1:52" s="27" customFormat="1" ht="12.75" customHeight="1" x14ac:dyDescent="0.2">
      <c r="A224" s="10">
        <v>604742</v>
      </c>
      <c r="B224" s="2">
        <v>25</v>
      </c>
      <c r="C224" s="10">
        <v>23</v>
      </c>
      <c r="D224" s="10">
        <v>22</v>
      </c>
      <c r="E224" s="10">
        <v>23</v>
      </c>
      <c r="F224" s="10">
        <v>25</v>
      </c>
      <c r="G224" s="10">
        <v>25</v>
      </c>
      <c r="H224" s="10">
        <v>21</v>
      </c>
      <c r="I224" s="10">
        <v>5</v>
      </c>
      <c r="J224" s="2"/>
      <c r="K224" s="10">
        <v>47</v>
      </c>
      <c r="L224" s="10">
        <v>50</v>
      </c>
      <c r="M224" s="10">
        <v>59</v>
      </c>
      <c r="N224" s="51">
        <v>15</v>
      </c>
      <c r="O224" s="11">
        <v>0</v>
      </c>
      <c r="P224" s="10"/>
      <c r="Q224" s="40"/>
      <c r="R224" s="2">
        <v>148</v>
      </c>
      <c r="S224" s="10">
        <f>IF(T224="",R224,MAX((R224+$R$8)/$R$2,(T224+$T$8)/$T$2)*$R$2-$R$8)</f>
        <v>159.05562267931867</v>
      </c>
      <c r="T224" s="12">
        <v>236</v>
      </c>
      <c r="U224" s="1">
        <f>IF(A224&lt;&gt;"",SUM(B224:I224),"")</f>
        <v>169</v>
      </c>
      <c r="V224" s="10">
        <f>IF(A224&lt;&gt;"",SUM(J224:O224),"")</f>
        <v>171</v>
      </c>
      <c r="W224" s="10">
        <f>IF(A224&lt;&gt;"",SUM(P224:Q224),"")</f>
        <v>0</v>
      </c>
      <c r="X224" s="10">
        <f>IF(A224&lt;&gt;"",SUM(S224:T224),"")</f>
        <v>395.05562267931867</v>
      </c>
      <c r="Y224" s="12" t="s">
        <v>69</v>
      </c>
      <c r="Z224" s="12">
        <f>IF(A224&lt;&gt;"",SUM(U224:Y224),"")</f>
        <v>735.05562267931873</v>
      </c>
      <c r="AA224" s="27">
        <f>IF(A224&lt;&gt;"",(Z224+Normalize_To_Add)/(Point_Total_So_Far)*100,"")</f>
        <v>81.01523545706371</v>
      </c>
      <c r="AB224" s="10">
        <f>IF(A224&lt;&gt;"",RANK(AA224,All_Student_XC),"")</f>
        <v>196</v>
      </c>
      <c r="AC224" s="31" t="str">
        <f>IF(A224&lt;&gt;"",CHOOSE(10-MIN(9,TRUNC((AA224+0.5)/10)),"A","B","C","D","F","F","F","F","F","F"),"")</f>
        <v>B</v>
      </c>
      <c r="AD224" s="31" t="str">
        <f>IF(A224&lt;&gt;"",IF(OR(AA224+0.5&gt;=93,AA224+0.5&lt;60),"",IF(MOD(AA224+0.5,10)&gt;=7,"+",IF(MOD(AA224+0.5,10)&lt;3,"-",""))),"")</f>
        <v>-</v>
      </c>
      <c r="AE224" s="31">
        <f>IF(A224&lt;&gt;"",SUM(W224:X224,$W$8:$X$8)/SUM($W$2:$X$2)*100,"")</f>
        <v>94.03047091412742</v>
      </c>
      <c r="AF224" s="43" t="str">
        <f>IF(A224&lt;&gt;"",CHOOSE(10-MIN(9,TRUNC((AE224+0.5)/10)),"A","B","C","D","F","F","F","F","F","F"),"")</f>
        <v>A</v>
      </c>
      <c r="AG224" s="43" t="str">
        <f>IF(A224&lt;&gt;"",IF(OR(AE224+0.5&gt;=93,AE224+0.5&lt;60),"",IF(MOD(AE224+0.5,10)&gt;=7,"+",IF(MOD(AE224+0.5,10)&lt;3,"-",""))),"")</f>
        <v/>
      </c>
      <c r="AH224" s="35">
        <f>IF(A224&lt;&gt;"",MIN(MAX(AA224,AE224),AA224+$AH$8,AE224+$AH$8),"")</f>
        <v>94.03047091412742</v>
      </c>
      <c r="AI224" s="31" t="str">
        <f>IF(A224&lt;&gt;"",CHOOSE(10-MIN(9,TRUNC((AH224+0.5)/10)),"A","B","C","D","F","F","F","F","F","F"),"")</f>
        <v>A</v>
      </c>
      <c r="AJ224" s="31" t="str">
        <f>IF(A224&lt;&gt;"",IF(OR(AH224+0.5&gt;=93,AH224+0.5&lt;60),"",IF(MOD(AH224+0.5,10)&gt;=7,"+",IF(MOD(AH224+0.5,10)&lt;3,"-",""))),"")</f>
        <v/>
      </c>
      <c r="AK224" s="31" t="b">
        <f>IF(A224&lt;&gt;"",OR(AI224&lt;&gt;AC224,AJ224&lt;&gt;AD224),"")</f>
        <v>1</v>
      </c>
      <c r="AL224" s="81">
        <f>IF(AND(A224&lt;&gt;"",U224&gt;0),SUM(U224,$AL$8)/$AL$2*100,"")</f>
        <v>84.5</v>
      </c>
      <c r="AM224" s="24">
        <f>IF(AND(A224&lt;&gt;"",V224&gt;0),SUM(V224,$AM$8)/$AM$2*100,"")</f>
        <v>56.999999999999993</v>
      </c>
      <c r="AN224" s="24" t="str">
        <f>IF(AND(A224&lt;&gt;"",P224&lt;&gt;0),SUM(P224,$AN$8)/$AN$2*100,"")</f>
        <v/>
      </c>
      <c r="AO224" s="24" t="str">
        <f>IF(AND(A224&lt;&gt;"",Q224&lt;&gt;0),SUM(Q224,$AO$8)/$AO$2*100,"")</f>
        <v/>
      </c>
      <c r="AP224" s="24">
        <f>IF(AND(A224&lt;&gt;"",R224&lt;&gt;0),SUM(R224,$AP$8)/$AP$2*100,"")</f>
        <v>88.502659574468083</v>
      </c>
      <c r="AQ224" s="24" t="str">
        <f>IF(AND(A224&lt;&gt;"",W224&gt;0),SUM(W224,$AQ$8)/$AQ$2*100,"")</f>
        <v/>
      </c>
      <c r="AR224" s="24">
        <f>IF(AND(A224&lt;&gt;"",T224&gt;0),SUM(T224,$AR$8)/$AR$2*100,"")</f>
        <v>94.03047091412742</v>
      </c>
      <c r="AS224" s="24">
        <f>IF(AND(A224&lt;&gt;"",X224&lt;&gt;0),SUM(X224,$AS$8)/$AS$2*100,"")</f>
        <v>94.03047091412742</v>
      </c>
      <c r="AT224" s="86">
        <f>IF(A224&lt;&gt;"",SUM(W224:X224,$AT$8)/$AT$2*100,"")</f>
        <v>94.03047091412742</v>
      </c>
      <c r="AU224" s="24">
        <f>AA224</f>
        <v>81.01523545706371</v>
      </c>
      <c r="AV224" s="24"/>
      <c r="AW224" s="27">
        <f>IF(A224&lt;&gt;"",AE224-AA224,"")</f>
        <v>13.01523545706371</v>
      </c>
      <c r="AY224" s="27">
        <f>AR224-AP224</f>
        <v>5.5278113396593369</v>
      </c>
      <c r="AZ224" s="27">
        <f>ABS(AY224)</f>
        <v>5.5278113396593369</v>
      </c>
    </row>
    <row r="225" spans="1:63" s="27" customFormat="1" ht="12.75" customHeight="1" x14ac:dyDescent="0.2">
      <c r="A225" s="10">
        <v>606540</v>
      </c>
      <c r="B225" s="2">
        <v>19</v>
      </c>
      <c r="C225" s="10">
        <v>24</v>
      </c>
      <c r="D225" s="10">
        <v>23</v>
      </c>
      <c r="E225" s="10">
        <v>25</v>
      </c>
      <c r="F225" s="10">
        <v>23</v>
      </c>
      <c r="G225" s="10">
        <v>25</v>
      </c>
      <c r="H225" s="10">
        <v>10</v>
      </c>
      <c r="I225" s="10">
        <v>24</v>
      </c>
      <c r="J225" s="2"/>
      <c r="K225" s="10">
        <v>63</v>
      </c>
      <c r="L225" s="10">
        <v>58</v>
      </c>
      <c r="M225" s="10">
        <v>60</v>
      </c>
      <c r="N225" s="51">
        <v>60</v>
      </c>
      <c r="O225" s="11">
        <v>62</v>
      </c>
      <c r="P225" s="10"/>
      <c r="Q225" s="40"/>
      <c r="R225" s="2">
        <v>144</v>
      </c>
      <c r="S225" s="10">
        <f>IF(T225="",R225,MAX((R225+$R$8)/$R$2,(T225+$T$8)/$T$2)*$R$2-$R$8)</f>
        <v>161.05562267931867</v>
      </c>
      <c r="T225" s="12">
        <v>239</v>
      </c>
      <c r="U225" s="68">
        <f>IF(A225&lt;&gt;"",SUM(B225:I225),"")</f>
        <v>173</v>
      </c>
      <c r="V225" s="10">
        <f>IF(A225&lt;&gt;"",SUM(J225:O225),"")</f>
        <v>303</v>
      </c>
      <c r="W225" s="10">
        <f>IF(A225&lt;&gt;"",SUM(P225:Q225),"")</f>
        <v>0</v>
      </c>
      <c r="X225" s="10">
        <f>IF(A225&lt;&gt;"",SUM(S225:T225),"")</f>
        <v>400.05562267931867</v>
      </c>
      <c r="Y225" s="12">
        <v>3</v>
      </c>
      <c r="Z225" s="12">
        <f>IF(A225&lt;&gt;"",SUM(U225:Y225),"")</f>
        <v>879.05562267931873</v>
      </c>
      <c r="AA225" s="27">
        <f>IF(A225&lt;&gt;"",(Z225+Normalize_To_Add)/(Point_Total_So_Far)*100,"")</f>
        <v>95.415235457063716</v>
      </c>
      <c r="AB225" s="10">
        <f>IF(A225&lt;&gt;"",RANK(AA225,All_Student_XC),"")</f>
        <v>27</v>
      </c>
      <c r="AC225" s="31" t="str">
        <f>IF(A225&lt;&gt;"",CHOOSE(10-MIN(9,TRUNC((AA225+0.5)/10)),"A","B","C","D","F","F","F","F","F","F"),"")</f>
        <v>A</v>
      </c>
      <c r="AD225" s="31" t="str">
        <f>IF(A225&lt;&gt;"",IF(OR(AA225+0.5&gt;=93,AA225+0.5&lt;60),"",IF(MOD(AA225+0.5,10)&gt;=7,"+",IF(MOD(AA225+0.5,10)&lt;3,"-",""))),"")</f>
        <v/>
      </c>
      <c r="AE225" s="31">
        <f>IF(A225&lt;&gt;"",SUM(W225:X225,$W$8:$X$8)/SUM($W$2:$X$2)*100,"")</f>
        <v>95.03047091412742</v>
      </c>
      <c r="AF225" s="31" t="str">
        <f>IF(A225&lt;&gt;"",CHOOSE(10-MIN(9,TRUNC((AE225+0.5)/10)),"A","B","C","D","F","F","F","F","F","F"),"")</f>
        <v>A</v>
      </c>
      <c r="AG225" s="31" t="str">
        <f>IF(A225&lt;&gt;"",IF(OR(AE225+0.5&gt;=93,AE225+0.5&lt;60),"",IF(MOD(AE225+0.5,10)&gt;=7,"+",IF(MOD(AE225+0.5,10)&lt;3,"-",""))),"")</f>
        <v/>
      </c>
      <c r="AH225" s="35">
        <f>IF(A225&lt;&gt;"",MIN(MAX(AA225,AE225),AA225+$AH$8,AE225+$AH$8),"")</f>
        <v>95.415235457063716</v>
      </c>
      <c r="AI225" s="31" t="str">
        <f>IF(A225&lt;&gt;"",CHOOSE(10-MIN(9,TRUNC((AH225+0.5)/10)),"A","B","C","D","F","F","F","F","F","F"),"")</f>
        <v>A</v>
      </c>
      <c r="AJ225" s="31" t="str">
        <f>IF(A225&lt;&gt;"",IF(OR(AH225+0.5&gt;=93,AH225+0.5&lt;60),"",IF(MOD(AH225+0.5,10)&gt;=7,"+",IF(MOD(AH225+0.5,10)&lt;3,"-",""))),"")</f>
        <v/>
      </c>
      <c r="AK225" s="31" t="b">
        <f>IF(A225&lt;&gt;"",OR(AI225&lt;&gt;AC225,AJ225&lt;&gt;AD225),"")</f>
        <v>0</v>
      </c>
      <c r="AL225" s="81">
        <f>IF(AND(A225&lt;&gt;"",U225&gt;0),SUM(U225,$AL$8)/$AL$2*100,"")</f>
        <v>86.5</v>
      </c>
      <c r="AM225" s="24">
        <f>IF(AND(A225&lt;&gt;"",V225&gt;0),SUM(V225,$AM$8)/$AM$2*100,"")</f>
        <v>101</v>
      </c>
      <c r="AN225" s="24" t="str">
        <f>IF(AND(A225&lt;&gt;"",P225&lt;&gt;0),SUM(P225,$AN$8)/$AN$2*100,"")</f>
        <v/>
      </c>
      <c r="AO225" s="24" t="str">
        <f>IF(AND(A225&lt;&gt;"",Q225&lt;&gt;0),SUM(Q225,$AO$8)/$AO$2*100,"")</f>
        <v/>
      </c>
      <c r="AP225" s="24">
        <f>IF(AND(A225&lt;&gt;"",R225&lt;&gt;0),SUM(R225,$AP$8)/$AP$2*100,"")</f>
        <v>86.502659574468083</v>
      </c>
      <c r="AQ225" s="24" t="str">
        <f>IF(AND(A225&lt;&gt;"",W225&gt;0),SUM(W225,$AQ$8)/$AQ$2*100,"")</f>
        <v/>
      </c>
      <c r="AR225" s="24">
        <f>IF(AND(A225&lt;&gt;"",T225&gt;0),SUM(T225,$AR$8)/$AR$2*100,"")</f>
        <v>95.03047091412742</v>
      </c>
      <c r="AS225" s="24">
        <f>IF(AND(A225&lt;&gt;"",X225&lt;&gt;0),SUM(X225,$AS$8)/$AS$2*100,"")</f>
        <v>95.03047091412742</v>
      </c>
      <c r="AT225" s="86">
        <f>IF(A225&lt;&gt;"",SUM(W225:X225,$AT$8)/$AT$2*100,"")</f>
        <v>95.03047091412742</v>
      </c>
      <c r="AU225" s="24">
        <f>AA225</f>
        <v>95.415235457063716</v>
      </c>
      <c r="AV225" s="24"/>
      <c r="AW225" s="27">
        <f>IF(A225&lt;&gt;"",AE225-AA225,"")</f>
        <v>-0.38476454293629558</v>
      </c>
      <c r="AY225" s="27">
        <f>AR225-AP225</f>
        <v>8.5278113396593369</v>
      </c>
      <c r="AZ225" s="27">
        <f>ABS(AY225)</f>
        <v>8.5278113396593369</v>
      </c>
    </row>
    <row r="226" spans="1:63" s="27" customFormat="1" ht="12.75" customHeight="1" x14ac:dyDescent="0.2">
      <c r="A226" s="50">
        <v>608574</v>
      </c>
      <c r="B226" s="2">
        <v>25</v>
      </c>
      <c r="C226" s="50">
        <v>24</v>
      </c>
      <c r="D226" s="10">
        <v>21</v>
      </c>
      <c r="E226" s="10">
        <v>25</v>
      </c>
      <c r="F226" s="10">
        <v>25</v>
      </c>
      <c r="G226" s="10">
        <v>25</v>
      </c>
      <c r="H226" s="10">
        <v>20</v>
      </c>
      <c r="I226" s="10">
        <v>21</v>
      </c>
      <c r="J226" s="2"/>
      <c r="K226" s="10">
        <v>62</v>
      </c>
      <c r="L226" s="10">
        <v>61</v>
      </c>
      <c r="M226" s="10">
        <v>62</v>
      </c>
      <c r="N226" s="51">
        <v>57</v>
      </c>
      <c r="O226" s="11">
        <v>37</v>
      </c>
      <c r="P226" s="10"/>
      <c r="Q226" s="40"/>
      <c r="R226" s="2">
        <v>139</v>
      </c>
      <c r="S226" s="10">
        <f>IF(T226="",R226,MAX((R226+$R$8)/$R$2,(T226+$T$8)/$T$2)*$R$2-$R$8)</f>
        <v>139</v>
      </c>
      <c r="T226" s="62">
        <v>166</v>
      </c>
      <c r="U226" s="2">
        <f>IF(A226&lt;&gt;"",SUM(B226:I226),"")</f>
        <v>186</v>
      </c>
      <c r="V226" s="10">
        <f>IF(A226&lt;&gt;"",SUM(J226:O226),"")</f>
        <v>279</v>
      </c>
      <c r="W226" s="10">
        <f>IF(A226&lt;&gt;"",SUM(P226:Q226),"")</f>
        <v>0</v>
      </c>
      <c r="X226" s="10">
        <f>IF(A226&lt;&gt;"",SUM(S226:T226),"")</f>
        <v>305</v>
      </c>
      <c r="Y226" s="12">
        <v>3</v>
      </c>
      <c r="Z226" s="12">
        <f>IF(A226&lt;&gt;"",SUM(U226:Y226),"")</f>
        <v>773</v>
      </c>
      <c r="AA226" s="27">
        <f>IF(A226&lt;&gt;"",(Z226+Normalize_To_Add)/(Point_Total_So_Far)*100,"")</f>
        <v>84.809673189131843</v>
      </c>
      <c r="AB226" s="10">
        <f>IF(A226&lt;&gt;"",RANK(AA226,All_Student_XC),"")</f>
        <v>161</v>
      </c>
      <c r="AC226" s="31" t="str">
        <f>IF(A226&lt;&gt;"",CHOOSE(10-MIN(9,TRUNC((AA226+0.5)/10)),"A","B","C","D","F","F","F","F","F","F"),"")</f>
        <v>B</v>
      </c>
      <c r="AD226" s="31" t="str">
        <f>IF(A226&lt;&gt;"",IF(OR(AA226+0.5&gt;=93,AA226+0.5&lt;60),"",IF(MOD(AA226+0.5,10)&gt;=7,"+",IF(MOD(AA226+0.5,10)&lt;3,"-",""))),"")</f>
        <v/>
      </c>
      <c r="AE226" s="31">
        <f>IF(A226&lt;&gt;"",SUM(W226:X226,$W$8:$X$8)/SUM($W$2:$X$2)*100,"")</f>
        <v>76.019346378263691</v>
      </c>
      <c r="AF226" s="43" t="str">
        <f>IF(A226&lt;&gt;"",CHOOSE(10-MIN(9,TRUNC((AE226+0.5)/10)),"A","B","C","D","F","F","F","F","F","F"),"")</f>
        <v>C</v>
      </c>
      <c r="AG226" s="43" t="str">
        <f>IF(A226&lt;&gt;"",IF(OR(AE226+0.5&gt;=93,AE226+0.5&lt;60),"",IF(MOD(AE226+0.5,10)&gt;=7,"+",IF(MOD(AE226+0.5,10)&lt;3,"-",""))),"")</f>
        <v/>
      </c>
      <c r="AH226" s="35">
        <f>IF(A226&lt;&gt;"",MIN(MAX(AA226,AE226),AA226+$AH$8,AE226+$AH$8),"")</f>
        <v>84.809673189131843</v>
      </c>
      <c r="AI226" s="31" t="str">
        <f>IF(A226&lt;&gt;"",CHOOSE(10-MIN(9,TRUNC((AH226+0.5)/10)),"A","B","C","D","F","F","F","F","F","F"),"")</f>
        <v>B</v>
      </c>
      <c r="AJ226" s="31" t="str">
        <f>IF(A226&lt;&gt;"",IF(OR(AH226+0.5&gt;=93,AH226+0.5&lt;60),"",IF(MOD(AH226+0.5,10)&gt;=7,"+",IF(MOD(AH226+0.5,10)&lt;3,"-",""))),"")</f>
        <v/>
      </c>
      <c r="AK226" s="31" t="b">
        <f>IF(A226&lt;&gt;"",OR(AI226&lt;&gt;AC226,AJ226&lt;&gt;AD226),"")</f>
        <v>0</v>
      </c>
      <c r="AL226" s="81">
        <f>IF(AND(A226&lt;&gt;"",U226&gt;0),SUM(U226,$AL$8)/$AL$2*100,"")</f>
        <v>93</v>
      </c>
      <c r="AM226" s="24">
        <f>IF(AND(A226&lt;&gt;"",V226&gt;0),SUM(V226,$AM$8)/$AM$2*100,"")</f>
        <v>93</v>
      </c>
      <c r="AN226" s="24" t="str">
        <f>IF(AND(A226&lt;&gt;"",P226&lt;&gt;0),SUM(P226,$AN$8)/$AN$2*100,"")</f>
        <v/>
      </c>
      <c r="AO226" s="24" t="str">
        <f>IF(AND(A226&lt;&gt;"",Q226&lt;&gt;0),SUM(Q226,$AO$8)/$AO$2*100,"")</f>
        <v/>
      </c>
      <c r="AP226" s="24">
        <f>IF(AND(A226&lt;&gt;"",R226&lt;&gt;0),SUM(R226,$AP$8)/$AP$2*100,"")</f>
        <v>84.002659574468083</v>
      </c>
      <c r="AQ226" s="24" t="str">
        <f>IF(AND(A226&lt;&gt;"",W226&gt;0),SUM(W226,$AQ$8)/$AQ$2*100,"")</f>
        <v/>
      </c>
      <c r="AR226" s="24">
        <f>IF(AND(A226&lt;&gt;"",T226&gt;0),SUM(T226,$AR$8)/$AR$2*100,"")</f>
        <v>70.697137580794092</v>
      </c>
      <c r="AS226" s="24">
        <f>IF(AND(A226&lt;&gt;"",X226&lt;&gt;0),SUM(X226,$AS$8)/$AS$2*100,"")</f>
        <v>76.019346378263691</v>
      </c>
      <c r="AT226" s="86">
        <f>IF(A226&lt;&gt;"",SUM(W226:X226,$AT$8)/$AT$2*100,"")</f>
        <v>76.019346378263691</v>
      </c>
      <c r="AU226" s="24">
        <f>AA226</f>
        <v>84.809673189131843</v>
      </c>
      <c r="AV226" s="24"/>
      <c r="AW226" s="27">
        <f>IF(A226&lt;&gt;"",AE226-AA226,"")</f>
        <v>-8.7903268108681516</v>
      </c>
      <c r="AY226" s="27">
        <f>AR226-AP226</f>
        <v>-13.305521993673992</v>
      </c>
      <c r="AZ226" s="27">
        <f>ABS(AY226)</f>
        <v>13.305521993673992</v>
      </c>
    </row>
    <row r="227" spans="1:63" s="27" customFormat="1" ht="12.75" customHeight="1" x14ac:dyDescent="0.2">
      <c r="A227" s="50">
        <v>611356</v>
      </c>
      <c r="B227" s="2">
        <v>24</v>
      </c>
      <c r="C227" s="50">
        <v>25</v>
      </c>
      <c r="D227" s="10">
        <v>24</v>
      </c>
      <c r="E227" s="10">
        <v>25</v>
      </c>
      <c r="F227" s="10">
        <v>23</v>
      </c>
      <c r="G227" s="10">
        <v>25</v>
      </c>
      <c r="H227" s="10">
        <v>19</v>
      </c>
      <c r="I227" s="10">
        <v>25</v>
      </c>
      <c r="J227" s="2"/>
      <c r="K227" s="10">
        <v>30</v>
      </c>
      <c r="L227" s="10">
        <v>44</v>
      </c>
      <c r="M227" s="10">
        <v>59</v>
      </c>
      <c r="N227" s="51">
        <v>13</v>
      </c>
      <c r="O227" s="11">
        <v>51</v>
      </c>
      <c r="P227" s="10"/>
      <c r="Q227" s="40"/>
      <c r="R227" s="2">
        <v>99</v>
      </c>
      <c r="S227" s="10">
        <f>IF(T227="",R227,MAX((R227+$R$8)/$R$2,(T227+$T$8)/$T$2)*$R$2-$R$8)</f>
        <v>116.38895601265202</v>
      </c>
      <c r="T227" s="62">
        <v>172</v>
      </c>
      <c r="U227" s="2">
        <f>IF(A227&lt;&gt;"",SUM(B227:I227),"")</f>
        <v>190</v>
      </c>
      <c r="V227" s="10">
        <f>IF(A227&lt;&gt;"",SUM(J227:O227),"")</f>
        <v>197</v>
      </c>
      <c r="W227" s="10">
        <f>IF(A227&lt;&gt;"",SUM(P227:Q227),"")</f>
        <v>0</v>
      </c>
      <c r="X227" s="10">
        <f>IF(A227&lt;&gt;"",SUM(S227:T227),"")</f>
        <v>288.38895601265199</v>
      </c>
      <c r="Y227" s="12" t="s">
        <v>69</v>
      </c>
      <c r="Z227" s="12">
        <f>IF(A227&lt;&gt;"",SUM(U227:Y227),"")</f>
        <v>675.38895601265199</v>
      </c>
      <c r="AA227" s="27">
        <f>IF(A227&lt;&gt;"",(Z227+Normalize_To_Add)/(Point_Total_So_Far)*100,"")</f>
        <v>75.048568790397042</v>
      </c>
      <c r="AB227" s="10">
        <f>IF(A227&lt;&gt;"",RANK(AA227,All_Student_XC),"")</f>
        <v>276</v>
      </c>
      <c r="AC227" s="31" t="str">
        <f>IF(A227&lt;&gt;"",CHOOSE(10-MIN(9,TRUNC((AA227+0.5)/10)),"A","B","C","D","F","F","F","F","F","F"),"")</f>
        <v>C</v>
      </c>
      <c r="AD227" s="31" t="str">
        <f>IF(A227&lt;&gt;"",IF(OR(AA227+0.5&gt;=93,AA227+0.5&lt;60),"",IF(MOD(AA227+0.5,10)&gt;=7,"+",IF(MOD(AA227+0.5,10)&lt;3,"-",""))),"")</f>
        <v/>
      </c>
      <c r="AE227" s="31">
        <f>IF(A227&lt;&gt;"",SUM(W227:X227,$W$8:$X$8)/SUM($W$2:$X$2)*100,"")</f>
        <v>72.697137580794077</v>
      </c>
      <c r="AF227" s="43" t="str">
        <f>IF(A227&lt;&gt;"",CHOOSE(10-MIN(9,TRUNC((AE227+0.5)/10)),"A","B","C","D","F","F","F","F","F","F"),"")</f>
        <v>C</v>
      </c>
      <c r="AG227" s="43" t="str">
        <f>IF(A227&lt;&gt;"",IF(OR(AE227+0.5&gt;=93,AE227+0.5&lt;60),"",IF(MOD(AE227+0.5,10)&gt;=7,"+",IF(MOD(AE227+0.5,10)&lt;3,"-",""))),"")</f>
        <v/>
      </c>
      <c r="AH227" s="35">
        <f>IF(A227&lt;&gt;"",MIN(MAX(AA227,AE227),AA227+$AH$8,AE227+$AH$8),"")</f>
        <v>75.048568790397042</v>
      </c>
      <c r="AI227" s="31" t="str">
        <f>IF(A227&lt;&gt;"",CHOOSE(10-MIN(9,TRUNC((AH227+0.5)/10)),"A","B","C","D","F","F","F","F","F","F"),"")</f>
        <v>C</v>
      </c>
      <c r="AJ227" s="31" t="str">
        <f>IF(A227&lt;&gt;"",IF(OR(AH227+0.5&gt;=93,AH227+0.5&lt;60),"",IF(MOD(AH227+0.5,10)&gt;=7,"+",IF(MOD(AH227+0.5,10)&lt;3,"-",""))),"")</f>
        <v/>
      </c>
      <c r="AK227" s="31" t="b">
        <f>IF(A227&lt;&gt;"",OR(AI227&lt;&gt;AC227,AJ227&lt;&gt;AD227),"")</f>
        <v>0</v>
      </c>
      <c r="AL227" s="81">
        <f>IF(AND(A227&lt;&gt;"",U227&gt;0),SUM(U227,$AL$8)/$AL$2*100,"")</f>
        <v>95</v>
      </c>
      <c r="AM227" s="24">
        <f>IF(AND(A227&lt;&gt;"",V227&gt;0),SUM(V227,$AM$8)/$AM$2*100,"")</f>
        <v>65.666666666666657</v>
      </c>
      <c r="AN227" s="24" t="str">
        <f>IF(AND(A227&lt;&gt;"",P227&lt;&gt;0),SUM(P227,$AN$8)/$AN$2*100,"")</f>
        <v/>
      </c>
      <c r="AO227" s="24" t="str">
        <f>IF(AND(A227&lt;&gt;"",Q227&lt;&gt;0),SUM(Q227,$AO$8)/$AO$2*100,"")</f>
        <v/>
      </c>
      <c r="AP227" s="24">
        <f>IF(AND(A227&lt;&gt;"",R227&lt;&gt;0),SUM(R227,$AP$8)/$AP$2*100,"")</f>
        <v>64.002659574468083</v>
      </c>
      <c r="AQ227" s="24" t="str">
        <f>IF(AND(A227&lt;&gt;"",W227&gt;0),SUM(W227,$AQ$8)/$AQ$2*100,"")</f>
        <v/>
      </c>
      <c r="AR227" s="24">
        <f>IF(AND(A227&lt;&gt;"",T227&gt;0),SUM(T227,$AR$8)/$AR$2*100,"")</f>
        <v>72.697137580794092</v>
      </c>
      <c r="AS227" s="24">
        <f>IF(AND(A227&lt;&gt;"",X227&lt;&gt;0),SUM(X227,$AS$8)/$AS$2*100,"")</f>
        <v>72.697137580794077</v>
      </c>
      <c r="AT227" s="86">
        <f>IF(A227&lt;&gt;"",SUM(W227:X227,$AT$8)/$AT$2*100,"")</f>
        <v>72.697137580794077</v>
      </c>
      <c r="AU227" s="24">
        <f>AA227</f>
        <v>75.048568790397042</v>
      </c>
      <c r="AV227" s="24"/>
      <c r="AW227" s="27">
        <f>IF(A227&lt;&gt;"",AE227-AA227,"")</f>
        <v>-2.3514312096029641</v>
      </c>
      <c r="AY227" s="27">
        <f>AR227-AP227</f>
        <v>8.6944780063260083</v>
      </c>
      <c r="AZ227" s="27">
        <f>ABS(AY227)</f>
        <v>8.6944780063260083</v>
      </c>
    </row>
    <row r="228" spans="1:63" s="27" customFormat="1" ht="12.75" customHeight="1" x14ac:dyDescent="0.2">
      <c r="A228" s="50">
        <v>616900</v>
      </c>
      <c r="B228" s="2">
        <v>25</v>
      </c>
      <c r="C228" s="50">
        <v>23</v>
      </c>
      <c r="D228" s="10">
        <v>24</v>
      </c>
      <c r="E228" s="10">
        <v>21</v>
      </c>
      <c r="F228" s="10">
        <v>21</v>
      </c>
      <c r="G228" s="10">
        <v>25</v>
      </c>
      <c r="H228" s="10">
        <v>23</v>
      </c>
      <c r="I228" s="10">
        <v>21</v>
      </c>
      <c r="J228" s="2"/>
      <c r="K228" s="10">
        <v>56</v>
      </c>
      <c r="L228" s="10">
        <v>46</v>
      </c>
      <c r="M228" s="10">
        <v>51</v>
      </c>
      <c r="N228" s="51">
        <v>41</v>
      </c>
      <c r="O228" s="11">
        <v>62</v>
      </c>
      <c r="P228" s="10"/>
      <c r="Q228" s="40"/>
      <c r="R228" s="2">
        <v>90</v>
      </c>
      <c r="S228" s="10">
        <f>IF(T228="",R228,MAX((R228+$R$8)/$R$2,(T228+$T$8)/$T$2)*$R$2-$R$8)</f>
        <v>111.05562267931867</v>
      </c>
      <c r="T228" s="62">
        <v>164</v>
      </c>
      <c r="U228" s="2">
        <f>IF(A228&lt;&gt;"",SUM(B228:I228),"")</f>
        <v>183</v>
      </c>
      <c r="V228" s="10">
        <f>IF(A228&lt;&gt;"",SUM(J228:O228),"")</f>
        <v>256</v>
      </c>
      <c r="W228" s="10">
        <f>IF(A228&lt;&gt;"",SUM(P228:Q228),"")</f>
        <v>0</v>
      </c>
      <c r="X228" s="10">
        <f>IF(A228&lt;&gt;"",SUM(S228:T228),"")</f>
        <v>275.05562267931867</v>
      </c>
      <c r="Y228" s="12">
        <v>3</v>
      </c>
      <c r="Z228" s="12">
        <f>IF(A228&lt;&gt;"",SUM(U228:Y228),"")</f>
        <v>717.05562267931873</v>
      </c>
      <c r="AA228" s="27">
        <f>IF(A228&lt;&gt;"",(Z228+Normalize_To_Add)/(Point_Total_So_Far)*100,"")</f>
        <v>79.215235457063713</v>
      </c>
      <c r="AB228" s="10">
        <f>IF(A228&lt;&gt;"",RANK(AA228,All_Student_XC),"")</f>
        <v>218</v>
      </c>
      <c r="AC228" s="31" t="str">
        <f>IF(A228&lt;&gt;"",CHOOSE(10-MIN(9,TRUNC((AA228+0.5)/10)),"A","B","C","D","F","F","F","F","F","F"),"")</f>
        <v>C</v>
      </c>
      <c r="AD228" s="31" t="str">
        <f>IF(A228&lt;&gt;"",IF(OR(AA228+0.5&gt;=93,AA228+0.5&lt;60),"",IF(MOD(AA228+0.5,10)&gt;=7,"+",IF(MOD(AA228+0.5,10)&lt;3,"-",""))),"")</f>
        <v>+</v>
      </c>
      <c r="AE228" s="31">
        <f>IF(A228&lt;&gt;"",SUM(W228:X228,$W$8:$X$8)/SUM($W$2:$X$2)*100,"")</f>
        <v>70.03047091412742</v>
      </c>
      <c r="AF228" s="43" t="str">
        <f>IF(A228&lt;&gt;"",CHOOSE(10-MIN(9,TRUNC((AE228+0.5)/10)),"A","B","C","D","F","F","F","F","F","F"),"")</f>
        <v>C</v>
      </c>
      <c r="AG228" s="43" t="str">
        <f>IF(A228&lt;&gt;"",IF(OR(AE228+0.5&gt;=93,AE228+0.5&lt;60),"",IF(MOD(AE228+0.5,10)&gt;=7,"+",IF(MOD(AE228+0.5,10)&lt;3,"-",""))),"")</f>
        <v>-</v>
      </c>
      <c r="AH228" s="35">
        <f>IF(A228&lt;&gt;"",MIN(MAX(AA228,AE228),AA228+$AH$8,AE228+$AH$8),"")</f>
        <v>79.215235457063713</v>
      </c>
      <c r="AI228" s="31" t="str">
        <f>IF(A228&lt;&gt;"",CHOOSE(10-MIN(9,TRUNC((AH228+0.5)/10)),"A","B","C","D","F","F","F","F","F","F"),"")</f>
        <v>C</v>
      </c>
      <c r="AJ228" s="31" t="str">
        <f>IF(A228&lt;&gt;"",IF(OR(AH228+0.5&gt;=93,AH228+0.5&lt;60),"",IF(MOD(AH228+0.5,10)&gt;=7,"+",IF(MOD(AH228+0.5,10)&lt;3,"-",""))),"")</f>
        <v>+</v>
      </c>
      <c r="AK228" s="31" t="b">
        <f>IF(A228&lt;&gt;"",OR(AI228&lt;&gt;AC228,AJ228&lt;&gt;AD228),"")</f>
        <v>0</v>
      </c>
      <c r="AL228" s="81">
        <f>IF(AND(A228&lt;&gt;"",U228&gt;0),SUM(U228,$AL$8)/$AL$2*100,"")</f>
        <v>91.5</v>
      </c>
      <c r="AM228" s="24">
        <f>IF(AND(A228&lt;&gt;"",V228&gt;0),SUM(V228,$AM$8)/$AM$2*100,"")</f>
        <v>85.333333333333343</v>
      </c>
      <c r="AN228" s="24" t="str">
        <f>IF(AND(A228&lt;&gt;"",P228&lt;&gt;0),SUM(P228,$AN$8)/$AN$2*100,"")</f>
        <v/>
      </c>
      <c r="AO228" s="24" t="str">
        <f>IF(AND(A228&lt;&gt;"",Q228&lt;&gt;0),SUM(Q228,$AO$8)/$AO$2*100,"")</f>
        <v/>
      </c>
      <c r="AP228" s="24">
        <f>IF(AND(A228&lt;&gt;"",R228&lt;&gt;0),SUM(R228,$AP$8)/$AP$2*100,"")</f>
        <v>59.502659574468083</v>
      </c>
      <c r="AQ228" s="24" t="str">
        <f>IF(AND(A228&lt;&gt;"",W228&gt;0),SUM(W228,$AQ$8)/$AQ$2*100,"")</f>
        <v/>
      </c>
      <c r="AR228" s="24">
        <f>IF(AND(A228&lt;&gt;"",T228&gt;0),SUM(T228,$AR$8)/$AR$2*100,"")</f>
        <v>70.03047091412742</v>
      </c>
      <c r="AS228" s="24">
        <f>IF(AND(A228&lt;&gt;"",X228&lt;&gt;0),SUM(X228,$AS$8)/$AS$2*100,"")</f>
        <v>70.03047091412742</v>
      </c>
      <c r="AT228" s="86">
        <f>IF(A228&lt;&gt;"",SUM(W228:X228,$AT$8)/$AT$2*100,"")</f>
        <v>70.03047091412742</v>
      </c>
      <c r="AU228" s="24">
        <f>AA228</f>
        <v>79.215235457063713</v>
      </c>
      <c r="AV228" s="24"/>
      <c r="AW228" s="27">
        <f>IF(A228&lt;&gt;"",AE228-AA228,"")</f>
        <v>-9.1847645429362927</v>
      </c>
      <c r="AY228" s="27">
        <f>AR228-AP228</f>
        <v>10.527811339659337</v>
      </c>
      <c r="AZ228" s="27">
        <f>ABS(AY228)</f>
        <v>10.527811339659337</v>
      </c>
    </row>
    <row r="229" spans="1:63" s="27" customFormat="1" ht="12.75" customHeight="1" x14ac:dyDescent="0.2">
      <c r="A229" s="10">
        <v>617654</v>
      </c>
      <c r="B229" s="2">
        <v>15</v>
      </c>
      <c r="C229" s="10">
        <v>25</v>
      </c>
      <c r="D229" s="10">
        <v>24</v>
      </c>
      <c r="E229" s="10">
        <v>25</v>
      </c>
      <c r="F229" s="10">
        <v>12</v>
      </c>
      <c r="G229" s="10">
        <v>25</v>
      </c>
      <c r="H229" s="10">
        <v>22</v>
      </c>
      <c r="I229" s="10">
        <v>24</v>
      </c>
      <c r="J229" s="2"/>
      <c r="K229" s="10">
        <v>48</v>
      </c>
      <c r="L229" s="10">
        <v>54</v>
      </c>
      <c r="M229" s="10">
        <v>59</v>
      </c>
      <c r="N229" s="51">
        <v>57</v>
      </c>
      <c r="O229" s="11">
        <v>45</v>
      </c>
      <c r="P229" s="10"/>
      <c r="Q229" s="40"/>
      <c r="R229" s="2">
        <v>89</v>
      </c>
      <c r="S229" s="10">
        <f>IF(T229="",R229,MAX((R229+$R$8)/$R$2,(T229+$T$8)/$T$2)*$R$2-$R$8)</f>
        <v>101.72228934598533</v>
      </c>
      <c r="T229" s="12">
        <v>150</v>
      </c>
      <c r="U229" s="1">
        <f>IF(A229&lt;&gt;"",SUM(B229:I229),"")</f>
        <v>172</v>
      </c>
      <c r="V229" s="10">
        <f>IF(A229&lt;&gt;"",SUM(J229:O229),"")</f>
        <v>263</v>
      </c>
      <c r="W229" s="10">
        <f>IF(A229&lt;&gt;"",SUM(P229:Q229),"")</f>
        <v>0</v>
      </c>
      <c r="X229" s="10">
        <f>IF(A229&lt;&gt;"",SUM(S229:T229),"")</f>
        <v>251.72228934598533</v>
      </c>
      <c r="Y229" s="12">
        <v>3</v>
      </c>
      <c r="Z229" s="12">
        <f>IF(A229&lt;&gt;"",SUM(U229:Y229),"")</f>
        <v>689.72228934598536</v>
      </c>
      <c r="AA229" s="27">
        <f>IF(A229&lt;&gt;"",(Z229+Normalize_To_Add)/(Point_Total_So_Far)*100,"")</f>
        <v>76.481902123730379</v>
      </c>
      <c r="AB229" s="10">
        <f>IF(A229&lt;&gt;"",RANK(AA229,All_Student_XC),"")</f>
        <v>257</v>
      </c>
      <c r="AC229" s="31" t="str">
        <f>IF(A229&lt;&gt;"",CHOOSE(10-MIN(9,TRUNC((AA229+0.5)/10)),"A","B","C","D","F","F","F","F","F","F"),"")</f>
        <v>C</v>
      </c>
      <c r="AD229" s="31" t="str">
        <f>IF(A229&lt;&gt;"",IF(OR(AA229+0.5&gt;=93,AA229+0.5&lt;60),"",IF(MOD(AA229+0.5,10)&gt;=7,"+",IF(MOD(AA229+0.5,10)&lt;3,"-",""))),"")</f>
        <v/>
      </c>
      <c r="AE229" s="31">
        <f>IF(A229&lt;&gt;"",SUM(W229:X229,$W$8:$X$8)/SUM($W$2:$X$2)*100,"")</f>
        <v>65.363804247460749</v>
      </c>
      <c r="AF229" s="43" t="str">
        <f>IF(A229&lt;&gt;"",CHOOSE(10-MIN(9,TRUNC((AE229+0.5)/10)),"A","B","C","D","F","F","F","F","F","F"),"")</f>
        <v>D</v>
      </c>
      <c r="AG229" s="43" t="str">
        <f>IF(A229&lt;&gt;"",IF(OR(AE229+0.5&gt;=93,AE229+0.5&lt;60),"",IF(MOD(AE229+0.5,10)&gt;=7,"+",IF(MOD(AE229+0.5,10)&lt;3,"-",""))),"")</f>
        <v/>
      </c>
      <c r="AH229" s="35">
        <f>IF(A229&lt;&gt;"",MIN(MAX(AA229,AE229),AA229+$AH$8,AE229+$AH$8),"")</f>
        <v>76.481902123730379</v>
      </c>
      <c r="AI229" s="31" t="str">
        <f>IF(A229&lt;&gt;"",CHOOSE(10-MIN(9,TRUNC((AH229+0.5)/10)),"A","B","C","D","F","F","F","F","F","F"),"")</f>
        <v>C</v>
      </c>
      <c r="AJ229" s="31" t="str">
        <f>IF(A229&lt;&gt;"",IF(OR(AH229+0.5&gt;=93,AH229+0.5&lt;60),"",IF(MOD(AH229+0.5,10)&gt;=7,"+",IF(MOD(AH229+0.5,10)&lt;3,"-",""))),"")</f>
        <v/>
      </c>
      <c r="AK229" s="31" t="b">
        <f>IF(A229&lt;&gt;"",OR(AI229&lt;&gt;AC229,AJ229&lt;&gt;AD229),"")</f>
        <v>0</v>
      </c>
      <c r="AL229" s="81">
        <f>IF(AND(A229&lt;&gt;"",U229&gt;0),SUM(U229,$AL$8)/$AL$2*100,"")</f>
        <v>86</v>
      </c>
      <c r="AM229" s="24">
        <f>IF(AND(A229&lt;&gt;"",V229&gt;0),SUM(V229,$AM$8)/$AM$2*100,"")</f>
        <v>87.666666666666671</v>
      </c>
      <c r="AN229" s="24" t="str">
        <f>IF(AND(A229&lt;&gt;"",P229&lt;&gt;0),SUM(P229,$AN$8)/$AN$2*100,"")</f>
        <v/>
      </c>
      <c r="AO229" s="24" t="str">
        <f>IF(AND(A229&lt;&gt;"",Q229&lt;&gt;0),SUM(Q229,$AO$8)/$AO$2*100,"")</f>
        <v/>
      </c>
      <c r="AP229" s="24">
        <f>IF(AND(A229&lt;&gt;"",R229&lt;&gt;0),SUM(R229,$AP$8)/$AP$2*100,"")</f>
        <v>59.002659574468083</v>
      </c>
      <c r="AQ229" s="24" t="str">
        <f>IF(AND(A229&lt;&gt;"",W229&gt;0),SUM(W229,$AQ$8)/$AQ$2*100,"")</f>
        <v/>
      </c>
      <c r="AR229" s="24">
        <f>IF(AND(A229&lt;&gt;"",T229&gt;0),SUM(T229,$AR$8)/$AR$2*100,"")</f>
        <v>65.363804247460749</v>
      </c>
      <c r="AS229" s="24">
        <f>IF(AND(A229&lt;&gt;"",X229&lt;&gt;0),SUM(X229,$AS$8)/$AS$2*100,"")</f>
        <v>65.363804247460749</v>
      </c>
      <c r="AT229" s="86">
        <f>IF(A229&lt;&gt;"",SUM(W229:X229,$AT$8)/$AT$2*100,"")</f>
        <v>65.363804247460749</v>
      </c>
      <c r="AU229" s="24">
        <f>AA229</f>
        <v>76.481902123730379</v>
      </c>
      <c r="AV229" s="24"/>
      <c r="AW229" s="27">
        <f>IF(A229&lt;&gt;"",AE229-AA229,"")</f>
        <v>-11.11809787626963</v>
      </c>
      <c r="AY229" s="27">
        <f>AR229-AP229</f>
        <v>6.3611446729926655</v>
      </c>
      <c r="AZ229" s="27">
        <f>ABS(AY229)</f>
        <v>6.3611446729926655</v>
      </c>
    </row>
    <row r="230" spans="1:63" s="27" customFormat="1" ht="12.75" customHeight="1" x14ac:dyDescent="0.2">
      <c r="A230" s="10">
        <v>619490</v>
      </c>
      <c r="B230" s="2">
        <v>25</v>
      </c>
      <c r="C230" s="10">
        <v>23</v>
      </c>
      <c r="D230" s="10">
        <v>17</v>
      </c>
      <c r="E230" s="10">
        <v>22</v>
      </c>
      <c r="F230" s="10">
        <v>25</v>
      </c>
      <c r="G230" s="10">
        <v>25</v>
      </c>
      <c r="H230" s="10">
        <v>20</v>
      </c>
      <c r="I230" s="10">
        <v>25</v>
      </c>
      <c r="J230" s="2"/>
      <c r="K230" s="10">
        <v>53</v>
      </c>
      <c r="L230" s="10">
        <v>24</v>
      </c>
      <c r="M230" s="10">
        <v>29</v>
      </c>
      <c r="N230" s="51">
        <v>47</v>
      </c>
      <c r="O230" s="11">
        <v>41</v>
      </c>
      <c r="P230" s="10"/>
      <c r="Q230" s="40"/>
      <c r="R230" s="2">
        <v>136</v>
      </c>
      <c r="S230" s="10">
        <f>IF(T230="",R230,MAX((R230+$R$8)/$R$2,(T230+$T$8)/$T$2)*$R$2-$R$8)</f>
        <v>136</v>
      </c>
      <c r="T230" s="12">
        <v>155</v>
      </c>
      <c r="U230" s="68">
        <f>IF(A230&lt;&gt;"",SUM(B230:I230),"")</f>
        <v>182</v>
      </c>
      <c r="V230" s="10">
        <f>IF(A230&lt;&gt;"",SUM(J230:O230),"")</f>
        <v>194</v>
      </c>
      <c r="W230" s="10">
        <f>IF(A230&lt;&gt;"",SUM(P230:Q230),"")</f>
        <v>0</v>
      </c>
      <c r="X230" s="10">
        <f>IF(A230&lt;&gt;"",SUM(S230:T230),"")</f>
        <v>291</v>
      </c>
      <c r="Y230" s="12">
        <v>3</v>
      </c>
      <c r="Z230" s="12">
        <f>IF(A230&lt;&gt;"",SUM(U230:Y230),"")</f>
        <v>670</v>
      </c>
      <c r="AA230" s="27">
        <f>IF(A230&lt;&gt;"",(Z230+Normalize_To_Add)/(Point_Total_So_Far)*100,"")</f>
        <v>74.509673189131846</v>
      </c>
      <c r="AB230" s="10">
        <f>IF(A230&lt;&gt;"",RANK(AA230,All_Student_XC),"")</f>
        <v>278</v>
      </c>
      <c r="AC230" s="31" t="str">
        <f>IF(A230&lt;&gt;"",CHOOSE(10-MIN(9,TRUNC((AA230+0.5)/10)),"A","B","C","D","F","F","F","F","F","F"),"")</f>
        <v>C</v>
      </c>
      <c r="AD230" s="31" t="str">
        <f>IF(A230&lt;&gt;"",IF(OR(AA230+0.5&gt;=93,AA230+0.5&lt;60),"",IF(MOD(AA230+0.5,10)&gt;=7,"+",IF(MOD(AA230+0.5,10)&lt;3,"-",""))),"")</f>
        <v/>
      </c>
      <c r="AE230" s="31">
        <f>IF(A230&lt;&gt;"",SUM(W230:X230,$W$8:$X$8)/SUM($W$2:$X$2)*100,"")</f>
        <v>73.21934637826368</v>
      </c>
      <c r="AF230" s="31" t="str">
        <f>IF(A230&lt;&gt;"",CHOOSE(10-MIN(9,TRUNC((AE230+0.5)/10)),"A","B","C","D","F","F","F","F","F","F"),"")</f>
        <v>C</v>
      </c>
      <c r="AG230" s="31" t="str">
        <f>IF(A230&lt;&gt;"",IF(OR(AE230+0.5&gt;=93,AE230+0.5&lt;60),"",IF(MOD(AE230+0.5,10)&gt;=7,"+",IF(MOD(AE230+0.5,10)&lt;3,"-",""))),"")</f>
        <v/>
      </c>
      <c r="AH230" s="35">
        <f>IF(A230&lt;&gt;"",MIN(MAX(AA230,AE230),AA230+$AH$8,AE230+$AH$8),"")</f>
        <v>74.509673189131846</v>
      </c>
      <c r="AI230" s="31" t="str">
        <f>IF(A230&lt;&gt;"",CHOOSE(10-MIN(9,TRUNC((AH230+0.5)/10)),"A","B","C","D","F","F","F","F","F","F"),"")</f>
        <v>C</v>
      </c>
      <c r="AJ230" s="31" t="str">
        <f>IF(A230&lt;&gt;"",IF(OR(AH230+0.5&gt;=93,AH230+0.5&lt;60),"",IF(MOD(AH230+0.5,10)&gt;=7,"+",IF(MOD(AH230+0.5,10)&lt;3,"-",""))),"")</f>
        <v/>
      </c>
      <c r="AK230" s="31" t="b">
        <f>IF(A230&lt;&gt;"",OR(AI230&lt;&gt;AC230,AJ230&lt;&gt;AD230),"")</f>
        <v>0</v>
      </c>
      <c r="AL230" s="81">
        <f>IF(AND(A230&lt;&gt;"",U230&gt;0),SUM(U230,$AL$8)/$AL$2*100,"")</f>
        <v>91</v>
      </c>
      <c r="AM230" s="24">
        <f>IF(AND(A230&lt;&gt;"",V230&gt;0),SUM(V230,$AM$8)/$AM$2*100,"")</f>
        <v>64.666666666666657</v>
      </c>
      <c r="AN230" s="24" t="str">
        <f>IF(AND(A230&lt;&gt;"",P230&lt;&gt;0),SUM(P230,$AN$8)/$AN$2*100,"")</f>
        <v/>
      </c>
      <c r="AO230" s="24" t="str">
        <f>IF(AND(A230&lt;&gt;"",Q230&lt;&gt;0),SUM(Q230,$AO$8)/$AO$2*100,"")</f>
        <v/>
      </c>
      <c r="AP230" s="24">
        <f>IF(AND(A230&lt;&gt;"",R230&lt;&gt;0),SUM(R230,$AP$8)/$AP$2*100,"")</f>
        <v>82.502659574468083</v>
      </c>
      <c r="AQ230" s="24" t="str">
        <f>IF(AND(A230&lt;&gt;"",W230&gt;0),SUM(W230,$AQ$8)/$AQ$2*100,"")</f>
        <v/>
      </c>
      <c r="AR230" s="24">
        <f>IF(AND(A230&lt;&gt;"",T230&gt;0),SUM(T230,$AR$8)/$AR$2*100,"")</f>
        <v>67.03047091412742</v>
      </c>
      <c r="AS230" s="24">
        <f>IF(AND(A230&lt;&gt;"",X230&lt;&gt;0),SUM(X230,$AS$8)/$AS$2*100,"")</f>
        <v>73.21934637826368</v>
      </c>
      <c r="AT230" s="86">
        <f>IF(A230&lt;&gt;"",SUM(W230:X230,$AT$8)/$AT$2*100,"")</f>
        <v>73.21934637826368</v>
      </c>
      <c r="AU230" s="24">
        <f>AA230</f>
        <v>74.509673189131846</v>
      </c>
      <c r="AV230" s="24"/>
      <c r="AW230" s="27">
        <f>IF(A230&lt;&gt;"",AE230-AA230,"")</f>
        <v>-1.2903268108681658</v>
      </c>
      <c r="AY230" s="27">
        <f>AR230-AP230</f>
        <v>-15.472188660340663</v>
      </c>
      <c r="AZ230" s="27">
        <f>ABS(AY230)</f>
        <v>15.472188660340663</v>
      </c>
    </row>
    <row r="231" spans="1:63" s="27" customFormat="1" ht="12.75" customHeight="1" x14ac:dyDescent="0.2">
      <c r="A231" s="10">
        <v>622492</v>
      </c>
      <c r="B231" s="2">
        <v>24</v>
      </c>
      <c r="C231" s="10">
        <v>24</v>
      </c>
      <c r="D231" s="10">
        <v>25</v>
      </c>
      <c r="E231" s="10">
        <v>23</v>
      </c>
      <c r="F231" s="10">
        <v>23</v>
      </c>
      <c r="G231" s="10">
        <v>19</v>
      </c>
      <c r="H231" s="10">
        <v>25</v>
      </c>
      <c r="I231" s="10">
        <v>25</v>
      </c>
      <c r="J231" s="2"/>
      <c r="K231" s="10">
        <v>47</v>
      </c>
      <c r="L231" s="10">
        <v>60</v>
      </c>
      <c r="M231" s="10">
        <v>61</v>
      </c>
      <c r="N231" s="51">
        <v>56</v>
      </c>
      <c r="O231" s="11">
        <v>62</v>
      </c>
      <c r="P231" s="10"/>
      <c r="Q231" s="40"/>
      <c r="R231" s="2">
        <v>130</v>
      </c>
      <c r="S231" s="10">
        <f>IF(T231="",R231,MAX((R231+$R$8)/$R$2,(T231+$T$8)/$T$2)*$R$2-$R$8)</f>
        <v>144.38895601265199</v>
      </c>
      <c r="T231" s="12">
        <v>214</v>
      </c>
      <c r="U231" s="68">
        <f>IF(A231&lt;&gt;"",SUM(B231:I231),"")</f>
        <v>188</v>
      </c>
      <c r="V231" s="10">
        <f>IF(A231&lt;&gt;"",SUM(J231:O231),"")</f>
        <v>286</v>
      </c>
      <c r="W231" s="10">
        <f>IF(A231&lt;&gt;"",SUM(P231:Q231),"")</f>
        <v>0</v>
      </c>
      <c r="X231" s="10">
        <f>IF(A231&lt;&gt;"",SUM(S231:T231),"")</f>
        <v>358.38895601265199</v>
      </c>
      <c r="Y231" s="12">
        <v>3</v>
      </c>
      <c r="Z231" s="12">
        <f>IF(A231&lt;&gt;"",SUM(U231:Y231),"")</f>
        <v>835.38895601265199</v>
      </c>
      <c r="AA231" s="27">
        <f>IF(A231&lt;&gt;"",(Z231+Normalize_To_Add)/(Point_Total_So_Far)*100,"")</f>
        <v>91.048568790397042</v>
      </c>
      <c r="AB231" s="10">
        <f>IF(A231&lt;&gt;"",RANK(AA231,All_Student_XC),"")</f>
        <v>66</v>
      </c>
      <c r="AC231" s="31" t="str">
        <f>IF(A231&lt;&gt;"",CHOOSE(10-MIN(9,TRUNC((AA231+0.5)/10)),"A","B","C","D","F","F","F","F","F","F"),"")</f>
        <v>A</v>
      </c>
      <c r="AD231" s="31" t="str">
        <f>IF(A231&lt;&gt;"",IF(OR(AA231+0.5&gt;=93,AA231+0.5&lt;60),"",IF(MOD(AA231+0.5,10)&gt;=7,"+",IF(MOD(AA231+0.5,10)&lt;3,"-",""))),"")</f>
        <v>-</v>
      </c>
      <c r="AE231" s="31">
        <f>IF(A231&lt;&gt;"",SUM(W231:X231,$W$8:$X$8)/SUM($W$2:$X$2)*100,"")</f>
        <v>86.697137580794077</v>
      </c>
      <c r="AF231" s="31" t="str">
        <f>IF(A231&lt;&gt;"",CHOOSE(10-MIN(9,TRUNC((AE231+0.5)/10)),"A","B","C","D","F","F","F","F","F","F"),"")</f>
        <v>B</v>
      </c>
      <c r="AG231" s="31" t="str">
        <f>IF(A231&lt;&gt;"",IF(OR(AE231+0.5&gt;=93,AE231+0.5&lt;60),"",IF(MOD(AE231+0.5,10)&gt;=7,"+",IF(MOD(AE231+0.5,10)&lt;3,"-",""))),"")</f>
        <v>+</v>
      </c>
      <c r="AH231" s="35">
        <f>IF(A231&lt;&gt;"",MIN(MAX(AA231,AE231),AA231+$AH$8,AE231+$AH$8),"")</f>
        <v>91.048568790397042</v>
      </c>
      <c r="AI231" s="31" t="str">
        <f>IF(A231&lt;&gt;"",CHOOSE(10-MIN(9,TRUNC((AH231+0.5)/10)),"A","B","C","D","F","F","F","F","F","F"),"")</f>
        <v>A</v>
      </c>
      <c r="AJ231" s="31" t="str">
        <f>IF(A231&lt;&gt;"",IF(OR(AH231+0.5&gt;=93,AH231+0.5&lt;60),"",IF(MOD(AH231+0.5,10)&gt;=7,"+",IF(MOD(AH231+0.5,10)&lt;3,"-",""))),"")</f>
        <v>-</v>
      </c>
      <c r="AK231" s="31" t="b">
        <f>IF(A231&lt;&gt;"",OR(AI231&lt;&gt;AC231,AJ231&lt;&gt;AD231),"")</f>
        <v>0</v>
      </c>
      <c r="AL231" s="81">
        <f>IF(AND(A231&lt;&gt;"",U231&gt;0),SUM(U231,$AL$8)/$AL$2*100,"")</f>
        <v>94</v>
      </c>
      <c r="AM231" s="24">
        <f>IF(AND(A231&lt;&gt;"",V231&gt;0),SUM(V231,$AM$8)/$AM$2*100,"")</f>
        <v>95.333333333333343</v>
      </c>
      <c r="AN231" s="24" t="str">
        <f>IF(AND(A231&lt;&gt;"",P231&lt;&gt;0),SUM(P231,$AN$8)/$AN$2*100,"")</f>
        <v/>
      </c>
      <c r="AO231" s="24" t="str">
        <f>IF(AND(A231&lt;&gt;"",Q231&lt;&gt;0),SUM(Q231,$AO$8)/$AO$2*100,"")</f>
        <v/>
      </c>
      <c r="AP231" s="24">
        <f>IF(AND(A231&lt;&gt;"",R231&lt;&gt;0),SUM(R231,$AP$8)/$AP$2*100,"")</f>
        <v>79.502659574468083</v>
      </c>
      <c r="AQ231" s="24" t="str">
        <f>IF(AND(A231&lt;&gt;"",W231&gt;0),SUM(W231,$AQ$8)/$AQ$2*100,"")</f>
        <v/>
      </c>
      <c r="AR231" s="24">
        <f>IF(AND(A231&lt;&gt;"",T231&gt;0),SUM(T231,$AR$8)/$AR$2*100,"")</f>
        <v>86.697137580794077</v>
      </c>
      <c r="AS231" s="24">
        <f>IF(AND(A231&lt;&gt;"",X231&lt;&gt;0),SUM(X231,$AS$8)/$AS$2*100,"")</f>
        <v>86.697137580794077</v>
      </c>
      <c r="AT231" s="86">
        <f>IF(A231&lt;&gt;"",SUM(W231:X231,$AT$8)/$AT$2*100,"")</f>
        <v>86.697137580794077</v>
      </c>
      <c r="AU231" s="24">
        <f>AA231</f>
        <v>91.048568790397042</v>
      </c>
      <c r="AV231" s="24"/>
      <c r="AW231" s="27">
        <f>IF(A231&lt;&gt;"",AE231-AA231,"")</f>
        <v>-4.3514312096029641</v>
      </c>
      <c r="AY231" s="27">
        <f>AR231-AP231</f>
        <v>7.1944780063259941</v>
      </c>
      <c r="AZ231" s="27">
        <f>ABS(AY231)</f>
        <v>7.1944780063259941</v>
      </c>
    </row>
    <row r="232" spans="1:63" s="27" customFormat="1" ht="12.75" customHeight="1" x14ac:dyDescent="0.2">
      <c r="A232" s="50">
        <v>628904</v>
      </c>
      <c r="B232" s="2">
        <v>25</v>
      </c>
      <c r="C232" s="10">
        <v>22</v>
      </c>
      <c r="D232" s="10">
        <v>21</v>
      </c>
      <c r="E232" s="10">
        <v>18</v>
      </c>
      <c r="F232" s="10">
        <v>22</v>
      </c>
      <c r="G232" s="10">
        <v>25</v>
      </c>
      <c r="H232" s="10">
        <v>14</v>
      </c>
      <c r="I232" s="10">
        <v>25</v>
      </c>
      <c r="J232" s="2"/>
      <c r="K232" s="10">
        <v>52</v>
      </c>
      <c r="L232" s="10">
        <v>50</v>
      </c>
      <c r="M232" s="10">
        <v>55</v>
      </c>
      <c r="N232" s="10">
        <v>56</v>
      </c>
      <c r="O232" s="11">
        <v>60</v>
      </c>
      <c r="P232" s="40"/>
      <c r="Q232" s="40"/>
      <c r="R232" s="2">
        <v>147</v>
      </c>
      <c r="S232" s="10">
        <f>IF(T232="",R232,MAX((R232+$R$8)/$R$2,(T232+$T$8)/$T$2)*$R$2-$R$8)</f>
        <v>147</v>
      </c>
      <c r="T232" s="12">
        <v>162</v>
      </c>
      <c r="U232" s="1">
        <f>IF(A232&lt;&gt;"",SUM(B232:I232),"")</f>
        <v>172</v>
      </c>
      <c r="V232" s="10">
        <f>IF(A232&lt;&gt;"",SUM(J232:O232),"")</f>
        <v>273</v>
      </c>
      <c r="W232" s="10">
        <f>IF(A232&lt;&gt;"",SUM(P232:Q232),"")</f>
        <v>0</v>
      </c>
      <c r="X232" s="10">
        <f>IF(A232&lt;&gt;"",SUM(S232:T232),"")</f>
        <v>309</v>
      </c>
      <c r="Y232" s="12" t="s">
        <v>69</v>
      </c>
      <c r="Z232" s="12">
        <f>IF(A232&lt;&gt;"",SUM(U232:Y232),"")</f>
        <v>754</v>
      </c>
      <c r="AA232" s="27">
        <f>IF(A232&lt;&gt;"",(Z232+Normalize_To_Add)/(Point_Total_So_Far)*100,"")</f>
        <v>82.909673189131837</v>
      </c>
      <c r="AB232" s="10">
        <f>IF(A232&lt;&gt;"",RANK(AA232,All_Student_XC),"")</f>
        <v>176</v>
      </c>
      <c r="AC232" s="31" t="str">
        <f>IF(A232&lt;&gt;"",CHOOSE(10-MIN(9,TRUNC((AA232+0.5)/10)),"A","B","C","D","F","F","F","F","F","F"),"")</f>
        <v>B</v>
      </c>
      <c r="AD232" s="31" t="str">
        <f>IF(A232&lt;&gt;"",IF(OR(AA232+0.5&gt;=93,AA232+0.5&lt;60),"",IF(MOD(AA232+0.5,10)&gt;=7,"+",IF(MOD(AA232+0.5,10)&lt;3,"-",""))),"")</f>
        <v/>
      </c>
      <c r="AE232" s="31">
        <f>IF(A232&lt;&gt;"",SUM(W232:X232,$W$8:$X$8)/SUM($W$2:$X$2)*100,"")</f>
        <v>76.819346378263688</v>
      </c>
      <c r="AF232" s="31" t="str">
        <f>IF(A232&lt;&gt;"",CHOOSE(10-MIN(9,TRUNC((AE232+0.5)/10)),"A","B","C","D","F","F","F","F","F","F"),"")</f>
        <v>C</v>
      </c>
      <c r="AG232" s="31" t="str">
        <f>IF(A232&lt;&gt;"",IF(OR(AE232+0.5&gt;=93,AE232+0.5&lt;60),"",IF(MOD(AE232+0.5,10)&gt;=7,"+",IF(MOD(AE232+0.5,10)&lt;3,"-",""))),"")</f>
        <v>+</v>
      </c>
      <c r="AH232" s="35">
        <f>IF(A232&lt;&gt;"",MIN(MAX(AA232,AE232),AA232+$AH$8,AE232+$AH$8),"")</f>
        <v>82.909673189131837</v>
      </c>
      <c r="AI232" s="31" t="str">
        <f>IF(A232&lt;&gt;"",CHOOSE(10-MIN(9,TRUNC((AH232+0.5)/10)),"A","B","C","D","F","F","F","F","F","F"),"")</f>
        <v>B</v>
      </c>
      <c r="AJ232" s="31" t="str">
        <f>IF(A232&lt;&gt;"",IF(OR(AH232+0.5&gt;=93,AH232+0.5&lt;60),"",IF(MOD(AH232+0.5,10)&gt;=7,"+",IF(MOD(AH232+0.5,10)&lt;3,"-",""))),"")</f>
        <v/>
      </c>
      <c r="AK232" s="31" t="b">
        <f>IF(A232&lt;&gt;"",OR(AI232&lt;&gt;AC232,AJ232&lt;&gt;AD232),"")</f>
        <v>0</v>
      </c>
      <c r="AL232" s="81">
        <f>IF(AND(A232&lt;&gt;"",U232&gt;0),SUM(U232,$AL$8)/$AL$2*100,"")</f>
        <v>86</v>
      </c>
      <c r="AM232" s="24">
        <f>IF(AND(A232&lt;&gt;"",V232&gt;0),SUM(V232,$AM$8)/$AM$2*100,"")</f>
        <v>91</v>
      </c>
      <c r="AN232" s="24" t="str">
        <f>IF(AND(A232&lt;&gt;"",P232&lt;&gt;0),SUM(P232,$AN$8)/$AN$2*100,"")</f>
        <v/>
      </c>
      <c r="AO232" s="24" t="str">
        <f>IF(AND(A232&lt;&gt;"",Q232&lt;&gt;0),SUM(Q232,$AO$8)/$AO$2*100,"")</f>
        <v/>
      </c>
      <c r="AP232" s="24">
        <f>IF(AND(A232&lt;&gt;"",R232&lt;&gt;0),SUM(R232,$AP$8)/$AP$2*100,"")</f>
        <v>88.002659574468083</v>
      </c>
      <c r="AQ232" s="24" t="str">
        <f>IF(AND(A232&lt;&gt;"",W232&gt;0),SUM(W232,$AQ$8)/$AQ$2*100,"")</f>
        <v/>
      </c>
      <c r="AR232" s="24">
        <f>IF(AND(A232&lt;&gt;"",T232&gt;0),SUM(T232,$AR$8)/$AR$2*100,"")</f>
        <v>69.363804247460763</v>
      </c>
      <c r="AS232" s="24">
        <f>IF(AND(A232&lt;&gt;"",X232&lt;&gt;0),SUM(X232,$AS$8)/$AS$2*100,"")</f>
        <v>76.819346378263688</v>
      </c>
      <c r="AT232" s="86">
        <f>IF(A232&lt;&gt;"",SUM(W232:X232,$AT$8)/$AT$2*100,"")</f>
        <v>76.819346378263688</v>
      </c>
      <c r="AU232" s="24">
        <f>AA232</f>
        <v>82.909673189131837</v>
      </c>
      <c r="AV232" s="24"/>
      <c r="AW232" s="27">
        <f>IF(A232&lt;&gt;"",AE232-AA232,"")</f>
        <v>-6.0903268108681488</v>
      </c>
      <c r="AY232" s="27">
        <f>AR232-AP232</f>
        <v>-18.63885532700732</v>
      </c>
      <c r="AZ232" s="27">
        <f>ABS(AY232)</f>
        <v>18.63885532700732</v>
      </c>
    </row>
    <row r="233" spans="1:63" s="27" customFormat="1" ht="12.75" customHeight="1" x14ac:dyDescent="0.2">
      <c r="A233" s="50">
        <v>629228</v>
      </c>
      <c r="B233" s="2">
        <v>13</v>
      </c>
      <c r="C233" s="50">
        <v>21</v>
      </c>
      <c r="D233" s="10">
        <v>21</v>
      </c>
      <c r="E233" s="10">
        <v>19</v>
      </c>
      <c r="F233" s="10">
        <v>15</v>
      </c>
      <c r="G233" s="10">
        <v>8</v>
      </c>
      <c r="H233" s="10">
        <v>12</v>
      </c>
      <c r="I233" s="10">
        <v>25</v>
      </c>
      <c r="J233" s="2"/>
      <c r="K233" s="10">
        <v>41</v>
      </c>
      <c r="L233" s="10">
        <v>17</v>
      </c>
      <c r="M233" s="10">
        <v>12</v>
      </c>
      <c r="N233" s="51">
        <v>13</v>
      </c>
      <c r="O233" s="11">
        <v>45</v>
      </c>
      <c r="P233" s="10"/>
      <c r="Q233" s="40"/>
      <c r="R233" s="2">
        <v>122</v>
      </c>
      <c r="S233" s="10">
        <f>IF(T233="",R233,MAX((R233+$R$8)/$R$2,(T233+$T$8)/$T$2)*$R$2-$R$8)</f>
        <v>132.38895601265202</v>
      </c>
      <c r="T233" s="62">
        <v>196</v>
      </c>
      <c r="U233" s="2">
        <f>IF(A233&lt;&gt;"",SUM(B233:I233),"")</f>
        <v>134</v>
      </c>
      <c r="V233" s="10">
        <f>IF(A233&lt;&gt;"",SUM(J233:O233),"")</f>
        <v>128</v>
      </c>
      <c r="W233" s="10">
        <f>IF(A233&lt;&gt;"",SUM(P233:Q233),"")</f>
        <v>0</v>
      </c>
      <c r="X233" s="10">
        <f>IF(A233&lt;&gt;"",SUM(S233:T233),"")</f>
        <v>328.38895601265199</v>
      </c>
      <c r="Y233" s="12">
        <v>3</v>
      </c>
      <c r="Z233" s="12">
        <f>IF(A233&lt;&gt;"",SUM(U233:Y233),"")</f>
        <v>593.38895601265199</v>
      </c>
      <c r="AA233" s="27">
        <f>IF(A233&lt;&gt;"",(Z233+Normalize_To_Add)/(Point_Total_So_Far)*100,"")</f>
        <v>66.848568790397039</v>
      </c>
      <c r="AB233" s="10">
        <f>IF(A233&lt;&gt;"",RANK(AA233,All_Student_XC),"")</f>
        <v>331</v>
      </c>
      <c r="AC233" s="31" t="str">
        <f>IF(A233&lt;&gt;"",CHOOSE(10-MIN(9,TRUNC((AA233+0.5)/10)),"A","B","C","D","F","F","F","F","F","F"),"")</f>
        <v>D</v>
      </c>
      <c r="AD233" s="31" t="str">
        <f>IF(A233&lt;&gt;"",IF(OR(AA233+0.5&gt;=93,AA233+0.5&lt;60),"",IF(MOD(AA233+0.5,10)&gt;=7,"+",IF(MOD(AA233+0.5,10)&lt;3,"-",""))),"")</f>
        <v>+</v>
      </c>
      <c r="AE233" s="31">
        <f>IF(A233&lt;&gt;"",SUM(W233:X233,$W$8:$X$8)/SUM($W$2:$X$2)*100,"")</f>
        <v>80.697137580794092</v>
      </c>
      <c r="AF233" s="43" t="str">
        <f>IF(A233&lt;&gt;"",CHOOSE(10-MIN(9,TRUNC((AE233+0.5)/10)),"A","B","C","D","F","F","F","F","F","F"),"")</f>
        <v>B</v>
      </c>
      <c r="AG233" s="43" t="str">
        <f>IF(A233&lt;&gt;"",IF(OR(AE233+0.5&gt;=93,AE233+0.5&lt;60),"",IF(MOD(AE233+0.5,10)&gt;=7,"+",IF(MOD(AE233+0.5,10)&lt;3,"-",""))),"")</f>
        <v>-</v>
      </c>
      <c r="AH233" s="35">
        <f>IF(A233&lt;&gt;"",MIN(MAX(AA233,AE233),AA233+$AH$8,AE233+$AH$8),"")</f>
        <v>80.697137580794092</v>
      </c>
      <c r="AI233" s="31" t="str">
        <f>IF(A233&lt;&gt;"",CHOOSE(10-MIN(9,TRUNC((AH233+0.5)/10)),"A","B","C","D","F","F","F","F","F","F"),"")</f>
        <v>B</v>
      </c>
      <c r="AJ233" s="31" t="str">
        <f>IF(A233&lt;&gt;"",IF(OR(AH233+0.5&gt;=93,AH233+0.5&lt;60),"",IF(MOD(AH233+0.5,10)&gt;=7,"+",IF(MOD(AH233+0.5,10)&lt;3,"-",""))),"")</f>
        <v>-</v>
      </c>
      <c r="AK233" s="31" t="b">
        <f>IF(A233&lt;&gt;"",OR(AI233&lt;&gt;AC233,AJ233&lt;&gt;AD233),"")</f>
        <v>1</v>
      </c>
      <c r="AL233" s="81">
        <f>IF(AND(A233&lt;&gt;"",U233&gt;0),SUM(U233,$AL$8)/$AL$2*100,"")</f>
        <v>67</v>
      </c>
      <c r="AM233" s="24">
        <f>IF(AND(A233&lt;&gt;"",V233&gt;0),SUM(V233,$AM$8)/$AM$2*100,"")</f>
        <v>42.666666666666671</v>
      </c>
      <c r="AN233" s="24" t="str">
        <f>IF(AND(A233&lt;&gt;"",P233&lt;&gt;0),SUM(P233,$AN$8)/$AN$2*100,"")</f>
        <v/>
      </c>
      <c r="AO233" s="24" t="str">
        <f>IF(AND(A233&lt;&gt;"",Q233&lt;&gt;0),SUM(Q233,$AO$8)/$AO$2*100,"")</f>
        <v/>
      </c>
      <c r="AP233" s="24">
        <f>IF(AND(A233&lt;&gt;"",R233&lt;&gt;0),SUM(R233,$AP$8)/$AP$2*100,"")</f>
        <v>75.502659574468083</v>
      </c>
      <c r="AQ233" s="24" t="str">
        <f>IF(AND(A233&lt;&gt;"",W233&gt;0),SUM(W233,$AQ$8)/$AQ$2*100,"")</f>
        <v/>
      </c>
      <c r="AR233" s="24">
        <f>IF(AND(A233&lt;&gt;"",T233&gt;0),SUM(T233,$AR$8)/$AR$2*100,"")</f>
        <v>80.697137580794092</v>
      </c>
      <c r="AS233" s="24">
        <f>IF(AND(A233&lt;&gt;"",X233&lt;&gt;0),SUM(X233,$AS$8)/$AS$2*100,"")</f>
        <v>80.697137580794092</v>
      </c>
      <c r="AT233" s="86">
        <f>IF(A233&lt;&gt;"",SUM(W233:X233,$AT$8)/$AT$2*100,"")</f>
        <v>80.697137580794092</v>
      </c>
      <c r="AU233" s="24">
        <f>AA233</f>
        <v>66.848568790397039</v>
      </c>
      <c r="AV233" s="24"/>
      <c r="AW233" s="27">
        <f>IF(A233&lt;&gt;"",AE233-AA233,"")</f>
        <v>13.848568790397053</v>
      </c>
      <c r="AY233" s="27">
        <f>AR233-AP233</f>
        <v>5.1944780063260083</v>
      </c>
      <c r="AZ233" s="27">
        <f>ABS(AY233)</f>
        <v>5.1944780063260083</v>
      </c>
    </row>
    <row r="234" spans="1:63" s="27" customFormat="1" ht="12.75" customHeight="1" x14ac:dyDescent="0.2">
      <c r="A234" s="10">
        <v>630322</v>
      </c>
      <c r="B234" s="2">
        <v>23</v>
      </c>
      <c r="C234" s="10">
        <v>18</v>
      </c>
      <c r="D234" s="10">
        <v>16</v>
      </c>
      <c r="E234" s="10">
        <v>25</v>
      </c>
      <c r="F234" s="10">
        <v>21</v>
      </c>
      <c r="G234" s="10">
        <v>25</v>
      </c>
      <c r="H234" s="10">
        <v>22</v>
      </c>
      <c r="I234" s="10">
        <v>25</v>
      </c>
      <c r="J234" s="2"/>
      <c r="K234" s="10">
        <v>53</v>
      </c>
      <c r="L234" s="10">
        <v>40</v>
      </c>
      <c r="M234" s="10">
        <v>60</v>
      </c>
      <c r="N234" s="51">
        <v>49</v>
      </c>
      <c r="O234" s="11">
        <v>46</v>
      </c>
      <c r="P234" s="10"/>
      <c r="Q234" s="40"/>
      <c r="R234" s="2">
        <v>136</v>
      </c>
      <c r="S234" s="10">
        <f>IF(T234="",R234,MAX((R234+$R$8)/$R$2,(T234+$T$8)/$T$2)*$R$2-$R$8)</f>
        <v>136</v>
      </c>
      <c r="T234" s="12">
        <v>164</v>
      </c>
      <c r="U234" s="1">
        <f>IF(A234&lt;&gt;"",SUM(B234:I234),"")</f>
        <v>175</v>
      </c>
      <c r="V234" s="10">
        <f>IF(A234&lt;&gt;"",SUM(J234:O234),"")</f>
        <v>248</v>
      </c>
      <c r="W234" s="10">
        <f>IF(A234&lt;&gt;"",SUM(P234:Q234),"")</f>
        <v>0</v>
      </c>
      <c r="X234" s="10">
        <f>IF(A234&lt;&gt;"",SUM(S234:T234),"")</f>
        <v>300</v>
      </c>
      <c r="Y234" s="12">
        <v>3</v>
      </c>
      <c r="Z234" s="12">
        <f>IF(A234&lt;&gt;"",SUM(U234:Y234),"")</f>
        <v>726</v>
      </c>
      <c r="AA234" s="27">
        <f>IF(A234&lt;&gt;"",(Z234+Normalize_To_Add)/(Point_Total_So_Far)*100,"")</f>
        <v>80.109673189131854</v>
      </c>
      <c r="AB234" s="10">
        <f>IF(A234&lt;&gt;"",RANK(AA234,All_Student_XC),"")</f>
        <v>207</v>
      </c>
      <c r="AC234" s="31" t="str">
        <f>IF(A234&lt;&gt;"",CHOOSE(10-MIN(9,TRUNC((AA234+0.5)/10)),"A","B","C","D","F","F","F","F","F","F"),"")</f>
        <v>B</v>
      </c>
      <c r="AD234" s="31" t="str">
        <f>IF(A234&lt;&gt;"",IF(OR(AA234+0.5&gt;=93,AA234+0.5&lt;60),"",IF(MOD(AA234+0.5,10)&gt;=7,"+",IF(MOD(AA234+0.5,10)&lt;3,"-",""))),"")</f>
        <v>-</v>
      </c>
      <c r="AE234" s="31">
        <f>IF(A234&lt;&gt;"",SUM(W234:X234,$W$8:$X$8)/SUM($W$2:$X$2)*100,"")</f>
        <v>75.019346378263691</v>
      </c>
      <c r="AF234" s="43" t="str">
        <f>IF(A234&lt;&gt;"",CHOOSE(10-MIN(9,TRUNC((AE234+0.5)/10)),"A","B","C","D","F","F","F","F","F","F"),"")</f>
        <v>C</v>
      </c>
      <c r="AG234" s="43" t="str">
        <f>IF(A234&lt;&gt;"",IF(OR(AE234+0.5&gt;=93,AE234+0.5&lt;60),"",IF(MOD(AE234+0.5,10)&gt;=7,"+",IF(MOD(AE234+0.5,10)&lt;3,"-",""))),"")</f>
        <v/>
      </c>
      <c r="AH234" s="35">
        <f>IF(A234&lt;&gt;"",MIN(MAX(AA234,AE234),AA234+$AH$8,AE234+$AH$8),"")</f>
        <v>80.109673189131854</v>
      </c>
      <c r="AI234" s="31" t="str">
        <f>IF(A234&lt;&gt;"",CHOOSE(10-MIN(9,TRUNC((AH234+0.5)/10)),"A","B","C","D","F","F","F","F","F","F"),"")</f>
        <v>B</v>
      </c>
      <c r="AJ234" s="31" t="str">
        <f>IF(A234&lt;&gt;"",IF(OR(AH234+0.5&gt;=93,AH234+0.5&lt;60),"",IF(MOD(AH234+0.5,10)&gt;=7,"+",IF(MOD(AH234+0.5,10)&lt;3,"-",""))),"")</f>
        <v>-</v>
      </c>
      <c r="AK234" s="31" t="b">
        <f>IF(A234&lt;&gt;"",OR(AI234&lt;&gt;AC234,AJ234&lt;&gt;AD234),"")</f>
        <v>0</v>
      </c>
      <c r="AL234" s="81">
        <f>IF(AND(A234&lt;&gt;"",U234&gt;0),SUM(U234,$AL$8)/$AL$2*100,"")</f>
        <v>87.5</v>
      </c>
      <c r="AM234" s="24">
        <f>IF(AND(A234&lt;&gt;"",V234&gt;0),SUM(V234,$AM$8)/$AM$2*100,"")</f>
        <v>82.666666666666671</v>
      </c>
      <c r="AN234" s="24" t="str">
        <f>IF(AND(A234&lt;&gt;"",P234&lt;&gt;0),SUM(P234,$AN$8)/$AN$2*100,"")</f>
        <v/>
      </c>
      <c r="AO234" s="24" t="str">
        <f>IF(AND(A234&lt;&gt;"",Q234&lt;&gt;0),SUM(Q234,$AO$8)/$AO$2*100,"")</f>
        <v/>
      </c>
      <c r="AP234" s="24">
        <f>IF(AND(A234&lt;&gt;"",R234&lt;&gt;0),SUM(R234,$AP$8)/$AP$2*100,"")</f>
        <v>82.502659574468083</v>
      </c>
      <c r="AQ234" s="24" t="str">
        <f>IF(AND(A234&lt;&gt;"",W234&gt;0),SUM(W234,$AQ$8)/$AQ$2*100,"")</f>
        <v/>
      </c>
      <c r="AR234" s="24">
        <f>IF(AND(A234&lt;&gt;"",T234&gt;0),SUM(T234,$AR$8)/$AR$2*100,"")</f>
        <v>70.03047091412742</v>
      </c>
      <c r="AS234" s="24">
        <f>IF(AND(A234&lt;&gt;"",X234&lt;&gt;0),SUM(X234,$AS$8)/$AS$2*100,"")</f>
        <v>75.019346378263691</v>
      </c>
      <c r="AT234" s="86">
        <f>IF(A234&lt;&gt;"",SUM(W234:X234,$AT$8)/$AT$2*100,"")</f>
        <v>75.019346378263691</v>
      </c>
      <c r="AU234" s="24">
        <f>AA234</f>
        <v>80.109673189131854</v>
      </c>
      <c r="AV234" s="24"/>
      <c r="AW234" s="27">
        <f>IF(A234&lt;&gt;"",AE234-AA234,"")</f>
        <v>-5.090326810868163</v>
      </c>
      <c r="AY234" s="27">
        <f>AR234-AP234</f>
        <v>-12.472188660340663</v>
      </c>
      <c r="AZ234" s="27">
        <f>ABS(AY234)</f>
        <v>12.472188660340663</v>
      </c>
      <c r="BE234" s="51"/>
      <c r="BF234" s="51"/>
      <c r="BG234" s="51"/>
      <c r="BH234" s="51"/>
      <c r="BI234" s="51"/>
      <c r="BJ234" s="51"/>
      <c r="BK234" s="51"/>
    </row>
    <row r="235" spans="1:63" s="27" customFormat="1" ht="12.75" customHeight="1" x14ac:dyDescent="0.2">
      <c r="A235" s="10">
        <v>634422</v>
      </c>
      <c r="B235" s="2">
        <v>25</v>
      </c>
      <c r="C235" s="10">
        <v>24</v>
      </c>
      <c r="D235" s="10">
        <v>21</v>
      </c>
      <c r="E235" s="10">
        <v>9</v>
      </c>
      <c r="F235" s="10">
        <v>17</v>
      </c>
      <c r="G235" s="10">
        <v>25</v>
      </c>
      <c r="H235" s="10">
        <v>14</v>
      </c>
      <c r="I235" s="10">
        <v>25</v>
      </c>
      <c r="J235" s="2"/>
      <c r="K235" s="10">
        <v>52</v>
      </c>
      <c r="L235" s="10">
        <v>36</v>
      </c>
      <c r="M235" s="10">
        <v>36</v>
      </c>
      <c r="N235" s="51">
        <v>33</v>
      </c>
      <c r="O235" s="11">
        <v>47</v>
      </c>
      <c r="P235" s="10"/>
      <c r="Q235" s="40"/>
      <c r="R235" s="2">
        <v>109</v>
      </c>
      <c r="S235" s="10">
        <f>IF(T235="",R235,MAX((R235+$R$8)/$R$2,(T235+$T$8)/$T$2)*$R$2-$R$8)</f>
        <v>109</v>
      </c>
      <c r="T235" s="12">
        <v>154</v>
      </c>
      <c r="U235" s="68">
        <f>IF(A235&lt;&gt;"",SUM(B235:I235),"")</f>
        <v>160</v>
      </c>
      <c r="V235" s="10">
        <f>IF(A235&lt;&gt;"",SUM(J235:O235),"")</f>
        <v>204</v>
      </c>
      <c r="W235" s="10">
        <f>IF(A235&lt;&gt;"",SUM(P235:Q235),"")</f>
        <v>0</v>
      </c>
      <c r="X235" s="10">
        <f>IF(A235&lt;&gt;"",SUM(S235:T235),"")</f>
        <v>263</v>
      </c>
      <c r="Y235" s="12" t="s">
        <v>69</v>
      </c>
      <c r="Z235" s="12">
        <f>IF(A235&lt;&gt;"",SUM(U235:Y235),"")</f>
        <v>627</v>
      </c>
      <c r="AA235" s="27">
        <f>IF(A235&lt;&gt;"",(Z235+Normalize_To_Add)/(Point_Total_So_Far)*100,"")</f>
        <v>70.209673189131834</v>
      </c>
      <c r="AB235" s="10">
        <f>IF(A235&lt;&gt;"",RANK(AA235,All_Student_XC),"")</f>
        <v>310</v>
      </c>
      <c r="AC235" s="31" t="str">
        <f>IF(A235&lt;&gt;"",CHOOSE(10-MIN(9,TRUNC((AA235+0.5)/10)),"A","B","C","D","F","F","F","F","F","F"),"")</f>
        <v>C</v>
      </c>
      <c r="AD235" s="31" t="str">
        <f>IF(A235&lt;&gt;"",IF(OR(AA235+0.5&gt;=93,AA235+0.5&lt;60),"",IF(MOD(AA235+0.5,10)&gt;=7,"+",IF(MOD(AA235+0.5,10)&lt;3,"-",""))),"")</f>
        <v>-</v>
      </c>
      <c r="AE235" s="31">
        <f>IF(A235&lt;&gt;"",SUM(W235:X235,$W$8:$X$8)/SUM($W$2:$X$2)*100,"")</f>
        <v>67.619346378263685</v>
      </c>
      <c r="AF235" s="31" t="str">
        <f>IF(A235&lt;&gt;"",CHOOSE(10-MIN(9,TRUNC((AE235+0.5)/10)),"A","B","C","D","F","F","F","F","F","F"),"")</f>
        <v>D</v>
      </c>
      <c r="AG235" s="31" t="str">
        <f>IF(A235&lt;&gt;"",IF(OR(AE235+0.5&gt;=93,AE235+0.5&lt;60),"",IF(MOD(AE235+0.5,10)&gt;=7,"+",IF(MOD(AE235+0.5,10)&lt;3,"-",""))),"")</f>
        <v>+</v>
      </c>
      <c r="AH235" s="35">
        <f>IF(A235&lt;&gt;"",MIN(MAX(AA235,AE235),AA235+$AH$8,AE235+$AH$8),"")</f>
        <v>70.209673189131834</v>
      </c>
      <c r="AI235" s="31" t="str">
        <f>IF(A235&lt;&gt;"",CHOOSE(10-MIN(9,TRUNC((AH235+0.5)/10)),"A","B","C","D","F","F","F","F","F","F"),"")</f>
        <v>C</v>
      </c>
      <c r="AJ235" s="31" t="str">
        <f>IF(A235&lt;&gt;"",IF(OR(AH235+0.5&gt;=93,AH235+0.5&lt;60),"",IF(MOD(AH235+0.5,10)&gt;=7,"+",IF(MOD(AH235+0.5,10)&lt;3,"-",""))),"")</f>
        <v>-</v>
      </c>
      <c r="AK235" s="31" t="b">
        <f>IF(A235&lt;&gt;"",OR(AI235&lt;&gt;AC235,AJ235&lt;&gt;AD235),"")</f>
        <v>0</v>
      </c>
      <c r="AL235" s="81">
        <f>IF(AND(A235&lt;&gt;"",U235&gt;0),SUM(U235,$AL$8)/$AL$2*100,"")</f>
        <v>80</v>
      </c>
      <c r="AM235" s="24">
        <f>IF(AND(A235&lt;&gt;"",V235&gt;0),SUM(V235,$AM$8)/$AM$2*100,"")</f>
        <v>68</v>
      </c>
      <c r="AN235" s="24" t="str">
        <f>IF(AND(A235&lt;&gt;"",P235&lt;&gt;0),SUM(P235,$AN$8)/$AN$2*100,"")</f>
        <v/>
      </c>
      <c r="AO235" s="24" t="str">
        <f>IF(AND(A235&lt;&gt;"",Q235&lt;&gt;0),SUM(Q235,$AO$8)/$AO$2*100,"")</f>
        <v/>
      </c>
      <c r="AP235" s="24">
        <f>IF(AND(A235&lt;&gt;"",R235&lt;&gt;0),SUM(R235,$AP$8)/$AP$2*100,"")</f>
        <v>69.002659574468083</v>
      </c>
      <c r="AQ235" s="24" t="str">
        <f>IF(AND(A235&lt;&gt;"",W235&gt;0),SUM(W235,$AQ$8)/$AQ$2*100,"")</f>
        <v/>
      </c>
      <c r="AR235" s="24">
        <f>IF(AND(A235&lt;&gt;"",T235&gt;0),SUM(T235,$AR$8)/$AR$2*100,"")</f>
        <v>66.697137580794092</v>
      </c>
      <c r="AS235" s="24">
        <f>IF(AND(A235&lt;&gt;"",X235&lt;&gt;0),SUM(X235,$AS$8)/$AS$2*100,"")</f>
        <v>67.619346378263685</v>
      </c>
      <c r="AT235" s="86">
        <f>IF(A235&lt;&gt;"",SUM(W235:X235,$AT$8)/$AT$2*100,"")</f>
        <v>67.619346378263685</v>
      </c>
      <c r="AU235" s="24">
        <f>AA235</f>
        <v>70.209673189131834</v>
      </c>
      <c r="AV235" s="24"/>
      <c r="AW235" s="27">
        <f>IF(A235&lt;&gt;"",AE235-AA235,"")</f>
        <v>-2.5903268108681488</v>
      </c>
      <c r="AY235" s="27">
        <f>AR235-AP235</f>
        <v>-2.3055219936739917</v>
      </c>
      <c r="AZ235" s="27">
        <f>ABS(AY235)</f>
        <v>2.3055219936739917</v>
      </c>
    </row>
    <row r="236" spans="1:63" s="27" customFormat="1" ht="12.75" customHeight="1" x14ac:dyDescent="0.2">
      <c r="A236" s="50">
        <v>634514</v>
      </c>
      <c r="B236" s="2">
        <v>25</v>
      </c>
      <c r="C236" s="50">
        <v>25</v>
      </c>
      <c r="D236" s="10">
        <v>22</v>
      </c>
      <c r="E236" s="10">
        <v>24</v>
      </c>
      <c r="F236" s="10">
        <v>23</v>
      </c>
      <c r="G236" s="10">
        <v>25</v>
      </c>
      <c r="H236" s="10">
        <v>14</v>
      </c>
      <c r="I236" s="10">
        <v>21</v>
      </c>
      <c r="J236" s="2"/>
      <c r="K236" s="10">
        <v>63</v>
      </c>
      <c r="L236" s="10">
        <v>58</v>
      </c>
      <c r="M236" s="10">
        <v>60</v>
      </c>
      <c r="N236" s="51">
        <v>60</v>
      </c>
      <c r="O236" s="11">
        <v>60</v>
      </c>
      <c r="P236" s="10"/>
      <c r="Q236" s="40"/>
      <c r="R236" s="2">
        <v>176</v>
      </c>
      <c r="S236" s="10">
        <f>IF(T236="",R236,MAX((R236+$R$8)/$R$2,(T236+$T$8)/$T$2)*$R$2-$R$8)</f>
        <v>176.00000000000003</v>
      </c>
      <c r="T236" s="62">
        <v>240</v>
      </c>
      <c r="U236" s="2">
        <f>IF(A236&lt;&gt;"",SUM(B236:I236),"")</f>
        <v>179</v>
      </c>
      <c r="V236" s="10">
        <f>IF(A236&lt;&gt;"",SUM(J236:O236),"")</f>
        <v>301</v>
      </c>
      <c r="W236" s="10">
        <f>IF(A236&lt;&gt;"",SUM(P236:Q236),"")</f>
        <v>0</v>
      </c>
      <c r="X236" s="10">
        <f>IF(A236&lt;&gt;"",SUM(S236:T236),"")</f>
        <v>416</v>
      </c>
      <c r="Y236" s="12">
        <v>3</v>
      </c>
      <c r="Z236" s="12">
        <f>IF(A236&lt;&gt;"",SUM(U236:Y236),"")</f>
        <v>899</v>
      </c>
      <c r="AA236" s="27">
        <f>IF(A236&lt;&gt;"",(Z236+Normalize_To_Add)/(Point_Total_So_Far)*100,"")</f>
        <v>97.409673189131837</v>
      </c>
      <c r="AB236" s="10">
        <f>IF(A236&lt;&gt;"",RANK(AA236,All_Student_XC),"")</f>
        <v>15</v>
      </c>
      <c r="AC236" s="31" t="str">
        <f>IF(A236&lt;&gt;"",CHOOSE(10-MIN(9,TRUNC((AA236+0.5)/10)),"A","B","C","D","F","F","F","F","F","F"),"")</f>
        <v>A</v>
      </c>
      <c r="AD236" s="31" t="str">
        <f>IF(A236&lt;&gt;"",IF(OR(AA236+0.5&gt;=93,AA236+0.5&lt;60),"",IF(MOD(AA236+0.5,10)&gt;=7,"+",IF(MOD(AA236+0.5,10)&lt;3,"-",""))),"")</f>
        <v/>
      </c>
      <c r="AE236" s="31">
        <f>IF(A236&lt;&gt;"",SUM(W236:X236,$W$8:$X$8)/SUM($W$2:$X$2)*100,"")</f>
        <v>98.21934637826368</v>
      </c>
      <c r="AF236" s="43" t="str">
        <f>IF(A236&lt;&gt;"",CHOOSE(10-MIN(9,TRUNC((AE236+0.5)/10)),"A","B","C","D","F","F","F","F","F","F"),"")</f>
        <v>A</v>
      </c>
      <c r="AG236" s="43" t="str">
        <f>IF(A236&lt;&gt;"",IF(OR(AE236+0.5&gt;=93,AE236+0.5&lt;60),"",IF(MOD(AE236+0.5,10)&gt;=7,"+",IF(MOD(AE236+0.5,10)&lt;3,"-",""))),"")</f>
        <v/>
      </c>
      <c r="AH236" s="35">
        <f>IF(A236&lt;&gt;"",MIN(MAX(AA236,AE236),AA236+$AH$8,AE236+$AH$8),"")</f>
        <v>98.21934637826368</v>
      </c>
      <c r="AI236" s="31" t="str">
        <f>IF(A236&lt;&gt;"",CHOOSE(10-MIN(9,TRUNC((AH236+0.5)/10)),"A","B","C","D","F","F","F","F","F","F"),"")</f>
        <v>A</v>
      </c>
      <c r="AJ236" s="31" t="str">
        <f>IF(A236&lt;&gt;"",IF(OR(AH236+0.5&gt;=93,AH236+0.5&lt;60),"",IF(MOD(AH236+0.5,10)&gt;=7,"+",IF(MOD(AH236+0.5,10)&lt;3,"-",""))),"")</f>
        <v/>
      </c>
      <c r="AK236" s="31" t="b">
        <f>IF(A236&lt;&gt;"",OR(AI236&lt;&gt;AC236,AJ236&lt;&gt;AD236),"")</f>
        <v>0</v>
      </c>
      <c r="AL236" s="81">
        <f>IF(AND(A236&lt;&gt;"",U236&gt;0),SUM(U236,$AL$8)/$AL$2*100,"")</f>
        <v>89.5</v>
      </c>
      <c r="AM236" s="24">
        <f>IF(AND(A236&lt;&gt;"",V236&gt;0),SUM(V236,$AM$8)/$AM$2*100,"")</f>
        <v>100.33333333333334</v>
      </c>
      <c r="AN236" s="24" t="str">
        <f>IF(AND(A236&lt;&gt;"",P236&lt;&gt;0),SUM(P236,$AN$8)/$AN$2*100,"")</f>
        <v/>
      </c>
      <c r="AO236" s="24" t="str">
        <f>IF(AND(A236&lt;&gt;"",Q236&lt;&gt;0),SUM(Q236,$AO$8)/$AO$2*100,"")</f>
        <v/>
      </c>
      <c r="AP236" s="24">
        <f>IF(AND(A236&lt;&gt;"",R236&lt;&gt;0),SUM(R236,$AP$8)/$AP$2*100,"")</f>
        <v>102.5026595744681</v>
      </c>
      <c r="AQ236" s="24" t="str">
        <f>IF(AND(A236&lt;&gt;"",W236&gt;0),SUM(W236,$AQ$8)/$AQ$2*100,"")</f>
        <v/>
      </c>
      <c r="AR236" s="24">
        <f>IF(AND(A236&lt;&gt;"",T236&gt;0),SUM(T236,$AR$8)/$AR$2*100,"")</f>
        <v>95.363804247460749</v>
      </c>
      <c r="AS236" s="24">
        <f>IF(AND(A236&lt;&gt;"",X236&lt;&gt;0),SUM(X236,$AS$8)/$AS$2*100,"")</f>
        <v>98.21934637826368</v>
      </c>
      <c r="AT236" s="86">
        <f>IF(A236&lt;&gt;"",SUM(W236:X236,$AT$8)/$AT$2*100,"")</f>
        <v>98.21934637826368</v>
      </c>
      <c r="AU236" s="24">
        <f>AA236</f>
        <v>97.409673189131837</v>
      </c>
      <c r="AV236" s="24"/>
      <c r="AW236" s="27">
        <f>IF(A236&lt;&gt;"",AE236-AA236,"")</f>
        <v>0.80967318913184272</v>
      </c>
      <c r="AY236" s="27">
        <f>AR236-AP236</f>
        <v>-7.1388553270073487</v>
      </c>
      <c r="AZ236" s="27">
        <f>ABS(AY236)</f>
        <v>7.1388553270073487</v>
      </c>
    </row>
    <row r="237" spans="1:63" s="27" customFormat="1" ht="12.75" customHeight="1" x14ac:dyDescent="0.2">
      <c r="A237" s="10">
        <v>636842</v>
      </c>
      <c r="B237" s="2">
        <v>16</v>
      </c>
      <c r="C237" s="10">
        <v>25</v>
      </c>
      <c r="D237" s="10" t="s">
        <v>69</v>
      </c>
      <c r="E237" s="10">
        <v>21</v>
      </c>
      <c r="F237" s="10">
        <v>16</v>
      </c>
      <c r="G237" s="10">
        <v>16</v>
      </c>
      <c r="H237" s="10">
        <v>22</v>
      </c>
      <c r="I237" s="10">
        <v>19</v>
      </c>
      <c r="J237" s="2"/>
      <c r="K237" s="10">
        <v>45</v>
      </c>
      <c r="L237" s="10">
        <v>19</v>
      </c>
      <c r="M237" s="10">
        <v>14</v>
      </c>
      <c r="N237" s="51">
        <v>0</v>
      </c>
      <c r="O237" s="11">
        <v>31</v>
      </c>
      <c r="P237" s="10"/>
      <c r="Q237" s="40"/>
      <c r="R237" s="2">
        <v>138</v>
      </c>
      <c r="S237" s="10">
        <f>IF(T237="",R237,MAX((R237+$R$8)/$R$2,(T237+$T$8)/$T$2)*$R$2-$R$8)</f>
        <v>147.05562267931867</v>
      </c>
      <c r="T237" s="12">
        <v>218</v>
      </c>
      <c r="U237" s="1">
        <f>IF(A237&lt;&gt;"",SUM(B237:I237),"")</f>
        <v>135</v>
      </c>
      <c r="V237" s="10">
        <f>IF(A237&lt;&gt;"",SUM(J237:O237),"")</f>
        <v>109</v>
      </c>
      <c r="W237" s="10">
        <f>IF(A237&lt;&gt;"",SUM(P237:Q237),"")</f>
        <v>0</v>
      </c>
      <c r="X237" s="10">
        <f>IF(A237&lt;&gt;"",SUM(S237:T237),"")</f>
        <v>365.05562267931867</v>
      </c>
      <c r="Y237" s="12">
        <v>3</v>
      </c>
      <c r="Z237" s="12">
        <f>IF(A237&lt;&gt;"",SUM(U237:Y237),"")</f>
        <v>612.05562267931873</v>
      </c>
      <c r="AA237" s="27">
        <f>IF(A237&lt;&gt;"",(Z237+Normalize_To_Add)/(Point_Total_So_Far)*100,"")</f>
        <v>68.715235457063713</v>
      </c>
      <c r="AB237" s="10">
        <f>IF(A237&lt;&gt;"",RANK(AA237,All_Student_XC),"")</f>
        <v>323</v>
      </c>
      <c r="AC237" s="31" t="str">
        <f>IF(A237&lt;&gt;"",CHOOSE(10-MIN(9,TRUNC((AA237+0.5)/10)),"A","B","C","D","F","F","F","F","F","F"),"")</f>
        <v>D</v>
      </c>
      <c r="AD237" s="31" t="str">
        <f>IF(A237&lt;&gt;"",IF(OR(AA237+0.5&gt;=93,AA237+0.5&lt;60),"",IF(MOD(AA237+0.5,10)&gt;=7,"+",IF(MOD(AA237+0.5,10)&lt;3,"-",""))),"")</f>
        <v>+</v>
      </c>
      <c r="AE237" s="31">
        <f>IF(A237&lt;&gt;"",SUM(W237:X237,$W$8:$X$8)/SUM($W$2:$X$2)*100,"")</f>
        <v>88.03047091412742</v>
      </c>
      <c r="AF237" s="43" t="str">
        <f>IF(A237&lt;&gt;"",CHOOSE(10-MIN(9,TRUNC((AE237+0.5)/10)),"A","B","C","D","F","F","F","F","F","F"),"")</f>
        <v>B</v>
      </c>
      <c r="AG237" s="43" t="str">
        <f>IF(A237&lt;&gt;"",IF(OR(AE237+0.5&gt;=93,AE237+0.5&lt;60),"",IF(MOD(AE237+0.5,10)&gt;=7,"+",IF(MOD(AE237+0.5,10)&lt;3,"-",""))),"")</f>
        <v>+</v>
      </c>
      <c r="AH237" s="35">
        <f>IF(A237&lt;&gt;"",MIN(MAX(AA237,AE237),AA237+$AH$8,AE237+$AH$8),"")</f>
        <v>88.03047091412742</v>
      </c>
      <c r="AI237" s="31" t="str">
        <f>IF(A237&lt;&gt;"",CHOOSE(10-MIN(9,TRUNC((AH237+0.5)/10)),"A","B","C","D","F","F","F","F","F","F"),"")</f>
        <v>B</v>
      </c>
      <c r="AJ237" s="31" t="str">
        <f>IF(A237&lt;&gt;"",IF(OR(AH237+0.5&gt;=93,AH237+0.5&lt;60),"",IF(MOD(AH237+0.5,10)&gt;=7,"+",IF(MOD(AH237+0.5,10)&lt;3,"-",""))),"")</f>
        <v>+</v>
      </c>
      <c r="AK237" s="31" t="b">
        <f>IF(A237&lt;&gt;"",OR(AI237&lt;&gt;AC237,AJ237&lt;&gt;AD237),"")</f>
        <v>1</v>
      </c>
      <c r="AL237" s="81">
        <f>IF(AND(A237&lt;&gt;"",U237&gt;0),SUM(U237,$AL$8)/$AL$2*100,"")</f>
        <v>67.5</v>
      </c>
      <c r="AM237" s="24">
        <f>IF(AND(A237&lt;&gt;"",V237&gt;0),SUM(V237,$AM$8)/$AM$2*100,"")</f>
        <v>36.333333333333336</v>
      </c>
      <c r="AN237" s="24" t="str">
        <f>IF(AND(A237&lt;&gt;"",P237&lt;&gt;0),SUM(P237,$AN$8)/$AN$2*100,"")</f>
        <v/>
      </c>
      <c r="AO237" s="24" t="str">
        <f>IF(AND(A237&lt;&gt;"",Q237&lt;&gt;0),SUM(Q237,$AO$8)/$AO$2*100,"")</f>
        <v/>
      </c>
      <c r="AP237" s="24">
        <f>IF(AND(A237&lt;&gt;"",R237&lt;&gt;0),SUM(R237,$AP$8)/$AP$2*100,"")</f>
        <v>83.502659574468083</v>
      </c>
      <c r="AQ237" s="24" t="str">
        <f>IF(AND(A237&lt;&gt;"",W237&gt;0),SUM(W237,$AQ$8)/$AQ$2*100,"")</f>
        <v/>
      </c>
      <c r="AR237" s="24">
        <f>IF(AND(A237&lt;&gt;"",T237&gt;0),SUM(T237,$AR$8)/$AR$2*100,"")</f>
        <v>88.03047091412742</v>
      </c>
      <c r="AS237" s="24">
        <f>IF(AND(A237&lt;&gt;"",X237&lt;&gt;0),SUM(X237,$AS$8)/$AS$2*100,"")</f>
        <v>88.03047091412742</v>
      </c>
      <c r="AT237" s="86">
        <f>IF(A237&lt;&gt;"",SUM(W237:X237,$AT$8)/$AT$2*100,"")</f>
        <v>88.03047091412742</v>
      </c>
      <c r="AU237" s="24">
        <f>AA237</f>
        <v>68.715235457063713</v>
      </c>
      <c r="AV237" s="24"/>
      <c r="AW237" s="27">
        <f>IF(A237&lt;&gt;"",AE237-AA237,"")</f>
        <v>19.315235457063707</v>
      </c>
      <c r="AY237" s="27">
        <f>AR237-AP237</f>
        <v>4.5278113396593369</v>
      </c>
      <c r="AZ237" s="27">
        <f>ABS(AY237)</f>
        <v>4.5278113396593369</v>
      </c>
    </row>
    <row r="238" spans="1:63" s="27" customFormat="1" ht="12.75" customHeight="1" x14ac:dyDescent="0.2">
      <c r="A238" s="10">
        <v>638714</v>
      </c>
      <c r="B238" s="2">
        <v>25</v>
      </c>
      <c r="C238" s="10">
        <v>25</v>
      </c>
      <c r="D238" s="10">
        <v>18</v>
      </c>
      <c r="E238" s="10">
        <v>22</v>
      </c>
      <c r="F238" s="10">
        <v>8</v>
      </c>
      <c r="G238" s="10">
        <v>25</v>
      </c>
      <c r="H238" s="10">
        <v>14</v>
      </c>
      <c r="I238" s="10">
        <v>24</v>
      </c>
      <c r="J238" s="2"/>
      <c r="K238" s="10">
        <v>52</v>
      </c>
      <c r="L238" s="51">
        <v>58</v>
      </c>
      <c r="M238" s="10">
        <v>30</v>
      </c>
      <c r="N238" s="51">
        <v>56</v>
      </c>
      <c r="O238" s="11">
        <v>61</v>
      </c>
      <c r="P238" s="10"/>
      <c r="Q238" s="40"/>
      <c r="R238" s="2">
        <v>83</v>
      </c>
      <c r="S238" s="10">
        <f>IF(T238="",R238,MAX((R238+$R$8)/$R$2,(T238+$T$8)/$T$2)*$R$2-$R$8)</f>
        <v>119.72228934598533</v>
      </c>
      <c r="T238" s="12">
        <v>177</v>
      </c>
      <c r="U238" s="68">
        <f>IF(A238&lt;&gt;"",SUM(B238:I238),"")</f>
        <v>161</v>
      </c>
      <c r="V238" s="10">
        <f>IF(A238&lt;&gt;"",SUM(J238:O238),"")</f>
        <v>257</v>
      </c>
      <c r="W238" s="10">
        <f>IF(A238&lt;&gt;"",SUM(P238:Q238),"")</f>
        <v>0</v>
      </c>
      <c r="X238" s="10">
        <f>IF(A238&lt;&gt;"",SUM(S238:T238),"")</f>
        <v>296.72228934598536</v>
      </c>
      <c r="Y238" s="12">
        <v>3</v>
      </c>
      <c r="Z238" s="12">
        <f>IF(A238&lt;&gt;"",SUM(U238:Y238),"")</f>
        <v>717.72228934598536</v>
      </c>
      <c r="AA238" s="27">
        <f>IF(A238&lt;&gt;"",(Z238+Normalize_To_Add)/(Point_Total_So_Far)*100,"")</f>
        <v>79.281902123730376</v>
      </c>
      <c r="AB238" s="10">
        <f>IF(A238&lt;&gt;"",RANK(AA238,All_Student_XC),"")</f>
        <v>217</v>
      </c>
      <c r="AC238" s="31" t="str">
        <f>IF(A238&lt;&gt;"",CHOOSE(10-MIN(9,TRUNC((AA238+0.5)/10)),"A","B","C","D","F","F","F","F","F","F"),"")</f>
        <v>C</v>
      </c>
      <c r="AD238" s="31" t="str">
        <f>IF(A238&lt;&gt;"",IF(OR(AA238+0.5&gt;=93,AA238+0.5&lt;60),"",IF(MOD(AA238+0.5,10)&gt;=7,"+",IF(MOD(AA238+0.5,10)&lt;3,"-",""))),"")</f>
        <v>+</v>
      </c>
      <c r="AE238" s="31">
        <f>IF(A238&lt;&gt;"",SUM(W238:X238,$W$8:$X$8)/SUM($W$2:$X$2)*100,"")</f>
        <v>74.363804247460749</v>
      </c>
      <c r="AF238" s="31" t="str">
        <f>IF(A238&lt;&gt;"",CHOOSE(10-MIN(9,TRUNC((AE238+0.5)/10)),"A","B","C","D","F","F","F","F","F","F"),"")</f>
        <v>C</v>
      </c>
      <c r="AG238" s="31" t="str">
        <f>IF(A238&lt;&gt;"",IF(OR(AE238+0.5&gt;=93,AE238+0.5&lt;60),"",IF(MOD(AE238+0.5,10)&gt;=7,"+",IF(MOD(AE238+0.5,10)&lt;3,"-",""))),"")</f>
        <v/>
      </c>
      <c r="AH238" s="35">
        <f>IF(A238&lt;&gt;"",MIN(MAX(AA238,AE238),AA238+$AH$8,AE238+$AH$8),"")</f>
        <v>79.281902123730376</v>
      </c>
      <c r="AI238" s="31" t="str">
        <f>IF(A238&lt;&gt;"",CHOOSE(10-MIN(9,TRUNC((AH238+0.5)/10)),"A","B","C","D","F","F","F","F","F","F"),"")</f>
        <v>C</v>
      </c>
      <c r="AJ238" s="31" t="str">
        <f>IF(A238&lt;&gt;"",IF(OR(AH238+0.5&gt;=93,AH238+0.5&lt;60),"",IF(MOD(AH238+0.5,10)&gt;=7,"+",IF(MOD(AH238+0.5,10)&lt;3,"-",""))),"")</f>
        <v>+</v>
      </c>
      <c r="AK238" s="31" t="b">
        <f>IF(A238&lt;&gt;"",OR(AI238&lt;&gt;AC238,AJ238&lt;&gt;AD238),"")</f>
        <v>0</v>
      </c>
      <c r="AL238" s="81">
        <f>IF(AND(A238&lt;&gt;"",U238&gt;0),SUM(U238,$AL$8)/$AL$2*100,"")</f>
        <v>80.5</v>
      </c>
      <c r="AM238" s="24">
        <f>IF(AND(A238&lt;&gt;"",V238&gt;0),SUM(V238,$AM$8)/$AM$2*100,"")</f>
        <v>85.666666666666671</v>
      </c>
      <c r="AN238" s="24" t="str">
        <f>IF(AND(A238&lt;&gt;"",P238&lt;&gt;0),SUM(P238,$AN$8)/$AN$2*100,"")</f>
        <v/>
      </c>
      <c r="AO238" s="24" t="str">
        <f>IF(AND(A238&lt;&gt;"",Q238&lt;&gt;0),SUM(Q238,$AO$8)/$AO$2*100,"")</f>
        <v/>
      </c>
      <c r="AP238" s="24">
        <f>IF(AND(A238&lt;&gt;"",R238&lt;&gt;0),SUM(R238,$AP$8)/$AP$2*100,"")</f>
        <v>56.002659574468083</v>
      </c>
      <c r="AQ238" s="24" t="str">
        <f>IF(AND(A238&lt;&gt;"",W238&gt;0),SUM(W238,$AQ$8)/$AQ$2*100,"")</f>
        <v/>
      </c>
      <c r="AR238" s="24">
        <f>IF(AND(A238&lt;&gt;"",T238&gt;0),SUM(T238,$AR$8)/$AR$2*100,"")</f>
        <v>74.363804247460749</v>
      </c>
      <c r="AS238" s="24">
        <f>IF(AND(A238&lt;&gt;"",X238&lt;&gt;0),SUM(X238,$AS$8)/$AS$2*100,"")</f>
        <v>74.363804247460749</v>
      </c>
      <c r="AT238" s="86">
        <f>IF(A238&lt;&gt;"",SUM(W238:X238,$AT$8)/$AT$2*100,"")</f>
        <v>74.363804247460749</v>
      </c>
      <c r="AU238" s="24">
        <f>AA238</f>
        <v>79.281902123730376</v>
      </c>
      <c r="AV238" s="24"/>
      <c r="AW238" s="27">
        <f>IF(A238&lt;&gt;"",AE238-AA238,"")</f>
        <v>-4.918097876269627</v>
      </c>
      <c r="AY238" s="27">
        <f>AR238-AP238</f>
        <v>18.361144672992666</v>
      </c>
      <c r="AZ238" s="27">
        <f>ABS(AY238)</f>
        <v>18.361144672992666</v>
      </c>
    </row>
    <row r="239" spans="1:63" s="27" customFormat="1" ht="12.75" customHeight="1" x14ac:dyDescent="0.2">
      <c r="A239" s="50">
        <v>639752</v>
      </c>
      <c r="B239" s="2">
        <v>25</v>
      </c>
      <c r="C239" s="50">
        <v>25</v>
      </c>
      <c r="D239" s="10">
        <v>24</v>
      </c>
      <c r="E239" s="10">
        <v>21</v>
      </c>
      <c r="F239" s="10">
        <v>24</v>
      </c>
      <c r="G239" s="10">
        <v>25</v>
      </c>
      <c r="H239" s="10">
        <v>19</v>
      </c>
      <c r="I239" s="10">
        <v>25</v>
      </c>
      <c r="J239" s="2"/>
      <c r="K239" s="10">
        <v>42</v>
      </c>
      <c r="L239" s="10">
        <v>60</v>
      </c>
      <c r="M239" s="10">
        <v>60</v>
      </c>
      <c r="N239" s="51">
        <v>60</v>
      </c>
      <c r="O239" s="11">
        <v>60</v>
      </c>
      <c r="P239" s="10"/>
      <c r="Q239" s="40"/>
      <c r="R239" s="2">
        <v>135</v>
      </c>
      <c r="S239" s="10">
        <f>IF(T239="",R239,MAX((R239+$R$8)/$R$2,(T239+$T$8)/$T$2)*$R$2-$R$8)</f>
        <v>164.38895601265202</v>
      </c>
      <c r="T239" s="62">
        <v>244</v>
      </c>
      <c r="U239" s="2">
        <f>IF(A239&lt;&gt;"",SUM(B239:I239),"")</f>
        <v>188</v>
      </c>
      <c r="V239" s="10">
        <f>IF(A239&lt;&gt;"",SUM(J239:O239),"")</f>
        <v>282</v>
      </c>
      <c r="W239" s="10">
        <f>IF(A239&lt;&gt;"",SUM(P239:Q239),"")</f>
        <v>0</v>
      </c>
      <c r="X239" s="10">
        <f>IF(A239&lt;&gt;"",SUM(S239:T239),"")</f>
        <v>408.38895601265199</v>
      </c>
      <c r="Y239" s="12">
        <v>3</v>
      </c>
      <c r="Z239" s="12">
        <f>IF(A239&lt;&gt;"",SUM(U239:Y239),"")</f>
        <v>881.38895601265199</v>
      </c>
      <c r="AA239" s="27">
        <f>IF(A239&lt;&gt;"",(Z239+Normalize_To_Add)/(Point_Total_So_Far)*100,"")</f>
        <v>95.648568790397036</v>
      </c>
      <c r="AB239" s="10">
        <f>IF(A239&lt;&gt;"",RANK(AA239,All_Student_XC),"")</f>
        <v>25</v>
      </c>
      <c r="AC239" s="31" t="str">
        <f>IF(A239&lt;&gt;"",CHOOSE(10-MIN(9,TRUNC((AA239+0.5)/10)),"A","B","C","D","F","F","F","F","F","F"),"")</f>
        <v>A</v>
      </c>
      <c r="AD239" s="31" t="str">
        <f>IF(A239&lt;&gt;"",IF(OR(AA239+0.5&gt;=93,AA239+0.5&lt;60),"",IF(MOD(AA239+0.5,10)&gt;=7,"+",IF(MOD(AA239+0.5,10)&lt;3,"-",""))),"")</f>
        <v/>
      </c>
      <c r="AE239" s="31">
        <f>IF(A239&lt;&gt;"",SUM(W239:X239,$W$8:$X$8)/SUM($W$2:$X$2)*100,"")</f>
        <v>96.697137580794077</v>
      </c>
      <c r="AF239" s="43" t="str">
        <f>IF(A239&lt;&gt;"",CHOOSE(10-MIN(9,TRUNC((AE239+0.5)/10)),"A","B","C","D","F","F","F","F","F","F"),"")</f>
        <v>A</v>
      </c>
      <c r="AG239" s="43" t="str">
        <f>IF(A239&lt;&gt;"",IF(OR(AE239+0.5&gt;=93,AE239+0.5&lt;60),"",IF(MOD(AE239+0.5,10)&gt;=7,"+",IF(MOD(AE239+0.5,10)&lt;3,"-",""))),"")</f>
        <v/>
      </c>
      <c r="AH239" s="35">
        <f>IF(A239&lt;&gt;"",MIN(MAX(AA239,AE239),AA239+$AH$8,AE239+$AH$8),"")</f>
        <v>96.697137580794077</v>
      </c>
      <c r="AI239" s="31" t="str">
        <f>IF(A239&lt;&gt;"",CHOOSE(10-MIN(9,TRUNC((AH239+0.5)/10)),"A","B","C","D","F","F","F","F","F","F"),"")</f>
        <v>A</v>
      </c>
      <c r="AJ239" s="31" t="str">
        <f>IF(A239&lt;&gt;"",IF(OR(AH239+0.5&gt;=93,AH239+0.5&lt;60),"",IF(MOD(AH239+0.5,10)&gt;=7,"+",IF(MOD(AH239+0.5,10)&lt;3,"-",""))),"")</f>
        <v/>
      </c>
      <c r="AK239" s="31" t="b">
        <f>IF(A239&lt;&gt;"",OR(AI239&lt;&gt;AC239,AJ239&lt;&gt;AD239),"")</f>
        <v>0</v>
      </c>
      <c r="AL239" s="81">
        <f>IF(AND(A239&lt;&gt;"",U239&gt;0),SUM(U239,$AL$8)/$AL$2*100,"")</f>
        <v>94</v>
      </c>
      <c r="AM239" s="24">
        <f>IF(AND(A239&lt;&gt;"",V239&gt;0),SUM(V239,$AM$8)/$AM$2*100,"")</f>
        <v>94</v>
      </c>
      <c r="AN239" s="24" t="str">
        <f>IF(AND(A239&lt;&gt;"",P239&lt;&gt;0),SUM(P239,$AN$8)/$AN$2*100,"")</f>
        <v/>
      </c>
      <c r="AO239" s="24" t="str">
        <f>IF(AND(A239&lt;&gt;"",Q239&lt;&gt;0),SUM(Q239,$AO$8)/$AO$2*100,"")</f>
        <v/>
      </c>
      <c r="AP239" s="24">
        <f>IF(AND(A239&lt;&gt;"",R239&lt;&gt;0),SUM(R239,$AP$8)/$AP$2*100,"")</f>
        <v>82.002659574468083</v>
      </c>
      <c r="AQ239" s="24" t="str">
        <f>IF(AND(A239&lt;&gt;"",W239&gt;0),SUM(W239,$AQ$8)/$AQ$2*100,"")</f>
        <v/>
      </c>
      <c r="AR239" s="24">
        <f>IF(AND(A239&lt;&gt;"",T239&gt;0),SUM(T239,$AR$8)/$AR$2*100,"")</f>
        <v>96.697137580794092</v>
      </c>
      <c r="AS239" s="24">
        <f>IF(AND(A239&lt;&gt;"",X239&lt;&gt;0),SUM(X239,$AS$8)/$AS$2*100,"")</f>
        <v>96.697137580794077</v>
      </c>
      <c r="AT239" s="86">
        <f>IF(A239&lt;&gt;"",SUM(W239:X239,$AT$8)/$AT$2*100,"")</f>
        <v>96.697137580794077</v>
      </c>
      <c r="AU239" s="24">
        <f>AA239</f>
        <v>95.648568790397036</v>
      </c>
      <c r="AV239" s="24"/>
      <c r="AW239" s="27">
        <f>IF(A239&lt;&gt;"",AE239-AA239,"")</f>
        <v>1.0485687903970415</v>
      </c>
      <c r="AY239" s="27">
        <f>AR239-AP239</f>
        <v>14.694478006326008</v>
      </c>
      <c r="AZ239" s="27">
        <f>ABS(AY239)</f>
        <v>14.694478006326008</v>
      </c>
    </row>
    <row r="240" spans="1:63" s="27" customFormat="1" ht="12.75" customHeight="1" x14ac:dyDescent="0.2">
      <c r="A240" s="50">
        <v>641528</v>
      </c>
      <c r="B240" s="2">
        <v>24</v>
      </c>
      <c r="C240" s="50">
        <v>17</v>
      </c>
      <c r="D240" s="10">
        <v>19</v>
      </c>
      <c r="E240" s="24">
        <v>15</v>
      </c>
      <c r="F240" s="24">
        <v>22</v>
      </c>
      <c r="G240" s="10">
        <v>25</v>
      </c>
      <c r="H240" s="10">
        <v>22</v>
      </c>
      <c r="I240" s="10">
        <v>23</v>
      </c>
      <c r="J240" s="2"/>
      <c r="K240" s="10">
        <v>62</v>
      </c>
      <c r="L240" s="10">
        <v>60</v>
      </c>
      <c r="M240" s="10">
        <v>60</v>
      </c>
      <c r="N240" s="51">
        <v>60</v>
      </c>
      <c r="O240" s="11">
        <v>61</v>
      </c>
      <c r="P240" s="10"/>
      <c r="Q240" s="40"/>
      <c r="R240" s="2">
        <v>108</v>
      </c>
      <c r="S240" s="10">
        <f>IF(T240="",R240,MAX((R240+$R$8)/$R$2,(T240+$T$8)/$T$2)*$R$2-$R$8)</f>
        <v>113.05562267931867</v>
      </c>
      <c r="T240" s="62">
        <v>167</v>
      </c>
      <c r="U240" s="2">
        <f>IF(A240&lt;&gt;"",SUM(B240:I240),"")</f>
        <v>167</v>
      </c>
      <c r="V240" s="10">
        <f>IF(A240&lt;&gt;"",SUM(J240:O240),"")</f>
        <v>303</v>
      </c>
      <c r="W240" s="10">
        <f>IF(A240&lt;&gt;"",SUM(P240:Q240),"")</f>
        <v>0</v>
      </c>
      <c r="X240" s="10">
        <f>IF(A240&lt;&gt;"",SUM(S240:T240),"")</f>
        <v>280.05562267931867</v>
      </c>
      <c r="Y240" s="12" t="s">
        <v>69</v>
      </c>
      <c r="Z240" s="12">
        <f>IF(A240&lt;&gt;"",SUM(U240:Y240),"")</f>
        <v>750.05562267931873</v>
      </c>
      <c r="AA240" s="27">
        <f>IF(A240&lt;&gt;"",(Z240+Normalize_To_Add)/(Point_Total_So_Far)*100,"")</f>
        <v>82.515235457063724</v>
      </c>
      <c r="AB240" s="10">
        <f>IF(A240&lt;&gt;"",RANK(AA240,All_Student_XC),"")</f>
        <v>178</v>
      </c>
      <c r="AC240" s="31" t="str">
        <f>IF(A240&lt;&gt;"",CHOOSE(10-MIN(9,TRUNC((AA240+0.5)/10)),"A","B","C","D","F","F","F","F","F","F"),"")</f>
        <v>B</v>
      </c>
      <c r="AD240" s="31" t="str">
        <f>IF(A240&lt;&gt;"",IF(OR(AA240+0.5&gt;=93,AA240+0.5&lt;60),"",IF(MOD(AA240+0.5,10)&gt;=7,"+",IF(MOD(AA240+0.5,10)&lt;3,"-",""))),"")</f>
        <v/>
      </c>
      <c r="AE240" s="31">
        <f>IF(A240&lt;&gt;"",SUM(W240:X240,$W$8:$X$8)/SUM($W$2:$X$2)*100,"")</f>
        <v>71.03047091412742</v>
      </c>
      <c r="AF240" s="43" t="str">
        <f>IF(A240&lt;&gt;"",CHOOSE(10-MIN(9,TRUNC((AE240+0.5)/10)),"A","B","C","D","F","F","F","F","F","F"),"")</f>
        <v>C</v>
      </c>
      <c r="AG240" s="43" t="str">
        <f>IF(A240&lt;&gt;"",IF(OR(AE240+0.5&gt;=93,AE240+0.5&lt;60),"",IF(MOD(AE240+0.5,10)&gt;=7,"+",IF(MOD(AE240+0.5,10)&lt;3,"-",""))),"")</f>
        <v>-</v>
      </c>
      <c r="AH240" s="35">
        <f>IF(A240&lt;&gt;"",MIN(MAX(AA240,AE240),AA240+$AH$8,AE240+$AH$8),"")</f>
        <v>82.515235457063724</v>
      </c>
      <c r="AI240" s="31" t="str">
        <f>IF(A240&lt;&gt;"",CHOOSE(10-MIN(9,TRUNC((AH240+0.5)/10)),"A","B","C","D","F","F","F","F","F","F"),"")</f>
        <v>B</v>
      </c>
      <c r="AJ240" s="31" t="str">
        <f>IF(A240&lt;&gt;"",IF(OR(AH240+0.5&gt;=93,AH240+0.5&lt;60),"",IF(MOD(AH240+0.5,10)&gt;=7,"+",IF(MOD(AH240+0.5,10)&lt;3,"-",""))),"")</f>
        <v/>
      </c>
      <c r="AK240" s="31" t="b">
        <f>IF(A240&lt;&gt;"",OR(AI240&lt;&gt;AC240,AJ240&lt;&gt;AD240),"")</f>
        <v>0</v>
      </c>
      <c r="AL240" s="81">
        <f>IF(AND(A240&lt;&gt;"",U240&gt;0),SUM(U240,$AL$8)/$AL$2*100,"")</f>
        <v>83.5</v>
      </c>
      <c r="AM240" s="24">
        <f>IF(AND(A240&lt;&gt;"",V240&gt;0),SUM(V240,$AM$8)/$AM$2*100,"")</f>
        <v>101</v>
      </c>
      <c r="AN240" s="24" t="str">
        <f>IF(AND(A240&lt;&gt;"",P240&lt;&gt;0),SUM(P240,$AN$8)/$AN$2*100,"")</f>
        <v/>
      </c>
      <c r="AO240" s="24" t="str">
        <f>IF(AND(A240&lt;&gt;"",Q240&lt;&gt;0),SUM(Q240,$AO$8)/$AO$2*100,"")</f>
        <v/>
      </c>
      <c r="AP240" s="24">
        <f>IF(AND(A240&lt;&gt;"",R240&lt;&gt;0),SUM(R240,$AP$8)/$AP$2*100,"")</f>
        <v>68.502659574468083</v>
      </c>
      <c r="AQ240" s="24" t="str">
        <f>IF(AND(A240&lt;&gt;"",W240&gt;0),SUM(W240,$AQ$8)/$AQ$2*100,"")</f>
        <v/>
      </c>
      <c r="AR240" s="24">
        <f>IF(AND(A240&lt;&gt;"",T240&gt;0),SUM(T240,$AR$8)/$AR$2*100,"")</f>
        <v>71.03047091412742</v>
      </c>
      <c r="AS240" s="24">
        <f>IF(AND(A240&lt;&gt;"",X240&lt;&gt;0),SUM(X240,$AS$8)/$AS$2*100,"")</f>
        <v>71.03047091412742</v>
      </c>
      <c r="AT240" s="86">
        <f>IF(A240&lt;&gt;"",SUM(W240:X240,$AT$8)/$AT$2*100,"")</f>
        <v>71.03047091412742</v>
      </c>
      <c r="AU240" s="24">
        <f>AA240</f>
        <v>82.515235457063724</v>
      </c>
      <c r="AV240" s="24"/>
      <c r="AW240" s="27">
        <f>IF(A240&lt;&gt;"",AE240-AA240,"")</f>
        <v>-11.484764542936304</v>
      </c>
      <c r="AY240" s="27">
        <f>AR240-AP240</f>
        <v>2.5278113396593369</v>
      </c>
      <c r="AZ240" s="27">
        <f>ABS(AY240)</f>
        <v>2.5278113396593369</v>
      </c>
    </row>
    <row r="241" spans="1:52" s="27" customFormat="1" ht="12.75" customHeight="1" x14ac:dyDescent="0.2">
      <c r="A241" s="10">
        <v>643742</v>
      </c>
      <c r="B241" s="2">
        <v>25</v>
      </c>
      <c r="C241" s="10">
        <v>25</v>
      </c>
      <c r="D241" s="10">
        <v>23</v>
      </c>
      <c r="E241" s="10">
        <v>23</v>
      </c>
      <c r="F241" s="10">
        <v>20</v>
      </c>
      <c r="G241" s="10">
        <v>25</v>
      </c>
      <c r="H241" s="10">
        <v>24</v>
      </c>
      <c r="I241" s="10">
        <v>24</v>
      </c>
      <c r="J241" s="2"/>
      <c r="K241" s="10">
        <v>63</v>
      </c>
      <c r="L241" s="10">
        <v>61</v>
      </c>
      <c r="M241" s="10">
        <v>57</v>
      </c>
      <c r="N241" s="10">
        <v>61</v>
      </c>
      <c r="O241" s="11">
        <v>62</v>
      </c>
      <c r="P241" s="34"/>
      <c r="Q241" s="40"/>
      <c r="R241" s="2">
        <v>19</v>
      </c>
      <c r="S241" s="10">
        <f>IF(T241="",R241,MAX((R241+$R$8)/$R$2,(T241+$T$8)/$T$2)*$R$2-$R$8)</f>
        <v>75.722289345985345</v>
      </c>
      <c r="T241" s="12">
        <v>111</v>
      </c>
      <c r="U241" s="1">
        <f>IF(A241&lt;&gt;"",SUM(B241:I241),"")</f>
        <v>189</v>
      </c>
      <c r="V241" s="10">
        <f>IF(A241&lt;&gt;"",SUM(J241:O241),"")</f>
        <v>304</v>
      </c>
      <c r="W241" s="10">
        <f>IF(A241&lt;&gt;"",SUM(P241:Q241),"")</f>
        <v>0</v>
      </c>
      <c r="X241" s="10">
        <f>IF(A241&lt;&gt;"",SUM(S241:T241),"")</f>
        <v>186.72228934598536</v>
      </c>
      <c r="Y241" s="12">
        <v>3</v>
      </c>
      <c r="Z241" s="12">
        <f>IF(A241&lt;&gt;"",SUM(U241:Y241),"")</f>
        <v>682.72228934598536</v>
      </c>
      <c r="AA241" s="27">
        <f>IF(A241&lt;&gt;"",(Z241+Normalize_To_Add)/(Point_Total_So_Far)*100,"")</f>
        <v>75.781902123730376</v>
      </c>
      <c r="AB241" s="10">
        <f>IF(A241&lt;&gt;"",RANK(AA241,All_Student_XC),"")</f>
        <v>266</v>
      </c>
      <c r="AC241" s="31" t="str">
        <f>IF(A241&lt;&gt;"",CHOOSE(10-MIN(9,TRUNC((AA241+0.5)/10)),"A","B","C","D","F","F","F","F","F","F"),"")</f>
        <v>C</v>
      </c>
      <c r="AD241" s="31" t="str">
        <f>IF(A241&lt;&gt;"",IF(OR(AA241+0.5&gt;=93,AA241+0.5&lt;60),"",IF(MOD(AA241+0.5,10)&gt;=7,"+",IF(MOD(AA241+0.5,10)&lt;3,"-",""))),"")</f>
        <v/>
      </c>
      <c r="AE241" s="31">
        <f>IF(A241&lt;&gt;"",SUM(W241:X241,$W$8:$X$8)/SUM($W$2:$X$2)*100,"")</f>
        <v>52.363804247460756</v>
      </c>
      <c r="AF241" s="31" t="str">
        <f>IF(A241&lt;&gt;"",CHOOSE(10-MIN(9,TRUNC((AE241+0.5)/10)),"A","B","C","D","F","F","F","F","F","F"),"")</f>
        <v>F</v>
      </c>
      <c r="AG241" s="31" t="str">
        <f>IF(A241&lt;&gt;"",IF(OR(AE241+0.5&gt;=93,AE241+0.5&lt;60),"",IF(MOD(AE241+0.5,10)&gt;=7,"+",IF(MOD(AE241+0.5,10)&lt;3,"-",""))),"")</f>
        <v/>
      </c>
      <c r="AH241" s="35">
        <f>IF(A241&lt;&gt;"",MIN(MAX(AA241,AE241),AA241+$AH$8,AE241+$AH$8),"")</f>
        <v>75.781902123730376</v>
      </c>
      <c r="AI241" s="31" t="str">
        <f>IF(A241&lt;&gt;"",CHOOSE(10-MIN(9,TRUNC((AH241+0.5)/10)),"A","B","C","D","F","F","F","F","F","F"),"")</f>
        <v>C</v>
      </c>
      <c r="AJ241" s="31" t="str">
        <f>IF(A241&lt;&gt;"",IF(OR(AH241+0.5&gt;=93,AH241+0.5&lt;60),"",IF(MOD(AH241+0.5,10)&gt;=7,"+",IF(MOD(AH241+0.5,10)&lt;3,"-",""))),"")</f>
        <v/>
      </c>
      <c r="AK241" s="31" t="b">
        <f>IF(A241&lt;&gt;"",OR(AI241&lt;&gt;AC241,AJ241&lt;&gt;AD241),"")</f>
        <v>0</v>
      </c>
      <c r="AL241" s="81">
        <f>IF(AND(A241&lt;&gt;"",U241&gt;0),SUM(U241,$AL$8)/$AL$2*100,"")</f>
        <v>94.5</v>
      </c>
      <c r="AM241" s="24">
        <f>IF(AND(A241&lt;&gt;"",V241&gt;0),SUM(V241,$AM$8)/$AM$2*100,"")</f>
        <v>101.33333333333334</v>
      </c>
      <c r="AN241" s="24" t="str">
        <f>IF(AND(A241&lt;&gt;"",P241&lt;&gt;0),SUM(P241,$AN$8)/$AN$2*100,"")</f>
        <v/>
      </c>
      <c r="AO241" s="24" t="str">
        <f>IF(AND(A241&lt;&gt;"",Q241&lt;&gt;0),SUM(Q241,$AO$8)/$AO$2*100,"")</f>
        <v/>
      </c>
      <c r="AP241" s="24">
        <f>IF(AND(A241&lt;&gt;"",R241&lt;&gt;0),SUM(R241,$AP$8)/$AP$2*100,"")</f>
        <v>24.002659574468083</v>
      </c>
      <c r="AQ241" s="24" t="str">
        <f>IF(AND(A241&lt;&gt;"",W241&gt;0),SUM(W241,$AQ$8)/$AQ$2*100,"")</f>
        <v/>
      </c>
      <c r="AR241" s="24">
        <f>IF(AND(A241&lt;&gt;"",T241&gt;0),SUM(T241,$AR$8)/$AR$2*100,"")</f>
        <v>52.363804247460756</v>
      </c>
      <c r="AS241" s="24">
        <f>IF(AND(A241&lt;&gt;"",X241&lt;&gt;0),SUM(X241,$AS$8)/$AS$2*100,"")</f>
        <v>52.363804247460756</v>
      </c>
      <c r="AT241" s="86">
        <f>IF(A241&lt;&gt;"",SUM(W241:X241,$AT$8)/$AT$2*100,"")</f>
        <v>52.363804247460756</v>
      </c>
      <c r="AU241" s="24">
        <f>AA241</f>
        <v>75.781902123730376</v>
      </c>
      <c r="AV241" s="24"/>
      <c r="AW241" s="27">
        <f>IF(A241&lt;&gt;"",AE241-AA241,"")</f>
        <v>-23.41809787626962</v>
      </c>
      <c r="AY241" s="27">
        <f>AR241-AP241</f>
        <v>28.361144672992673</v>
      </c>
      <c r="AZ241" s="27">
        <f>ABS(AY241)</f>
        <v>28.361144672992673</v>
      </c>
    </row>
    <row r="242" spans="1:52" s="27" customFormat="1" ht="12.75" customHeight="1" x14ac:dyDescent="0.2">
      <c r="A242" s="50">
        <v>644784</v>
      </c>
      <c r="B242" s="2">
        <v>25</v>
      </c>
      <c r="C242" s="50">
        <v>25</v>
      </c>
      <c r="D242" s="10">
        <v>23</v>
      </c>
      <c r="E242" s="10">
        <v>23</v>
      </c>
      <c r="F242" s="10">
        <v>20</v>
      </c>
      <c r="G242" s="10">
        <v>25</v>
      </c>
      <c r="H242" s="10">
        <v>25</v>
      </c>
      <c r="I242" s="10">
        <v>24</v>
      </c>
      <c r="J242" s="2"/>
      <c r="K242" s="10">
        <v>57</v>
      </c>
      <c r="L242" s="10">
        <v>61</v>
      </c>
      <c r="M242" s="10">
        <v>59</v>
      </c>
      <c r="N242" s="51">
        <v>58</v>
      </c>
      <c r="O242" s="11">
        <v>62</v>
      </c>
      <c r="P242" s="10"/>
      <c r="Q242" s="40"/>
      <c r="R242" s="2">
        <v>146</v>
      </c>
      <c r="S242" s="10">
        <f>IF(T242="",R242,MAX((R242+$R$8)/$R$2,(T242+$T$8)/$T$2)*$R$2-$R$8)</f>
        <v>159.05562267931867</v>
      </c>
      <c r="T242" s="62">
        <v>236</v>
      </c>
      <c r="U242" s="2">
        <f>IF(A242&lt;&gt;"",SUM(B242:I242),"")</f>
        <v>190</v>
      </c>
      <c r="V242" s="10">
        <f>IF(A242&lt;&gt;"",SUM(J242:O242),"")</f>
        <v>297</v>
      </c>
      <c r="W242" s="10">
        <f>IF(A242&lt;&gt;"",SUM(P242:Q242),"")</f>
        <v>0</v>
      </c>
      <c r="X242" s="10">
        <f>IF(A242&lt;&gt;"",SUM(S242:T242),"")</f>
        <v>395.05562267931867</v>
      </c>
      <c r="Y242" s="12">
        <v>3</v>
      </c>
      <c r="Z242" s="12">
        <f>IF(A242&lt;&gt;"",SUM(U242:Y242),"")</f>
        <v>885.05562267931873</v>
      </c>
      <c r="AA242" s="27">
        <f>IF(A242&lt;&gt;"",(Z242+Normalize_To_Add)/(Point_Total_So_Far)*100,"")</f>
        <v>96.015235457063724</v>
      </c>
      <c r="AB242" s="10">
        <f>IF(A242&lt;&gt;"",RANK(AA242,All_Student_XC),"")</f>
        <v>23</v>
      </c>
      <c r="AC242" s="31" t="str">
        <f>IF(A242&lt;&gt;"",CHOOSE(10-MIN(9,TRUNC((AA242+0.5)/10)),"A","B","C","D","F","F","F","F","F","F"),"")</f>
        <v>A</v>
      </c>
      <c r="AD242" s="31" t="str">
        <f>IF(A242&lt;&gt;"",IF(OR(AA242+0.5&gt;=93,AA242+0.5&lt;60),"",IF(MOD(AA242+0.5,10)&gt;=7,"+",IF(MOD(AA242+0.5,10)&lt;3,"-",""))),"")</f>
        <v/>
      </c>
      <c r="AE242" s="31">
        <f>IF(A242&lt;&gt;"",SUM(W242:X242,$W$8:$X$8)/SUM($W$2:$X$2)*100,"")</f>
        <v>94.03047091412742</v>
      </c>
      <c r="AF242" s="43" t="str">
        <f>IF(A242&lt;&gt;"",CHOOSE(10-MIN(9,TRUNC((AE242+0.5)/10)),"A","B","C","D","F","F","F","F","F","F"),"")</f>
        <v>A</v>
      </c>
      <c r="AG242" s="43" t="str">
        <f>IF(A242&lt;&gt;"",IF(OR(AE242+0.5&gt;=93,AE242+0.5&lt;60),"",IF(MOD(AE242+0.5,10)&gt;=7,"+",IF(MOD(AE242+0.5,10)&lt;3,"-",""))),"")</f>
        <v/>
      </c>
      <c r="AH242" s="35">
        <f>IF(A242&lt;&gt;"",MIN(MAX(AA242,AE242),AA242+$AH$8,AE242+$AH$8),"")</f>
        <v>96.015235457063724</v>
      </c>
      <c r="AI242" s="31" t="str">
        <f>IF(A242&lt;&gt;"",CHOOSE(10-MIN(9,TRUNC((AH242+0.5)/10)),"A","B","C","D","F","F","F","F","F","F"),"")</f>
        <v>A</v>
      </c>
      <c r="AJ242" s="31" t="str">
        <f>IF(A242&lt;&gt;"",IF(OR(AH242+0.5&gt;=93,AH242+0.5&lt;60),"",IF(MOD(AH242+0.5,10)&gt;=7,"+",IF(MOD(AH242+0.5,10)&lt;3,"-",""))),"")</f>
        <v/>
      </c>
      <c r="AK242" s="31" t="b">
        <f>IF(A242&lt;&gt;"",OR(AI242&lt;&gt;AC242,AJ242&lt;&gt;AD242),"")</f>
        <v>0</v>
      </c>
      <c r="AL242" s="81">
        <f>IF(AND(A242&lt;&gt;"",U242&gt;0),SUM(U242,$AL$8)/$AL$2*100,"")</f>
        <v>95</v>
      </c>
      <c r="AM242" s="24">
        <f>IF(AND(A242&lt;&gt;"",V242&gt;0),SUM(V242,$AM$8)/$AM$2*100,"")</f>
        <v>99</v>
      </c>
      <c r="AN242" s="24" t="str">
        <f>IF(AND(A242&lt;&gt;"",P242&lt;&gt;0),SUM(P242,$AN$8)/$AN$2*100,"")</f>
        <v/>
      </c>
      <c r="AO242" s="24" t="str">
        <f>IF(AND(A242&lt;&gt;"",Q242&lt;&gt;0),SUM(Q242,$AO$8)/$AO$2*100,"")</f>
        <v/>
      </c>
      <c r="AP242" s="24">
        <f>IF(AND(A242&lt;&gt;"",R242&lt;&gt;0),SUM(R242,$AP$8)/$AP$2*100,"")</f>
        <v>87.502659574468083</v>
      </c>
      <c r="AQ242" s="24" t="str">
        <f>IF(AND(A242&lt;&gt;"",W242&gt;0),SUM(W242,$AQ$8)/$AQ$2*100,"")</f>
        <v/>
      </c>
      <c r="AR242" s="24">
        <f>IF(AND(A242&lt;&gt;"",T242&gt;0),SUM(T242,$AR$8)/$AR$2*100,"")</f>
        <v>94.03047091412742</v>
      </c>
      <c r="AS242" s="24">
        <f>IF(AND(A242&lt;&gt;"",X242&lt;&gt;0),SUM(X242,$AS$8)/$AS$2*100,"")</f>
        <v>94.03047091412742</v>
      </c>
      <c r="AT242" s="86">
        <f>IF(A242&lt;&gt;"",SUM(W242:X242,$AT$8)/$AT$2*100,"")</f>
        <v>94.03047091412742</v>
      </c>
      <c r="AU242" s="24">
        <f>AA242</f>
        <v>96.015235457063724</v>
      </c>
      <c r="AV242" s="24"/>
      <c r="AW242" s="27">
        <f>IF(A242&lt;&gt;"",AE242-AA242,"")</f>
        <v>-1.9847645429363041</v>
      </c>
      <c r="AY242" s="27">
        <f>AR242-AP242</f>
        <v>6.5278113396593369</v>
      </c>
      <c r="AZ242" s="27">
        <f>ABS(AY242)</f>
        <v>6.5278113396593369</v>
      </c>
    </row>
    <row r="243" spans="1:52" s="27" customFormat="1" ht="12.75" customHeight="1" x14ac:dyDescent="0.2">
      <c r="A243" s="50">
        <v>647794</v>
      </c>
      <c r="B243" s="2">
        <v>25</v>
      </c>
      <c r="C243" s="50">
        <v>23</v>
      </c>
      <c r="D243" s="10">
        <v>24</v>
      </c>
      <c r="E243" s="10">
        <v>20</v>
      </c>
      <c r="F243" s="10">
        <v>25</v>
      </c>
      <c r="G243" s="10">
        <v>16</v>
      </c>
      <c r="H243" s="10">
        <v>12</v>
      </c>
      <c r="I243" s="10">
        <v>25</v>
      </c>
      <c r="J243" s="2"/>
      <c r="K243" s="10">
        <v>62</v>
      </c>
      <c r="L243" s="10">
        <v>59</v>
      </c>
      <c r="M243" s="10">
        <v>57</v>
      </c>
      <c r="N243" s="51">
        <v>53</v>
      </c>
      <c r="O243" s="11">
        <v>60</v>
      </c>
      <c r="P243" s="10"/>
      <c r="Q243" s="40"/>
      <c r="R243" s="2">
        <v>109</v>
      </c>
      <c r="S243" s="10">
        <f>IF(T243="",R243,MAX((R243+$R$8)/$R$2,(T243+$T$8)/$T$2)*$R$2-$R$8)</f>
        <v>109</v>
      </c>
      <c r="T243" s="62">
        <v>104</v>
      </c>
      <c r="U243" s="2">
        <f>IF(A243&lt;&gt;"",SUM(B243:I243),"")</f>
        <v>170</v>
      </c>
      <c r="V243" s="10">
        <f>IF(A243&lt;&gt;"",SUM(J243:O243),"")</f>
        <v>291</v>
      </c>
      <c r="W243" s="10">
        <f>IF(A243&lt;&gt;"",SUM(P243:Q243),"")</f>
        <v>0</v>
      </c>
      <c r="X243" s="10">
        <f>IF(A243&lt;&gt;"",SUM(S243:T243),"")</f>
        <v>213</v>
      </c>
      <c r="Y243" s="12">
        <v>3</v>
      </c>
      <c r="Z243" s="12">
        <f>IF(A243&lt;&gt;"",SUM(U243:Y243),"")</f>
        <v>677</v>
      </c>
      <c r="AA243" s="27">
        <f>IF(A243&lt;&gt;"",(Z243+Normalize_To_Add)/(Point_Total_So_Far)*100,"")</f>
        <v>75.209673189131848</v>
      </c>
      <c r="AB243" s="10">
        <f>IF(A243&lt;&gt;"",RANK(AA243,All_Student_XC),"")</f>
        <v>273</v>
      </c>
      <c r="AC243" s="31" t="str">
        <f>IF(A243&lt;&gt;"",CHOOSE(10-MIN(9,TRUNC((AA243+0.5)/10)),"A","B","C","D","F","F","F","F","F","F"),"")</f>
        <v>C</v>
      </c>
      <c r="AD243" s="31" t="str">
        <f>IF(A243&lt;&gt;"",IF(OR(AA243+0.5&gt;=93,AA243+0.5&lt;60),"",IF(MOD(AA243+0.5,10)&gt;=7,"+",IF(MOD(AA243+0.5,10)&lt;3,"-",""))),"")</f>
        <v/>
      </c>
      <c r="AE243" s="31">
        <f>IF(A243&lt;&gt;"",SUM(W243:X243,$W$8:$X$8)/SUM($W$2:$X$2)*100,"")</f>
        <v>57.619346378263678</v>
      </c>
      <c r="AF243" s="43" t="str">
        <f>IF(A243&lt;&gt;"",CHOOSE(10-MIN(9,TRUNC((AE243+0.5)/10)),"A","B","C","D","F","F","F","F","F","F"),"")</f>
        <v>F</v>
      </c>
      <c r="AG243" s="43" t="str">
        <f>IF(A243&lt;&gt;"",IF(OR(AE243+0.5&gt;=93,AE243+0.5&lt;60),"",IF(MOD(AE243+0.5,10)&gt;=7,"+",IF(MOD(AE243+0.5,10)&lt;3,"-",""))),"")</f>
        <v/>
      </c>
      <c r="AH243" s="35">
        <f>IF(A243&lt;&gt;"",MIN(MAX(AA243,AE243),AA243+$AH$8,AE243+$AH$8),"")</f>
        <v>75.209673189131848</v>
      </c>
      <c r="AI243" s="31" t="str">
        <f>IF(A243&lt;&gt;"",CHOOSE(10-MIN(9,TRUNC((AH243+0.5)/10)),"A","B","C","D","F","F","F","F","F","F"),"")</f>
        <v>C</v>
      </c>
      <c r="AJ243" s="31" t="str">
        <f>IF(A243&lt;&gt;"",IF(OR(AH243+0.5&gt;=93,AH243+0.5&lt;60),"",IF(MOD(AH243+0.5,10)&gt;=7,"+",IF(MOD(AH243+0.5,10)&lt;3,"-",""))),"")</f>
        <v/>
      </c>
      <c r="AK243" s="31" t="b">
        <f>IF(A243&lt;&gt;"",OR(AI243&lt;&gt;AC243,AJ243&lt;&gt;AD243),"")</f>
        <v>0</v>
      </c>
      <c r="AL243" s="81">
        <f>IF(AND(A243&lt;&gt;"",U243&gt;0),SUM(U243,$AL$8)/$AL$2*100,"")</f>
        <v>85</v>
      </c>
      <c r="AM243" s="24">
        <f>IF(AND(A243&lt;&gt;"",V243&gt;0),SUM(V243,$AM$8)/$AM$2*100,"")</f>
        <v>97</v>
      </c>
      <c r="AN243" s="24" t="str">
        <f>IF(AND(A243&lt;&gt;"",P243&lt;&gt;0),SUM(P243,$AN$8)/$AN$2*100,"")</f>
        <v/>
      </c>
      <c r="AO243" s="24" t="str">
        <f>IF(AND(A243&lt;&gt;"",Q243&lt;&gt;0),SUM(Q243,$AO$8)/$AO$2*100,"")</f>
        <v/>
      </c>
      <c r="AP243" s="24">
        <f>IF(AND(A243&lt;&gt;"",R243&lt;&gt;0),SUM(R243,$AP$8)/$AP$2*100,"")</f>
        <v>69.002659574468083</v>
      </c>
      <c r="AQ243" s="24" t="str">
        <f>IF(AND(A243&lt;&gt;"",W243&gt;0),SUM(W243,$AQ$8)/$AQ$2*100,"")</f>
        <v/>
      </c>
      <c r="AR243" s="24">
        <f>IF(AND(A243&lt;&gt;"",T243&gt;0),SUM(T243,$AR$8)/$AR$2*100,"")</f>
        <v>50.03047091412742</v>
      </c>
      <c r="AS243" s="24">
        <f>IF(AND(A243&lt;&gt;"",X243&lt;&gt;0),SUM(X243,$AS$8)/$AS$2*100,"")</f>
        <v>57.619346378263678</v>
      </c>
      <c r="AT243" s="86">
        <f>IF(A243&lt;&gt;"",SUM(W243:X243,$AT$8)/$AT$2*100,"")</f>
        <v>57.619346378263678</v>
      </c>
      <c r="AU243" s="24">
        <f>AA243</f>
        <v>75.209673189131848</v>
      </c>
      <c r="AV243" s="24"/>
      <c r="AW243" s="27">
        <f>IF(A243&lt;&gt;"",AE243-AA243,"")</f>
        <v>-17.59032681086817</v>
      </c>
      <c r="AY243" s="27">
        <f>AR243-AP243</f>
        <v>-18.972188660340663</v>
      </c>
      <c r="AZ243" s="27">
        <f>ABS(AY243)</f>
        <v>18.972188660340663</v>
      </c>
    </row>
    <row r="244" spans="1:52" s="27" customFormat="1" ht="12.75" customHeight="1" x14ac:dyDescent="0.2">
      <c r="A244" s="50">
        <v>656142</v>
      </c>
      <c r="B244" s="2">
        <v>25</v>
      </c>
      <c r="C244" s="50">
        <v>20</v>
      </c>
      <c r="D244" s="10">
        <v>23</v>
      </c>
      <c r="E244" s="10">
        <v>17</v>
      </c>
      <c r="F244" s="10">
        <v>13</v>
      </c>
      <c r="G244" s="10">
        <v>11</v>
      </c>
      <c r="H244" s="10">
        <v>12</v>
      </c>
      <c r="I244" s="10">
        <v>16</v>
      </c>
      <c r="J244" s="2"/>
      <c r="K244" s="10">
        <v>59</v>
      </c>
      <c r="L244" s="10">
        <v>60</v>
      </c>
      <c r="M244" s="10">
        <v>62</v>
      </c>
      <c r="N244" s="51">
        <v>25</v>
      </c>
      <c r="O244" s="11">
        <v>45</v>
      </c>
      <c r="P244" s="10"/>
      <c r="Q244" s="40"/>
      <c r="R244" s="2">
        <v>122</v>
      </c>
      <c r="S244" s="10">
        <f>IF(T244="",R244,MAX((R244+$R$8)/$R$2,(T244+$T$8)/$T$2)*$R$2-$R$8)</f>
        <v>122</v>
      </c>
      <c r="T244" s="62">
        <v>172</v>
      </c>
      <c r="U244" s="2">
        <f>IF(A244&lt;&gt;"",SUM(B244:I244),"")</f>
        <v>137</v>
      </c>
      <c r="V244" s="10">
        <f>IF(A244&lt;&gt;"",SUM(J244:O244),"")</f>
        <v>251</v>
      </c>
      <c r="W244" s="10">
        <f>IF(A244&lt;&gt;"",SUM(P244:Q244),"")</f>
        <v>0</v>
      </c>
      <c r="X244" s="10">
        <f>IF(A244&lt;&gt;"",SUM(S244:T244),"")</f>
        <v>294</v>
      </c>
      <c r="Y244" s="12" t="s">
        <v>69</v>
      </c>
      <c r="Z244" s="12">
        <f>IF(A244&lt;&gt;"",SUM(U244:Y244),"")</f>
        <v>682</v>
      </c>
      <c r="AA244" s="27">
        <f>IF(A244&lt;&gt;"",(Z244+Normalize_To_Add)/(Point_Total_So_Far)*100,"")</f>
        <v>75.709673189131848</v>
      </c>
      <c r="AB244" s="10">
        <f>IF(A244&lt;&gt;"",RANK(AA244,All_Student_XC),"")</f>
        <v>268</v>
      </c>
      <c r="AC244" s="31" t="str">
        <f>IF(A244&lt;&gt;"",CHOOSE(10-MIN(9,TRUNC((AA244+0.5)/10)),"A","B","C","D","F","F","F","F","F","F"),"")</f>
        <v>C</v>
      </c>
      <c r="AD244" s="31" t="str">
        <f>IF(A244&lt;&gt;"",IF(OR(AA244+0.5&gt;=93,AA244+0.5&lt;60),"",IF(MOD(AA244+0.5,10)&gt;=7,"+",IF(MOD(AA244+0.5,10)&lt;3,"-",""))),"")</f>
        <v/>
      </c>
      <c r="AE244" s="31">
        <f>IF(A244&lt;&gt;"",SUM(W244:X244,$W$8:$X$8)/SUM($W$2:$X$2)*100,"")</f>
        <v>73.819346378263688</v>
      </c>
      <c r="AF244" s="43" t="str">
        <f>IF(A244&lt;&gt;"",CHOOSE(10-MIN(9,TRUNC((AE244+0.5)/10)),"A","B","C","D","F","F","F","F","F","F"),"")</f>
        <v>C</v>
      </c>
      <c r="AG244" s="43" t="str">
        <f>IF(A244&lt;&gt;"",IF(OR(AE244+0.5&gt;=93,AE244+0.5&lt;60),"",IF(MOD(AE244+0.5,10)&gt;=7,"+",IF(MOD(AE244+0.5,10)&lt;3,"-",""))),"")</f>
        <v/>
      </c>
      <c r="AH244" s="35">
        <f>IF(A244&lt;&gt;"",MIN(MAX(AA244,AE244),AA244+$AH$8,AE244+$AH$8),"")</f>
        <v>75.709673189131848</v>
      </c>
      <c r="AI244" s="31" t="str">
        <f>IF(A244&lt;&gt;"",CHOOSE(10-MIN(9,TRUNC((AH244+0.5)/10)),"A","B","C","D","F","F","F","F","F","F"),"")</f>
        <v>C</v>
      </c>
      <c r="AJ244" s="31" t="str">
        <f>IF(A244&lt;&gt;"",IF(OR(AH244+0.5&gt;=93,AH244+0.5&lt;60),"",IF(MOD(AH244+0.5,10)&gt;=7,"+",IF(MOD(AH244+0.5,10)&lt;3,"-",""))),"")</f>
        <v/>
      </c>
      <c r="AK244" s="31" t="b">
        <f>IF(A244&lt;&gt;"",OR(AI244&lt;&gt;AC244,AJ244&lt;&gt;AD244),"")</f>
        <v>0</v>
      </c>
      <c r="AL244" s="81">
        <f>IF(AND(A244&lt;&gt;"",U244&gt;0),SUM(U244,$AL$8)/$AL$2*100,"")</f>
        <v>68.5</v>
      </c>
      <c r="AM244" s="24">
        <f>IF(AND(A244&lt;&gt;"",V244&gt;0),SUM(V244,$AM$8)/$AM$2*100,"")</f>
        <v>83.666666666666671</v>
      </c>
      <c r="AN244" s="24" t="str">
        <f>IF(AND(A244&lt;&gt;"",P244&lt;&gt;0),SUM(P244,$AN$8)/$AN$2*100,"")</f>
        <v/>
      </c>
      <c r="AO244" s="24" t="str">
        <f>IF(AND(A244&lt;&gt;"",Q244&lt;&gt;0),SUM(Q244,$AO$8)/$AO$2*100,"")</f>
        <v/>
      </c>
      <c r="AP244" s="24">
        <f>IF(AND(A244&lt;&gt;"",R244&lt;&gt;0),SUM(R244,$AP$8)/$AP$2*100,"")</f>
        <v>75.502659574468083</v>
      </c>
      <c r="AQ244" s="24" t="str">
        <f>IF(AND(A244&lt;&gt;"",W244&gt;0),SUM(W244,$AQ$8)/$AQ$2*100,"")</f>
        <v/>
      </c>
      <c r="AR244" s="24">
        <f>IF(AND(A244&lt;&gt;"",T244&gt;0),SUM(T244,$AR$8)/$AR$2*100,"")</f>
        <v>72.697137580794092</v>
      </c>
      <c r="AS244" s="24">
        <f>IF(AND(A244&lt;&gt;"",X244&lt;&gt;0),SUM(X244,$AS$8)/$AS$2*100,"")</f>
        <v>73.819346378263688</v>
      </c>
      <c r="AT244" s="86">
        <f>IF(A244&lt;&gt;"",SUM(W244:X244,$AT$8)/$AT$2*100,"")</f>
        <v>73.819346378263688</v>
      </c>
      <c r="AU244" s="24">
        <f>AA244</f>
        <v>75.709673189131848</v>
      </c>
      <c r="AV244" s="24"/>
      <c r="AW244" s="27">
        <f>IF(A244&lt;&gt;"",AE244-AA244,"")</f>
        <v>-1.8903268108681601</v>
      </c>
      <c r="AY244" s="27">
        <f>AR244-AP244</f>
        <v>-2.8055219936739917</v>
      </c>
      <c r="AZ244" s="27">
        <f>ABS(AY244)</f>
        <v>2.8055219936739917</v>
      </c>
    </row>
    <row r="245" spans="1:52" s="27" customFormat="1" ht="12.75" customHeight="1" x14ac:dyDescent="0.2">
      <c r="A245" s="10">
        <v>674456</v>
      </c>
      <c r="B245" s="2">
        <v>25</v>
      </c>
      <c r="C245" s="10">
        <v>25</v>
      </c>
      <c r="D245" s="10">
        <v>24</v>
      </c>
      <c r="E245" s="10">
        <v>23</v>
      </c>
      <c r="F245" s="10">
        <v>23</v>
      </c>
      <c r="G245" s="10">
        <v>25</v>
      </c>
      <c r="H245" s="10">
        <v>25</v>
      </c>
      <c r="I245" s="10">
        <v>22</v>
      </c>
      <c r="J245" s="2"/>
      <c r="K245" s="10">
        <v>59</v>
      </c>
      <c r="L245" s="10">
        <v>62</v>
      </c>
      <c r="M245" s="10">
        <v>53</v>
      </c>
      <c r="N245" s="51">
        <v>61</v>
      </c>
      <c r="O245" s="11">
        <v>60</v>
      </c>
      <c r="P245" s="10"/>
      <c r="Q245" s="40"/>
      <c r="R245" s="2">
        <v>109</v>
      </c>
      <c r="S245" s="10">
        <f>IF(T245="",R245,MAX((R245+$R$8)/$R$2,(T245+$T$8)/$T$2)*$R$2-$R$8)</f>
        <v>109</v>
      </c>
      <c r="T245" s="12">
        <v>111</v>
      </c>
      <c r="U245" s="68">
        <f>IF(A245&lt;&gt;"",SUM(B245:I245),"")</f>
        <v>192</v>
      </c>
      <c r="V245" s="10">
        <f>IF(A245&lt;&gt;"",SUM(J245:O245),"")</f>
        <v>295</v>
      </c>
      <c r="W245" s="10">
        <f>IF(A245&lt;&gt;"",SUM(P245:Q245),"")</f>
        <v>0</v>
      </c>
      <c r="X245" s="10">
        <f>IF(A245&lt;&gt;"",SUM(S245:T245),"")</f>
        <v>220</v>
      </c>
      <c r="Y245" s="12">
        <v>3</v>
      </c>
      <c r="Z245" s="12">
        <f>IF(A245&lt;&gt;"",SUM(U245:Y245),"")</f>
        <v>710</v>
      </c>
      <c r="AA245" s="27">
        <f>IF(A245&lt;&gt;"",(Z245+Normalize_To_Add)/(Point_Total_So_Far)*100,"")</f>
        <v>78.509673189131846</v>
      </c>
      <c r="AB245" s="10">
        <f>IF(A245&lt;&gt;"",RANK(AA245,All_Student_XC),"")</f>
        <v>234</v>
      </c>
      <c r="AC245" s="31" t="str">
        <f>IF(A245&lt;&gt;"",CHOOSE(10-MIN(9,TRUNC((AA245+0.5)/10)),"A","B","C","D","F","F","F","F","F","F"),"")</f>
        <v>C</v>
      </c>
      <c r="AD245" s="31" t="str">
        <f>IF(A245&lt;&gt;"",IF(OR(AA245+0.5&gt;=93,AA245+0.5&lt;60),"",IF(MOD(AA245+0.5,10)&gt;=7,"+",IF(MOD(AA245+0.5,10)&lt;3,"-",""))),"")</f>
        <v>+</v>
      </c>
      <c r="AE245" s="31">
        <f>IF(A245&lt;&gt;"",SUM(W245:X245,$W$8:$X$8)/SUM($W$2:$X$2)*100,"")</f>
        <v>59.019346378263684</v>
      </c>
      <c r="AF245" s="31" t="str">
        <f>IF(A245&lt;&gt;"",CHOOSE(10-MIN(9,TRUNC((AE245+0.5)/10)),"A","B","C","D","F","F","F","F","F","F"),"")</f>
        <v>F</v>
      </c>
      <c r="AG245" s="31" t="str">
        <f>IF(A245&lt;&gt;"",IF(OR(AE245+0.5&gt;=93,AE245+0.5&lt;60),"",IF(MOD(AE245+0.5,10)&gt;=7,"+",IF(MOD(AE245+0.5,10)&lt;3,"-",""))),"")</f>
        <v/>
      </c>
      <c r="AH245" s="35">
        <f>IF(A245&lt;&gt;"",MIN(MAX(AA245,AE245),AA245+$AH$8,AE245+$AH$8),"")</f>
        <v>78.509673189131846</v>
      </c>
      <c r="AI245" s="31" t="str">
        <f>IF(A245&lt;&gt;"",CHOOSE(10-MIN(9,TRUNC((AH245+0.5)/10)),"A","B","C","D","F","F","F","F","F","F"),"")</f>
        <v>C</v>
      </c>
      <c r="AJ245" s="31" t="str">
        <f>IF(A245&lt;&gt;"",IF(OR(AH245+0.5&gt;=93,AH245+0.5&lt;60),"",IF(MOD(AH245+0.5,10)&gt;=7,"+",IF(MOD(AH245+0.5,10)&lt;3,"-",""))),"")</f>
        <v>+</v>
      </c>
      <c r="AK245" s="31" t="b">
        <f>IF(A245&lt;&gt;"",OR(AI245&lt;&gt;AC245,AJ245&lt;&gt;AD245),"")</f>
        <v>0</v>
      </c>
      <c r="AL245" s="81">
        <f>IF(AND(A245&lt;&gt;"",U245&gt;0),SUM(U245,$AL$8)/$AL$2*100,"")</f>
        <v>96</v>
      </c>
      <c r="AM245" s="24">
        <f>IF(AND(A245&lt;&gt;"",V245&gt;0),SUM(V245,$AM$8)/$AM$2*100,"")</f>
        <v>98.333333333333329</v>
      </c>
      <c r="AN245" s="24" t="str">
        <f>IF(AND(A245&lt;&gt;"",P245&lt;&gt;0),SUM(P245,$AN$8)/$AN$2*100,"")</f>
        <v/>
      </c>
      <c r="AO245" s="24" t="str">
        <f>IF(AND(A245&lt;&gt;"",Q245&lt;&gt;0),SUM(Q245,$AO$8)/$AO$2*100,"")</f>
        <v/>
      </c>
      <c r="AP245" s="24">
        <f>IF(AND(A245&lt;&gt;"",R245&lt;&gt;0),SUM(R245,$AP$8)/$AP$2*100,"")</f>
        <v>69.002659574468083</v>
      </c>
      <c r="AQ245" s="24" t="str">
        <f>IF(AND(A245&lt;&gt;"",W245&gt;0),SUM(W245,$AQ$8)/$AQ$2*100,"")</f>
        <v/>
      </c>
      <c r="AR245" s="24">
        <f>IF(AND(A245&lt;&gt;"",T245&gt;0),SUM(T245,$AR$8)/$AR$2*100,"")</f>
        <v>52.363804247460756</v>
      </c>
      <c r="AS245" s="24">
        <f>IF(AND(A245&lt;&gt;"",X245&lt;&gt;0),SUM(X245,$AS$8)/$AS$2*100,"")</f>
        <v>59.019346378263684</v>
      </c>
      <c r="AT245" s="86">
        <f>IF(A245&lt;&gt;"",SUM(W245:X245,$AT$8)/$AT$2*100,"")</f>
        <v>59.019346378263684</v>
      </c>
      <c r="AU245" s="24">
        <f>AA245</f>
        <v>78.509673189131846</v>
      </c>
      <c r="AV245" s="24"/>
      <c r="AW245" s="27">
        <f>IF(A245&lt;&gt;"",AE245-AA245,"")</f>
        <v>-19.490326810868162</v>
      </c>
      <c r="AY245" s="27">
        <f>AR245-AP245</f>
        <v>-16.638855327007327</v>
      </c>
      <c r="AZ245" s="27">
        <f>ABS(AY245)</f>
        <v>16.638855327007327</v>
      </c>
    </row>
    <row r="246" spans="1:52" s="27" customFormat="1" ht="12.75" customHeight="1" x14ac:dyDescent="0.2">
      <c r="A246" s="50">
        <v>676584</v>
      </c>
      <c r="B246" s="2">
        <v>25</v>
      </c>
      <c r="C246" s="50">
        <v>21</v>
      </c>
      <c r="D246" s="10">
        <v>22</v>
      </c>
      <c r="E246" s="10">
        <v>14</v>
      </c>
      <c r="F246" s="10">
        <v>18</v>
      </c>
      <c r="G246" s="10">
        <v>16</v>
      </c>
      <c r="H246" s="10">
        <v>22</v>
      </c>
      <c r="I246" s="10">
        <v>16</v>
      </c>
      <c r="J246" s="2"/>
      <c r="K246" s="10">
        <v>33</v>
      </c>
      <c r="L246" s="10">
        <v>44</v>
      </c>
      <c r="M246" s="10">
        <v>7</v>
      </c>
      <c r="N246" s="51">
        <v>8</v>
      </c>
      <c r="O246" s="11">
        <v>60</v>
      </c>
      <c r="P246" s="10"/>
      <c r="Q246" s="40"/>
      <c r="R246" s="2">
        <v>100</v>
      </c>
      <c r="S246" s="10">
        <f>IF(T246="",R246,MAX((R246+$R$8)/$R$2,(T246+$T$8)/$T$2)*$R$2-$R$8)</f>
        <v>113.05562267931867</v>
      </c>
      <c r="T246" s="62">
        <v>167</v>
      </c>
      <c r="U246" s="2">
        <f>IF(A246&lt;&gt;"",SUM(B246:I246),"")</f>
        <v>154</v>
      </c>
      <c r="V246" s="10">
        <f>IF(A246&lt;&gt;"",SUM(J246:O246),"")</f>
        <v>152</v>
      </c>
      <c r="W246" s="10">
        <f>IF(A246&lt;&gt;"",SUM(P246:Q246),"")</f>
        <v>0</v>
      </c>
      <c r="X246" s="10">
        <f>IF(A246&lt;&gt;"",SUM(S246:T246),"")</f>
        <v>280.05562267931867</v>
      </c>
      <c r="Y246" s="12">
        <v>3</v>
      </c>
      <c r="Z246" s="12">
        <f>IF(A246&lt;&gt;"",SUM(U246:Y246),"")</f>
        <v>589.05562267931873</v>
      </c>
      <c r="AA246" s="27">
        <f>IF(A246&lt;&gt;"",(Z246+Normalize_To_Add)/(Point_Total_So_Far)*100,"")</f>
        <v>66.415235457063716</v>
      </c>
      <c r="AB246" s="10">
        <f>IF(A246&lt;&gt;"",RANK(AA246,All_Student_XC),"")</f>
        <v>332</v>
      </c>
      <c r="AC246" s="31" t="str">
        <f>IF(A246&lt;&gt;"",CHOOSE(10-MIN(9,TRUNC((AA246+0.5)/10)),"A","B","C","D","F","F","F","F","F","F"),"")</f>
        <v>D</v>
      </c>
      <c r="AD246" s="31" t="str">
        <f>IF(A246&lt;&gt;"",IF(OR(AA246+0.5&gt;=93,AA246+0.5&lt;60),"",IF(MOD(AA246+0.5,10)&gt;=7,"+",IF(MOD(AA246+0.5,10)&lt;3,"-",""))),"")</f>
        <v/>
      </c>
      <c r="AE246" s="31">
        <f>IF(A246&lt;&gt;"",SUM(W246:X246,$W$8:$X$8)/SUM($W$2:$X$2)*100,"")</f>
        <v>71.03047091412742</v>
      </c>
      <c r="AF246" s="43" t="str">
        <f>IF(A246&lt;&gt;"",CHOOSE(10-MIN(9,TRUNC((AE246+0.5)/10)),"A","B","C","D","F","F","F","F","F","F"),"")</f>
        <v>C</v>
      </c>
      <c r="AG246" s="43" t="str">
        <f>IF(A246&lt;&gt;"",IF(OR(AE246+0.5&gt;=93,AE246+0.5&lt;60),"",IF(MOD(AE246+0.5,10)&gt;=7,"+",IF(MOD(AE246+0.5,10)&lt;3,"-",""))),"")</f>
        <v>-</v>
      </c>
      <c r="AH246" s="35">
        <f>IF(A246&lt;&gt;"",MIN(MAX(AA246,AE246),AA246+$AH$8,AE246+$AH$8),"")</f>
        <v>71.03047091412742</v>
      </c>
      <c r="AI246" s="31" t="str">
        <f>IF(A246&lt;&gt;"",CHOOSE(10-MIN(9,TRUNC((AH246+0.5)/10)),"A","B","C","D","F","F","F","F","F","F"),"")</f>
        <v>C</v>
      </c>
      <c r="AJ246" s="31" t="str">
        <f>IF(A246&lt;&gt;"",IF(OR(AH246+0.5&gt;=93,AH246+0.5&lt;60),"",IF(MOD(AH246+0.5,10)&gt;=7,"+",IF(MOD(AH246+0.5,10)&lt;3,"-",""))),"")</f>
        <v>-</v>
      </c>
      <c r="AK246" s="31" t="b">
        <f>IF(A246&lt;&gt;"",OR(AI246&lt;&gt;AC246,AJ246&lt;&gt;AD246),"")</f>
        <v>1</v>
      </c>
      <c r="AL246" s="81">
        <f>IF(AND(A246&lt;&gt;"",U246&gt;0),SUM(U246,$AL$8)/$AL$2*100,"")</f>
        <v>77</v>
      </c>
      <c r="AM246" s="24">
        <f>IF(AND(A246&lt;&gt;"",V246&gt;0),SUM(V246,$AM$8)/$AM$2*100,"")</f>
        <v>50.666666666666671</v>
      </c>
      <c r="AN246" s="24" t="str">
        <f>IF(AND(A246&lt;&gt;"",P246&lt;&gt;0),SUM(P246,$AN$8)/$AN$2*100,"")</f>
        <v/>
      </c>
      <c r="AO246" s="24" t="str">
        <f>IF(AND(A246&lt;&gt;"",Q246&lt;&gt;0),SUM(Q246,$AO$8)/$AO$2*100,"")</f>
        <v/>
      </c>
      <c r="AP246" s="24">
        <f>IF(AND(A246&lt;&gt;"",R246&lt;&gt;0),SUM(R246,$AP$8)/$AP$2*100,"")</f>
        <v>64.502659574468083</v>
      </c>
      <c r="AQ246" s="24" t="str">
        <f>IF(AND(A246&lt;&gt;"",W246&gt;0),SUM(W246,$AQ$8)/$AQ$2*100,"")</f>
        <v/>
      </c>
      <c r="AR246" s="24">
        <f>IF(AND(A246&lt;&gt;"",T246&gt;0),SUM(T246,$AR$8)/$AR$2*100,"")</f>
        <v>71.03047091412742</v>
      </c>
      <c r="AS246" s="24">
        <f>IF(AND(A246&lt;&gt;"",X246&lt;&gt;0),SUM(X246,$AS$8)/$AS$2*100,"")</f>
        <v>71.03047091412742</v>
      </c>
      <c r="AT246" s="86">
        <f>IF(A246&lt;&gt;"",SUM(W246:X246,$AT$8)/$AT$2*100,"")</f>
        <v>71.03047091412742</v>
      </c>
      <c r="AU246" s="24">
        <f>AA246</f>
        <v>66.415235457063716</v>
      </c>
      <c r="AV246" s="24"/>
      <c r="AW246" s="27">
        <f>IF(A246&lt;&gt;"",AE246-AA246,"")</f>
        <v>4.6152354570637044</v>
      </c>
      <c r="AY246" s="27">
        <f>AR246-AP246</f>
        <v>6.5278113396593369</v>
      </c>
      <c r="AZ246" s="27">
        <f>ABS(AY246)</f>
        <v>6.5278113396593369</v>
      </c>
    </row>
    <row r="247" spans="1:52" s="27" customFormat="1" ht="12.75" customHeight="1" x14ac:dyDescent="0.2">
      <c r="A247" s="50">
        <v>679196</v>
      </c>
      <c r="B247" s="2">
        <v>25</v>
      </c>
      <c r="C247" s="50">
        <v>19</v>
      </c>
      <c r="D247" s="10">
        <v>19</v>
      </c>
      <c r="E247" s="10">
        <v>18</v>
      </c>
      <c r="F247" s="10">
        <v>22</v>
      </c>
      <c r="G247" s="10">
        <v>25</v>
      </c>
      <c r="H247" s="10">
        <v>24</v>
      </c>
      <c r="I247" s="10">
        <v>26</v>
      </c>
      <c r="J247" s="2"/>
      <c r="K247" s="10">
        <v>54</v>
      </c>
      <c r="L247" s="10">
        <v>44</v>
      </c>
      <c r="M247" s="10">
        <v>13</v>
      </c>
      <c r="N247" s="51">
        <v>10</v>
      </c>
      <c r="O247" s="11">
        <v>60</v>
      </c>
      <c r="P247" s="10"/>
      <c r="Q247" s="40"/>
      <c r="R247" s="2">
        <v>92</v>
      </c>
      <c r="S247" s="10">
        <f>IF(T247="",R247,MAX((R247+$R$8)/$R$2,(T247+$T$8)/$T$2)*$R$2-$R$8)</f>
        <v>100.38895601265199</v>
      </c>
      <c r="T247" s="62">
        <v>148</v>
      </c>
      <c r="U247" s="2">
        <f>IF(A247&lt;&gt;"",SUM(B247:I247),"")</f>
        <v>178</v>
      </c>
      <c r="V247" s="10">
        <f>IF(A247&lt;&gt;"",SUM(J247:O247),"")</f>
        <v>181</v>
      </c>
      <c r="W247" s="10">
        <f>IF(A247&lt;&gt;"",SUM(P247:Q247),"")</f>
        <v>0</v>
      </c>
      <c r="X247" s="10">
        <f>IF(A247&lt;&gt;"",SUM(S247:T247),"")</f>
        <v>248.38895601265199</v>
      </c>
      <c r="Y247" s="12" t="s">
        <v>69</v>
      </c>
      <c r="Z247" s="12">
        <f>IF(A247&lt;&gt;"",SUM(U247:Y247),"")</f>
        <v>607.38895601265199</v>
      </c>
      <c r="AA247" s="27">
        <f>IF(A247&lt;&gt;"",(Z247+Normalize_To_Add)/(Point_Total_So_Far)*100,"")</f>
        <v>68.248568790397044</v>
      </c>
      <c r="AB247" s="10">
        <f>IF(A247&lt;&gt;"",RANK(AA247,All_Student_XC),"")</f>
        <v>328</v>
      </c>
      <c r="AC247" s="31" t="str">
        <f>IF(A247&lt;&gt;"",CHOOSE(10-MIN(9,TRUNC((AA247+0.5)/10)),"A","B","C","D","F","F","F","F","F","F"),"")</f>
        <v>D</v>
      </c>
      <c r="AD247" s="31" t="str">
        <f>IF(A247&lt;&gt;"",IF(OR(AA247+0.5&gt;=93,AA247+0.5&lt;60),"",IF(MOD(AA247+0.5,10)&gt;=7,"+",IF(MOD(AA247+0.5,10)&lt;3,"-",""))),"")</f>
        <v>+</v>
      </c>
      <c r="AE247" s="31">
        <f>IF(A247&lt;&gt;"",SUM(W247:X247,$W$8:$X$8)/SUM($W$2:$X$2)*100,"")</f>
        <v>64.697137580794077</v>
      </c>
      <c r="AF247" s="43" t="str">
        <f>IF(A247&lt;&gt;"",CHOOSE(10-MIN(9,TRUNC((AE247+0.5)/10)),"A","B","C","D","F","F","F","F","F","F"),"")</f>
        <v>D</v>
      </c>
      <c r="AG247" s="43" t="str">
        <f>IF(A247&lt;&gt;"",IF(OR(AE247+0.5&gt;=93,AE247+0.5&lt;60),"",IF(MOD(AE247+0.5,10)&gt;=7,"+",IF(MOD(AE247+0.5,10)&lt;3,"-",""))),"")</f>
        <v/>
      </c>
      <c r="AH247" s="35">
        <f>IF(A247&lt;&gt;"",MIN(MAX(AA247,AE247),AA247+$AH$8,AE247+$AH$8),"")</f>
        <v>68.248568790397044</v>
      </c>
      <c r="AI247" s="31" t="str">
        <f>IF(A247&lt;&gt;"",CHOOSE(10-MIN(9,TRUNC((AH247+0.5)/10)),"A","B","C","D","F","F","F","F","F","F"),"")</f>
        <v>D</v>
      </c>
      <c r="AJ247" s="31" t="str">
        <f>IF(A247&lt;&gt;"",IF(OR(AH247+0.5&gt;=93,AH247+0.5&lt;60),"",IF(MOD(AH247+0.5,10)&gt;=7,"+",IF(MOD(AH247+0.5,10)&lt;3,"-",""))),"")</f>
        <v>+</v>
      </c>
      <c r="AK247" s="31" t="b">
        <f>IF(A247&lt;&gt;"",OR(AI247&lt;&gt;AC247,AJ247&lt;&gt;AD247),"")</f>
        <v>0</v>
      </c>
      <c r="AL247" s="81">
        <f>IF(AND(A247&lt;&gt;"",U247&gt;0),SUM(U247,$AL$8)/$AL$2*100,"")</f>
        <v>89</v>
      </c>
      <c r="AM247" s="24">
        <f>IF(AND(A247&lt;&gt;"",V247&gt;0),SUM(V247,$AM$8)/$AM$2*100,"")</f>
        <v>60.333333333333336</v>
      </c>
      <c r="AN247" s="24" t="str">
        <f>IF(AND(A247&lt;&gt;"",P247&lt;&gt;0),SUM(P247,$AN$8)/$AN$2*100,"")</f>
        <v/>
      </c>
      <c r="AO247" s="24" t="str">
        <f>IF(AND(A247&lt;&gt;"",Q247&lt;&gt;0),SUM(Q247,$AO$8)/$AO$2*100,"")</f>
        <v/>
      </c>
      <c r="AP247" s="24">
        <f>IF(AND(A247&lt;&gt;"",R247&lt;&gt;0),SUM(R247,$AP$8)/$AP$2*100,"")</f>
        <v>60.50265957446809</v>
      </c>
      <c r="AQ247" s="24" t="str">
        <f>IF(AND(A247&lt;&gt;"",W247&gt;0),SUM(W247,$AQ$8)/$AQ$2*100,"")</f>
        <v/>
      </c>
      <c r="AR247" s="24">
        <f>IF(AND(A247&lt;&gt;"",T247&gt;0),SUM(T247,$AR$8)/$AR$2*100,"")</f>
        <v>64.697137580794077</v>
      </c>
      <c r="AS247" s="24">
        <f>IF(AND(A247&lt;&gt;"",X247&lt;&gt;0),SUM(X247,$AS$8)/$AS$2*100,"")</f>
        <v>64.697137580794077</v>
      </c>
      <c r="AT247" s="86">
        <f>IF(A247&lt;&gt;"",SUM(W247:X247,$AT$8)/$AT$2*100,"")</f>
        <v>64.697137580794077</v>
      </c>
      <c r="AU247" s="24">
        <f>AA247</f>
        <v>68.248568790397044</v>
      </c>
      <c r="AV247" s="24"/>
      <c r="AW247" s="27">
        <f>IF(A247&lt;&gt;"",AE247-AA247,"")</f>
        <v>-3.551431209602967</v>
      </c>
      <c r="AY247" s="27">
        <f>AR247-AP247</f>
        <v>4.194478006325987</v>
      </c>
      <c r="AZ247" s="27">
        <f>ABS(AY247)</f>
        <v>4.194478006325987</v>
      </c>
    </row>
    <row r="248" spans="1:52" s="27" customFormat="1" ht="12.75" customHeight="1" x14ac:dyDescent="0.2">
      <c r="A248" s="50">
        <v>679484</v>
      </c>
      <c r="B248" s="2">
        <v>25</v>
      </c>
      <c r="C248" s="10">
        <v>25</v>
      </c>
      <c r="D248" s="10">
        <v>24</v>
      </c>
      <c r="E248" s="10">
        <v>24</v>
      </c>
      <c r="F248" s="10">
        <v>14</v>
      </c>
      <c r="G248" s="10">
        <v>25</v>
      </c>
      <c r="H248" s="10">
        <v>24</v>
      </c>
      <c r="I248" s="10">
        <v>25</v>
      </c>
      <c r="J248" s="2"/>
      <c r="K248" s="10">
        <v>59</v>
      </c>
      <c r="L248" s="10">
        <v>58</v>
      </c>
      <c r="M248" s="10">
        <v>51</v>
      </c>
      <c r="N248" s="51">
        <v>21</v>
      </c>
      <c r="O248" s="11">
        <v>60</v>
      </c>
      <c r="P248" s="10"/>
      <c r="Q248" s="40"/>
      <c r="R248" s="2">
        <v>78</v>
      </c>
      <c r="S248" s="10">
        <f>IF(T248="",R248,MAX((R248+$R$8)/$R$2,(T248+$T$8)/$T$2)*$R$2-$R$8)</f>
        <v>108.38895601265202</v>
      </c>
      <c r="T248" s="12">
        <v>160</v>
      </c>
      <c r="U248" s="1">
        <f>IF(A248&lt;&gt;"",SUM(B248:I248),"")</f>
        <v>186</v>
      </c>
      <c r="V248" s="10">
        <f>IF(A248&lt;&gt;"",SUM(J248:O248),"")</f>
        <v>249</v>
      </c>
      <c r="W248" s="10">
        <f>IF(A248&lt;&gt;"",SUM(P248:Q248),"")</f>
        <v>0</v>
      </c>
      <c r="X248" s="10">
        <f>IF(A248&lt;&gt;"",SUM(S248:T248),"")</f>
        <v>268.38895601265199</v>
      </c>
      <c r="Y248" s="12">
        <v>3</v>
      </c>
      <c r="Z248" s="12">
        <f>IF(A248&lt;&gt;"",SUM(U248:Y248),"")</f>
        <v>706.38895601265199</v>
      </c>
      <c r="AA248" s="27">
        <f>IF(A248&lt;&gt;"",(Z248+Normalize_To_Add)/(Point_Total_So_Far)*100,"")</f>
        <v>78.14856879039705</v>
      </c>
      <c r="AB248" s="10">
        <f>IF(A248&lt;&gt;"",RANK(AA248,All_Student_XC),"")</f>
        <v>240</v>
      </c>
      <c r="AC248" s="31" t="str">
        <f>IF(A248&lt;&gt;"",CHOOSE(10-MIN(9,TRUNC((AA248+0.5)/10)),"A","B","C","D","F","F","F","F","F","F"),"")</f>
        <v>C</v>
      </c>
      <c r="AD248" s="31" t="str">
        <f>IF(A248&lt;&gt;"",IF(OR(AA248+0.5&gt;=93,AA248+0.5&lt;60),"",IF(MOD(AA248+0.5,10)&gt;=7,"+",IF(MOD(AA248+0.5,10)&lt;3,"-",""))),"")</f>
        <v>+</v>
      </c>
      <c r="AE248" s="31">
        <f>IF(A248&lt;&gt;"",SUM(W248:X248,$W$8:$X$8)/SUM($W$2:$X$2)*100,"")</f>
        <v>68.697137580794092</v>
      </c>
      <c r="AF248" s="31" t="str">
        <f>IF(A248&lt;&gt;"",CHOOSE(10-MIN(9,TRUNC((AE248+0.5)/10)),"A","B","C","D","F","F","F","F","F","F"),"")</f>
        <v>D</v>
      </c>
      <c r="AG248" s="31" t="str">
        <f>IF(A248&lt;&gt;"",IF(OR(AE248+0.5&gt;=93,AE248+0.5&lt;60),"",IF(MOD(AE248+0.5,10)&gt;=7,"+",IF(MOD(AE248+0.5,10)&lt;3,"-",""))),"")</f>
        <v>+</v>
      </c>
      <c r="AH248" s="35">
        <f>IF(A248&lt;&gt;"",MIN(MAX(AA248,AE248),AA248+$AH$8,AE248+$AH$8),"")</f>
        <v>78.14856879039705</v>
      </c>
      <c r="AI248" s="31" t="str">
        <f>IF(A248&lt;&gt;"",CHOOSE(10-MIN(9,TRUNC((AH248+0.5)/10)),"A","B","C","D","F","F","F","F","F","F"),"")</f>
        <v>C</v>
      </c>
      <c r="AJ248" s="31" t="str">
        <f>IF(A248&lt;&gt;"",IF(OR(AH248+0.5&gt;=93,AH248+0.5&lt;60),"",IF(MOD(AH248+0.5,10)&gt;=7,"+",IF(MOD(AH248+0.5,10)&lt;3,"-",""))),"")</f>
        <v>+</v>
      </c>
      <c r="AK248" s="31" t="b">
        <f>IF(A248&lt;&gt;"",OR(AI248&lt;&gt;AC248,AJ248&lt;&gt;AD248),"")</f>
        <v>0</v>
      </c>
      <c r="AL248" s="81">
        <f>IF(AND(A248&lt;&gt;"",U248&gt;0),SUM(U248,$AL$8)/$AL$2*100,"")</f>
        <v>93</v>
      </c>
      <c r="AM248" s="24">
        <f>IF(AND(A248&lt;&gt;"",V248&gt;0),SUM(V248,$AM$8)/$AM$2*100,"")</f>
        <v>83</v>
      </c>
      <c r="AN248" s="24" t="str">
        <f>IF(AND(A248&lt;&gt;"",P248&lt;&gt;0),SUM(P248,$AN$8)/$AN$2*100,"")</f>
        <v/>
      </c>
      <c r="AO248" s="24" t="str">
        <f>IF(AND(A248&lt;&gt;"",Q248&lt;&gt;0),SUM(Q248,$AO$8)/$AO$2*100,"")</f>
        <v/>
      </c>
      <c r="AP248" s="24">
        <f>IF(AND(A248&lt;&gt;"",R248&lt;&gt;0),SUM(R248,$AP$8)/$AP$2*100,"")</f>
        <v>53.502659574468083</v>
      </c>
      <c r="AQ248" s="24" t="str">
        <f>IF(AND(A248&lt;&gt;"",W248&gt;0),SUM(W248,$AQ$8)/$AQ$2*100,"")</f>
        <v/>
      </c>
      <c r="AR248" s="24">
        <f>IF(AND(A248&lt;&gt;"",T248&gt;0),SUM(T248,$AR$8)/$AR$2*100,"")</f>
        <v>68.697137580794092</v>
      </c>
      <c r="AS248" s="24">
        <f>IF(AND(A248&lt;&gt;"",X248&lt;&gt;0),SUM(X248,$AS$8)/$AS$2*100,"")</f>
        <v>68.697137580794092</v>
      </c>
      <c r="AT248" s="86">
        <f>IF(A248&lt;&gt;"",SUM(W248:X248,$AT$8)/$AT$2*100,"")</f>
        <v>68.697137580794092</v>
      </c>
      <c r="AU248" s="24">
        <f>AA248</f>
        <v>78.14856879039705</v>
      </c>
      <c r="AV248" s="24"/>
      <c r="AW248" s="27">
        <f>IF(A248&lt;&gt;"",AE248-AA248,"")</f>
        <v>-9.4514312096029585</v>
      </c>
      <c r="AY248" s="27">
        <f>AR248-AP248</f>
        <v>15.194478006326008</v>
      </c>
      <c r="AZ248" s="27">
        <f>ABS(AY248)</f>
        <v>15.194478006326008</v>
      </c>
    </row>
    <row r="249" spans="1:52" s="27" customFormat="1" ht="12.75" customHeight="1" x14ac:dyDescent="0.2">
      <c r="A249" s="50">
        <v>682756</v>
      </c>
      <c r="B249" s="2">
        <v>25</v>
      </c>
      <c r="C249" s="10">
        <v>24</v>
      </c>
      <c r="D249" s="10">
        <v>21</v>
      </c>
      <c r="E249" s="10">
        <v>25</v>
      </c>
      <c r="F249" s="10">
        <v>23</v>
      </c>
      <c r="G249" s="10">
        <v>25</v>
      </c>
      <c r="H249" s="10">
        <v>24</v>
      </c>
      <c r="I249" s="10">
        <v>23</v>
      </c>
      <c r="J249" s="2"/>
      <c r="K249" s="10">
        <v>55</v>
      </c>
      <c r="L249" s="10">
        <v>54</v>
      </c>
      <c r="M249" s="10">
        <v>57</v>
      </c>
      <c r="N249" s="51">
        <v>47</v>
      </c>
      <c r="O249" s="11">
        <v>61</v>
      </c>
      <c r="P249" s="10"/>
      <c r="Q249" s="40"/>
      <c r="R249" s="2">
        <v>109</v>
      </c>
      <c r="S249" s="10">
        <f>IF(T249="",R249,MAX((R249+$R$8)/$R$2,(T249+$T$8)/$T$2)*$R$2-$R$8)</f>
        <v>110.38895601265202</v>
      </c>
      <c r="T249" s="12">
        <v>163</v>
      </c>
      <c r="U249" s="2">
        <f>IF(A249&lt;&gt;"",SUM(B249:I249),"")</f>
        <v>190</v>
      </c>
      <c r="V249" s="10">
        <f>IF(A249&lt;&gt;"",SUM(J249:O249),"")</f>
        <v>274</v>
      </c>
      <c r="W249" s="10">
        <f>IF(A249&lt;&gt;"",SUM(P249:Q249),"")</f>
        <v>0</v>
      </c>
      <c r="X249" s="10">
        <f>IF(A249&lt;&gt;"",SUM(S249:T249),"")</f>
        <v>273.38895601265199</v>
      </c>
      <c r="Y249" s="12">
        <v>3</v>
      </c>
      <c r="Z249" s="12">
        <f>IF(A249&lt;&gt;"",SUM(U249:Y249),"")</f>
        <v>740.38895601265199</v>
      </c>
      <c r="AA249" s="27">
        <f>IF(A249&lt;&gt;"",(Z249+Normalize_To_Add)/(Point_Total_So_Far)*100,"")</f>
        <v>81.548568790397042</v>
      </c>
      <c r="AB249" s="10">
        <f>IF(A249&lt;&gt;"",RANK(AA249,All_Student_XC),"")</f>
        <v>189</v>
      </c>
      <c r="AC249" s="31" t="str">
        <f>IF(A249&lt;&gt;"",CHOOSE(10-MIN(9,TRUNC((AA249+0.5)/10)),"A","B","C","D","F","F","F","F","F","F"),"")</f>
        <v>B</v>
      </c>
      <c r="AD249" s="31" t="str">
        <f>IF(A249&lt;&gt;"",IF(OR(AA249+0.5&gt;=93,AA249+0.5&lt;60),"",IF(MOD(AA249+0.5,10)&gt;=7,"+",IF(MOD(AA249+0.5,10)&lt;3,"-",""))),"")</f>
        <v>-</v>
      </c>
      <c r="AE249" s="31">
        <f>IF(A249&lt;&gt;"",SUM(W249:X249,$W$8:$X$8)/SUM($W$2:$X$2)*100,"")</f>
        <v>69.697137580794092</v>
      </c>
      <c r="AF249" s="43" t="str">
        <f>IF(A249&lt;&gt;"",CHOOSE(10-MIN(9,TRUNC((AE249+0.5)/10)),"A","B","C","D","F","F","F","F","F","F"),"")</f>
        <v>C</v>
      </c>
      <c r="AG249" s="43" t="str">
        <f>IF(A249&lt;&gt;"",IF(OR(AE249+0.5&gt;=93,AE249+0.5&lt;60),"",IF(MOD(AE249+0.5,10)&gt;=7,"+",IF(MOD(AE249+0.5,10)&lt;3,"-",""))),"")</f>
        <v>-</v>
      </c>
      <c r="AH249" s="35">
        <f>IF(A249&lt;&gt;"",MIN(MAX(AA249,AE249),AA249+$AH$8,AE249+$AH$8),"")</f>
        <v>81.548568790397042</v>
      </c>
      <c r="AI249" s="31" t="str">
        <f>IF(A249&lt;&gt;"",CHOOSE(10-MIN(9,TRUNC((AH249+0.5)/10)),"A","B","C","D","F","F","F","F","F","F"),"")</f>
        <v>B</v>
      </c>
      <c r="AJ249" s="31" t="str">
        <f>IF(A249&lt;&gt;"",IF(OR(AH249+0.5&gt;=93,AH249+0.5&lt;60),"",IF(MOD(AH249+0.5,10)&gt;=7,"+",IF(MOD(AH249+0.5,10)&lt;3,"-",""))),"")</f>
        <v>-</v>
      </c>
      <c r="AK249" s="31" t="b">
        <f>IF(A249&lt;&gt;"",OR(AI249&lt;&gt;AC249,AJ249&lt;&gt;AD249),"")</f>
        <v>0</v>
      </c>
      <c r="AL249" s="81">
        <f>IF(AND(A249&lt;&gt;"",U249&gt;0),SUM(U249,$AL$8)/$AL$2*100,"")</f>
        <v>95</v>
      </c>
      <c r="AM249" s="24">
        <f>IF(AND(A249&lt;&gt;"",V249&gt;0),SUM(V249,$AM$8)/$AM$2*100,"")</f>
        <v>91.333333333333329</v>
      </c>
      <c r="AN249" s="24" t="str">
        <f>IF(AND(A249&lt;&gt;"",P249&lt;&gt;0),SUM(P249,$AN$8)/$AN$2*100,"")</f>
        <v/>
      </c>
      <c r="AO249" s="24" t="str">
        <f>IF(AND(A249&lt;&gt;"",Q249&lt;&gt;0),SUM(Q249,$AO$8)/$AO$2*100,"")</f>
        <v/>
      </c>
      <c r="AP249" s="24">
        <f>IF(AND(A249&lt;&gt;"",R249&lt;&gt;0),SUM(R249,$AP$8)/$AP$2*100,"")</f>
        <v>69.002659574468083</v>
      </c>
      <c r="AQ249" s="24" t="str">
        <f>IF(AND(A249&lt;&gt;"",W249&gt;0),SUM(W249,$AQ$8)/$AQ$2*100,"")</f>
        <v/>
      </c>
      <c r="AR249" s="24">
        <f>IF(AND(A249&lt;&gt;"",T249&gt;0),SUM(T249,$AR$8)/$AR$2*100,"")</f>
        <v>69.697137580794092</v>
      </c>
      <c r="AS249" s="24">
        <f>IF(AND(A249&lt;&gt;"",X249&lt;&gt;0),SUM(X249,$AS$8)/$AS$2*100,"")</f>
        <v>69.697137580794092</v>
      </c>
      <c r="AT249" s="86">
        <f>IF(A249&lt;&gt;"",SUM(W249:X249,$AT$8)/$AT$2*100,"")</f>
        <v>69.697137580794092</v>
      </c>
      <c r="AU249" s="24">
        <f>AA249</f>
        <v>81.548568790397042</v>
      </c>
      <c r="AV249" s="24"/>
      <c r="AW249" s="27">
        <f>IF(A249&lt;&gt;"",AE249-AA249,"")</f>
        <v>-11.85143120960295</v>
      </c>
      <c r="AY249" s="27">
        <f>AR249-AP249</f>
        <v>0.69447800632600831</v>
      </c>
      <c r="AZ249" s="27">
        <f>ABS(AY249)</f>
        <v>0.69447800632600831</v>
      </c>
    </row>
    <row r="250" spans="1:52" s="27" customFormat="1" ht="12.75" customHeight="1" x14ac:dyDescent="0.2">
      <c r="A250" s="50">
        <v>683274</v>
      </c>
      <c r="B250" s="2">
        <v>9</v>
      </c>
      <c r="C250" s="50">
        <v>18</v>
      </c>
      <c r="D250" s="10">
        <v>14</v>
      </c>
      <c r="E250" s="10">
        <v>17</v>
      </c>
      <c r="F250" s="10">
        <v>17</v>
      </c>
      <c r="G250" s="10">
        <v>25</v>
      </c>
      <c r="H250" s="10">
        <v>20</v>
      </c>
      <c r="I250" s="10">
        <v>23</v>
      </c>
      <c r="J250" s="2"/>
      <c r="K250" s="10">
        <v>52</v>
      </c>
      <c r="L250" s="10">
        <v>9</v>
      </c>
      <c r="M250" s="10">
        <v>60</v>
      </c>
      <c r="N250" s="51">
        <v>10</v>
      </c>
      <c r="O250" s="11">
        <v>60</v>
      </c>
      <c r="P250" s="10"/>
      <c r="Q250" s="40"/>
      <c r="R250" s="2">
        <v>111</v>
      </c>
      <c r="S250" s="10">
        <f>IF(T250="",R250,MAX((R250+$R$8)/$R$2,(T250+$T$8)/$T$2)*$R$2-$R$8)</f>
        <v>119.72228934598533</v>
      </c>
      <c r="T250" s="62">
        <v>177</v>
      </c>
      <c r="U250" s="2">
        <f>IF(A250&lt;&gt;"",SUM(B250:I250),"")</f>
        <v>143</v>
      </c>
      <c r="V250" s="10">
        <f>IF(A250&lt;&gt;"",SUM(J250:O250),"")</f>
        <v>191</v>
      </c>
      <c r="W250" s="10">
        <f>IF(A250&lt;&gt;"",SUM(P250:Q250),"")</f>
        <v>0</v>
      </c>
      <c r="X250" s="10">
        <f>IF(A250&lt;&gt;"",SUM(S250:T250),"")</f>
        <v>296.72228934598536</v>
      </c>
      <c r="Y250" s="12">
        <v>3</v>
      </c>
      <c r="Z250" s="12">
        <f>IF(A250&lt;&gt;"",SUM(U250:Y250),"")</f>
        <v>633.72228934598536</v>
      </c>
      <c r="AA250" s="27">
        <f>IF(A250&lt;&gt;"",(Z250+Normalize_To_Add)/(Point_Total_So_Far)*100,"")</f>
        <v>70.881902123730384</v>
      </c>
      <c r="AB250" s="10">
        <f>IF(A250&lt;&gt;"",RANK(AA250,All_Student_XC),"")</f>
        <v>305</v>
      </c>
      <c r="AC250" s="31" t="str">
        <f>IF(A250&lt;&gt;"",CHOOSE(10-MIN(9,TRUNC((AA250+0.5)/10)),"A","B","C","D","F","F","F","F","F","F"),"")</f>
        <v>C</v>
      </c>
      <c r="AD250" s="31" t="str">
        <f>IF(A250&lt;&gt;"",IF(OR(AA250+0.5&gt;=93,AA250+0.5&lt;60),"",IF(MOD(AA250+0.5,10)&gt;=7,"+",IF(MOD(AA250+0.5,10)&lt;3,"-",""))),"")</f>
        <v>-</v>
      </c>
      <c r="AE250" s="31">
        <f>IF(A250&lt;&gt;"",SUM(W250:X250,$W$8:$X$8)/SUM($W$2:$X$2)*100,"")</f>
        <v>74.363804247460749</v>
      </c>
      <c r="AF250" s="43" t="str">
        <f>IF(A250&lt;&gt;"",CHOOSE(10-MIN(9,TRUNC((AE250+0.5)/10)),"A","B","C","D","F","F","F","F","F","F"),"")</f>
        <v>C</v>
      </c>
      <c r="AG250" s="43" t="str">
        <f>IF(A250&lt;&gt;"",IF(OR(AE250+0.5&gt;=93,AE250+0.5&lt;60),"",IF(MOD(AE250+0.5,10)&gt;=7,"+",IF(MOD(AE250+0.5,10)&lt;3,"-",""))),"")</f>
        <v/>
      </c>
      <c r="AH250" s="35">
        <f>IF(A250&lt;&gt;"",MIN(MAX(AA250,AE250),AA250+$AH$8,AE250+$AH$8),"")</f>
        <v>74.363804247460749</v>
      </c>
      <c r="AI250" s="31" t="str">
        <f>IF(A250&lt;&gt;"",CHOOSE(10-MIN(9,TRUNC((AH250+0.5)/10)),"A","B","C","D","F","F","F","F","F","F"),"")</f>
        <v>C</v>
      </c>
      <c r="AJ250" s="31" t="str">
        <f>IF(A250&lt;&gt;"",IF(OR(AH250+0.5&gt;=93,AH250+0.5&lt;60),"",IF(MOD(AH250+0.5,10)&gt;=7,"+",IF(MOD(AH250+0.5,10)&lt;3,"-",""))),"")</f>
        <v/>
      </c>
      <c r="AK250" s="31" t="b">
        <f>IF(A250&lt;&gt;"",OR(AI250&lt;&gt;AC250,AJ250&lt;&gt;AD250),"")</f>
        <v>1</v>
      </c>
      <c r="AL250" s="81">
        <f>IF(AND(A250&lt;&gt;"",U250&gt;0),SUM(U250,$AL$8)/$AL$2*100,"")</f>
        <v>71.5</v>
      </c>
      <c r="AM250" s="24">
        <f>IF(AND(A250&lt;&gt;"",V250&gt;0),SUM(V250,$AM$8)/$AM$2*100,"")</f>
        <v>63.666666666666671</v>
      </c>
      <c r="AN250" s="24" t="str">
        <f>IF(AND(A250&lt;&gt;"",P250&lt;&gt;0),SUM(P250,$AN$8)/$AN$2*100,"")</f>
        <v/>
      </c>
      <c r="AO250" s="24" t="str">
        <f>IF(AND(A250&lt;&gt;"",Q250&lt;&gt;0),SUM(Q250,$AO$8)/$AO$2*100,"")</f>
        <v/>
      </c>
      <c r="AP250" s="24">
        <f>IF(AND(A250&lt;&gt;"",R250&lt;&gt;0),SUM(R250,$AP$8)/$AP$2*100,"")</f>
        <v>70.002659574468083</v>
      </c>
      <c r="AQ250" s="24" t="str">
        <f>IF(AND(A250&lt;&gt;"",W250&gt;0),SUM(W250,$AQ$8)/$AQ$2*100,"")</f>
        <v/>
      </c>
      <c r="AR250" s="24">
        <f>IF(AND(A250&lt;&gt;"",T250&gt;0),SUM(T250,$AR$8)/$AR$2*100,"")</f>
        <v>74.363804247460749</v>
      </c>
      <c r="AS250" s="24">
        <f>IF(AND(A250&lt;&gt;"",X250&lt;&gt;0),SUM(X250,$AS$8)/$AS$2*100,"")</f>
        <v>74.363804247460749</v>
      </c>
      <c r="AT250" s="86">
        <f>IF(A250&lt;&gt;"",SUM(W250:X250,$AT$8)/$AT$2*100,"")</f>
        <v>74.363804247460749</v>
      </c>
      <c r="AU250" s="24">
        <f>AA250</f>
        <v>70.881902123730384</v>
      </c>
      <c r="AV250" s="24"/>
      <c r="AW250" s="27">
        <f>IF(A250&lt;&gt;"",AE250-AA250,"")</f>
        <v>3.4819021237303645</v>
      </c>
      <c r="AY250" s="27">
        <f>AR250-AP250</f>
        <v>4.3611446729926655</v>
      </c>
      <c r="AZ250" s="27">
        <f>ABS(AY250)</f>
        <v>4.3611446729926655</v>
      </c>
    </row>
    <row r="251" spans="1:52" s="27" customFormat="1" ht="12.75" customHeight="1" x14ac:dyDescent="0.2">
      <c r="A251" s="50">
        <v>687450</v>
      </c>
      <c r="B251" s="2">
        <v>16</v>
      </c>
      <c r="C251" s="50">
        <v>25</v>
      </c>
      <c r="D251" s="10">
        <v>15</v>
      </c>
      <c r="E251" s="10">
        <v>19</v>
      </c>
      <c r="F251" s="10">
        <v>11</v>
      </c>
      <c r="G251" s="10">
        <v>0</v>
      </c>
      <c r="H251" s="10">
        <v>21</v>
      </c>
      <c r="I251" s="10">
        <v>25</v>
      </c>
      <c r="J251" s="2"/>
      <c r="K251" s="10">
        <v>60</v>
      </c>
      <c r="L251" s="10">
        <v>27</v>
      </c>
      <c r="M251" s="10">
        <v>0</v>
      </c>
      <c r="N251" s="51">
        <v>51</v>
      </c>
      <c r="O251" s="11">
        <v>25</v>
      </c>
      <c r="P251" s="10"/>
      <c r="Q251" s="40"/>
      <c r="R251" s="2">
        <v>78</v>
      </c>
      <c r="S251" s="10">
        <f>IF(T251="",R251,MAX((R251+$R$8)/$R$2,(T251+$T$8)/$T$2)*$R$2-$R$8)</f>
        <v>99.722289345985331</v>
      </c>
      <c r="T251" s="62">
        <v>147</v>
      </c>
      <c r="U251" s="2">
        <f>IF(A251&lt;&gt;"",SUM(B251:I251),"")</f>
        <v>132</v>
      </c>
      <c r="V251" s="10">
        <f>IF(A251&lt;&gt;"",SUM(J251:O251),"")</f>
        <v>163</v>
      </c>
      <c r="W251" s="10">
        <f>IF(A251&lt;&gt;"",SUM(P251:Q251),"")</f>
        <v>0</v>
      </c>
      <c r="X251" s="10">
        <f>IF(A251&lt;&gt;"",SUM(S251:T251),"")</f>
        <v>246.72228934598533</v>
      </c>
      <c r="Y251" s="12">
        <v>3</v>
      </c>
      <c r="Z251" s="12">
        <f>IF(A251&lt;&gt;"",SUM(U251:Y251),"")</f>
        <v>544.72228934598536</v>
      </c>
      <c r="AA251" s="27">
        <f>IF(A251&lt;&gt;"",(Z251+Normalize_To_Add)/(Point_Total_So_Far)*100,"")</f>
        <v>61.981902123730379</v>
      </c>
      <c r="AB251" s="10">
        <f>IF(A251&lt;&gt;"",RANK(AA251,All_Student_XC),"")</f>
        <v>340</v>
      </c>
      <c r="AC251" s="31" t="str">
        <f>IF(A251&lt;&gt;"",CHOOSE(10-MIN(9,TRUNC((AA251+0.5)/10)),"A","B","C","D","F","F","F","F","F","F"),"")</f>
        <v>D</v>
      </c>
      <c r="AD251" s="31" t="str">
        <f>IF(A251&lt;&gt;"",IF(OR(AA251+0.5&gt;=93,AA251+0.5&lt;60),"",IF(MOD(AA251+0.5,10)&gt;=7,"+",IF(MOD(AA251+0.5,10)&lt;3,"-",""))),"")</f>
        <v>-</v>
      </c>
      <c r="AE251" s="31">
        <f>IF(A251&lt;&gt;"",SUM(W251:X251,$W$8:$X$8)/SUM($W$2:$X$2)*100,"")</f>
        <v>64.363804247460749</v>
      </c>
      <c r="AF251" s="43" t="str">
        <f>IF(A251&lt;&gt;"",CHOOSE(10-MIN(9,TRUNC((AE251+0.5)/10)),"A","B","C","D","F","F","F","F","F","F"),"")</f>
        <v>D</v>
      </c>
      <c r="AG251" s="43" t="str">
        <f>IF(A251&lt;&gt;"",IF(OR(AE251+0.5&gt;=93,AE251+0.5&lt;60),"",IF(MOD(AE251+0.5,10)&gt;=7,"+",IF(MOD(AE251+0.5,10)&lt;3,"-",""))),"")</f>
        <v/>
      </c>
      <c r="AH251" s="35">
        <f>IF(A251&lt;&gt;"",MIN(MAX(AA251,AE251),AA251+$AH$8,AE251+$AH$8),"")</f>
        <v>64.363804247460749</v>
      </c>
      <c r="AI251" s="31" t="str">
        <f>IF(A251&lt;&gt;"",CHOOSE(10-MIN(9,TRUNC((AH251+0.5)/10)),"A","B","C","D","F","F","F","F","F","F"),"")</f>
        <v>D</v>
      </c>
      <c r="AJ251" s="31" t="str">
        <f>IF(A251&lt;&gt;"",IF(OR(AH251+0.5&gt;=93,AH251+0.5&lt;60),"",IF(MOD(AH251+0.5,10)&gt;=7,"+",IF(MOD(AH251+0.5,10)&lt;3,"-",""))),"")</f>
        <v/>
      </c>
      <c r="AK251" s="31" t="b">
        <f>IF(A251&lt;&gt;"",OR(AI251&lt;&gt;AC251,AJ251&lt;&gt;AD251),"")</f>
        <v>1</v>
      </c>
      <c r="AL251" s="81">
        <f>IF(AND(A251&lt;&gt;"",U251&gt;0),SUM(U251,$AL$8)/$AL$2*100,"")</f>
        <v>66</v>
      </c>
      <c r="AM251" s="24">
        <f>IF(AND(A251&lt;&gt;"",V251&gt;0),SUM(V251,$AM$8)/$AM$2*100,"")</f>
        <v>54.333333333333336</v>
      </c>
      <c r="AN251" s="24" t="str">
        <f>IF(AND(A251&lt;&gt;"",P251&lt;&gt;0),SUM(P251,$AN$8)/$AN$2*100,"")</f>
        <v/>
      </c>
      <c r="AO251" s="24" t="str">
        <f>IF(AND(A251&lt;&gt;"",Q251&lt;&gt;0),SUM(Q251,$AO$8)/$AO$2*100,"")</f>
        <v/>
      </c>
      <c r="AP251" s="24">
        <f>IF(AND(A251&lt;&gt;"",R251&lt;&gt;0),SUM(R251,$AP$8)/$AP$2*100,"")</f>
        <v>53.502659574468083</v>
      </c>
      <c r="AQ251" s="24" t="str">
        <f>IF(AND(A251&lt;&gt;"",W251&gt;0),SUM(W251,$AQ$8)/$AQ$2*100,"")</f>
        <v/>
      </c>
      <c r="AR251" s="24">
        <f>IF(AND(A251&lt;&gt;"",T251&gt;0),SUM(T251,$AR$8)/$AR$2*100,"")</f>
        <v>64.363804247460749</v>
      </c>
      <c r="AS251" s="24">
        <f>IF(AND(A251&lt;&gt;"",X251&lt;&gt;0),SUM(X251,$AS$8)/$AS$2*100,"")</f>
        <v>64.363804247460749</v>
      </c>
      <c r="AT251" s="86">
        <f>IF(A251&lt;&gt;"",SUM(W251:X251,$AT$8)/$AT$2*100,"")</f>
        <v>64.363804247460749</v>
      </c>
      <c r="AU251" s="24">
        <f>AA251</f>
        <v>61.981902123730379</v>
      </c>
      <c r="AV251" s="24"/>
      <c r="AW251" s="27">
        <f>IF(A251&lt;&gt;"",AE251-AA251,"")</f>
        <v>2.3819021237303701</v>
      </c>
      <c r="AY251" s="27">
        <f>AR251-AP251</f>
        <v>10.861144672992666</v>
      </c>
      <c r="AZ251" s="27">
        <f>ABS(AY251)</f>
        <v>10.861144672992666</v>
      </c>
    </row>
    <row r="252" spans="1:52" s="27" customFormat="1" ht="12.75" customHeight="1" x14ac:dyDescent="0.2">
      <c r="A252" s="50">
        <v>687614</v>
      </c>
      <c r="B252" s="2">
        <v>20</v>
      </c>
      <c r="C252" s="50">
        <v>25</v>
      </c>
      <c r="D252" s="10">
        <v>20</v>
      </c>
      <c r="E252" s="10">
        <v>10</v>
      </c>
      <c r="F252" s="10">
        <v>16</v>
      </c>
      <c r="G252" s="10">
        <v>25</v>
      </c>
      <c r="H252" s="10">
        <v>12</v>
      </c>
      <c r="I252" s="10">
        <v>21</v>
      </c>
      <c r="J252" s="2"/>
      <c r="K252" s="10">
        <v>47</v>
      </c>
      <c r="L252" s="10">
        <v>58</v>
      </c>
      <c r="M252" s="10">
        <v>60</v>
      </c>
      <c r="N252" s="51">
        <v>38</v>
      </c>
      <c r="O252" s="11">
        <v>60</v>
      </c>
      <c r="P252" s="10"/>
      <c r="Q252" s="40"/>
      <c r="R252" s="2">
        <v>119</v>
      </c>
      <c r="S252" s="10">
        <f>IF(T252="",R252,MAX((R252+$R$8)/$R$2,(T252+$T$8)/$T$2)*$R$2-$R$8)</f>
        <v>119</v>
      </c>
      <c r="T252" s="62">
        <v>172</v>
      </c>
      <c r="U252" s="2">
        <f>IF(A252&lt;&gt;"",SUM(B252:I252),"")</f>
        <v>149</v>
      </c>
      <c r="V252" s="10">
        <f>IF(A252&lt;&gt;"",SUM(J252:O252),"")</f>
        <v>263</v>
      </c>
      <c r="W252" s="10">
        <f>IF(A252&lt;&gt;"",SUM(P252:Q252),"")</f>
        <v>0</v>
      </c>
      <c r="X252" s="10">
        <f>IF(A252&lt;&gt;"",SUM(S252:T252),"")</f>
        <v>291</v>
      </c>
      <c r="Y252" s="12" t="s">
        <v>69</v>
      </c>
      <c r="Z252" s="12">
        <f>IF(A252&lt;&gt;"",SUM(U252:Y252),"")</f>
        <v>703</v>
      </c>
      <c r="AA252" s="27">
        <f>IF(A252&lt;&gt;"",(Z252+Normalize_To_Add)/(Point_Total_So_Far)*100,"")</f>
        <v>77.809673189131843</v>
      </c>
      <c r="AB252" s="10">
        <f>IF(A252&lt;&gt;"",RANK(AA252,All_Student_XC),"")</f>
        <v>244</v>
      </c>
      <c r="AC252" s="31" t="str">
        <f>IF(A252&lt;&gt;"",CHOOSE(10-MIN(9,TRUNC((AA252+0.5)/10)),"A","B","C","D","F","F","F","F","F","F"),"")</f>
        <v>C</v>
      </c>
      <c r="AD252" s="31" t="str">
        <f>IF(A252&lt;&gt;"",IF(OR(AA252+0.5&gt;=93,AA252+0.5&lt;60),"",IF(MOD(AA252+0.5,10)&gt;=7,"+",IF(MOD(AA252+0.5,10)&lt;3,"-",""))),"")</f>
        <v>+</v>
      </c>
      <c r="AE252" s="31">
        <f>IF(A252&lt;&gt;"",SUM(W252:X252,$W$8:$X$8)/SUM($W$2:$X$2)*100,"")</f>
        <v>73.21934637826368</v>
      </c>
      <c r="AF252" s="43" t="str">
        <f>IF(A252&lt;&gt;"",CHOOSE(10-MIN(9,TRUNC((AE252+0.5)/10)),"A","B","C","D","F","F","F","F","F","F"),"")</f>
        <v>C</v>
      </c>
      <c r="AG252" s="43" t="str">
        <f>IF(A252&lt;&gt;"",IF(OR(AE252+0.5&gt;=93,AE252+0.5&lt;60),"",IF(MOD(AE252+0.5,10)&gt;=7,"+",IF(MOD(AE252+0.5,10)&lt;3,"-",""))),"")</f>
        <v/>
      </c>
      <c r="AH252" s="35">
        <f>IF(A252&lt;&gt;"",MIN(MAX(AA252,AE252),AA252+$AH$8,AE252+$AH$8),"")</f>
        <v>77.809673189131843</v>
      </c>
      <c r="AI252" s="31" t="str">
        <f>IF(A252&lt;&gt;"",CHOOSE(10-MIN(9,TRUNC((AH252+0.5)/10)),"A","B","C","D","F","F","F","F","F","F"),"")</f>
        <v>C</v>
      </c>
      <c r="AJ252" s="31" t="str">
        <f>IF(A252&lt;&gt;"",IF(OR(AH252+0.5&gt;=93,AH252+0.5&lt;60),"",IF(MOD(AH252+0.5,10)&gt;=7,"+",IF(MOD(AH252+0.5,10)&lt;3,"-",""))),"")</f>
        <v>+</v>
      </c>
      <c r="AK252" s="31" t="b">
        <f>IF(A252&lt;&gt;"",OR(AI252&lt;&gt;AC252,AJ252&lt;&gt;AD252),"")</f>
        <v>0</v>
      </c>
      <c r="AL252" s="81">
        <f>IF(AND(A252&lt;&gt;"",U252&gt;0),SUM(U252,$AL$8)/$AL$2*100,"")</f>
        <v>74.5</v>
      </c>
      <c r="AM252" s="24">
        <f>IF(AND(A252&lt;&gt;"",V252&gt;0),SUM(V252,$AM$8)/$AM$2*100,"")</f>
        <v>87.666666666666671</v>
      </c>
      <c r="AN252" s="24" t="str">
        <f>IF(AND(A252&lt;&gt;"",P252&lt;&gt;0),SUM(P252,$AN$8)/$AN$2*100,"")</f>
        <v/>
      </c>
      <c r="AO252" s="24" t="str">
        <f>IF(AND(A252&lt;&gt;"",Q252&lt;&gt;0),SUM(Q252,$AO$8)/$AO$2*100,"")</f>
        <v/>
      </c>
      <c r="AP252" s="24">
        <f>IF(AND(A252&lt;&gt;"",R252&lt;&gt;0),SUM(R252,$AP$8)/$AP$2*100,"")</f>
        <v>74.002659574468083</v>
      </c>
      <c r="AQ252" s="24" t="str">
        <f>IF(AND(A252&lt;&gt;"",W252&gt;0),SUM(W252,$AQ$8)/$AQ$2*100,"")</f>
        <v/>
      </c>
      <c r="AR252" s="24">
        <f>IF(AND(A252&lt;&gt;"",T252&gt;0),SUM(T252,$AR$8)/$AR$2*100,"")</f>
        <v>72.697137580794092</v>
      </c>
      <c r="AS252" s="24">
        <f>IF(AND(A252&lt;&gt;"",X252&lt;&gt;0),SUM(X252,$AS$8)/$AS$2*100,"")</f>
        <v>73.21934637826368</v>
      </c>
      <c r="AT252" s="86">
        <f>IF(A252&lt;&gt;"",SUM(W252:X252,$AT$8)/$AT$2*100,"")</f>
        <v>73.21934637826368</v>
      </c>
      <c r="AU252" s="24">
        <f>AA252</f>
        <v>77.809673189131843</v>
      </c>
      <c r="AV252" s="24"/>
      <c r="AW252" s="27">
        <f>IF(A252&lt;&gt;"",AE252-AA252,"")</f>
        <v>-4.590326810868163</v>
      </c>
      <c r="AY252" s="27">
        <f>AR252-AP252</f>
        <v>-1.3055219936739917</v>
      </c>
      <c r="AZ252" s="27">
        <f>ABS(AY252)</f>
        <v>1.3055219936739917</v>
      </c>
    </row>
    <row r="253" spans="1:52" s="27" customFormat="1" ht="12.75" customHeight="1" x14ac:dyDescent="0.2">
      <c r="A253" s="10">
        <v>689650</v>
      </c>
      <c r="B253" s="2">
        <v>25</v>
      </c>
      <c r="C253" s="10">
        <v>22</v>
      </c>
      <c r="D253" s="10">
        <v>22</v>
      </c>
      <c r="E253" s="10">
        <v>25</v>
      </c>
      <c r="F253" s="10">
        <v>25</v>
      </c>
      <c r="G253" s="10">
        <v>25</v>
      </c>
      <c r="H253" s="10">
        <v>24</v>
      </c>
      <c r="I253" s="10">
        <v>25</v>
      </c>
      <c r="J253" s="2"/>
      <c r="K253" s="10">
        <v>55</v>
      </c>
      <c r="L253" s="10">
        <v>62</v>
      </c>
      <c r="M253" s="10">
        <v>60</v>
      </c>
      <c r="N253" s="51">
        <v>55</v>
      </c>
      <c r="O253" s="11">
        <v>62</v>
      </c>
      <c r="P253" s="10"/>
      <c r="Q253" s="40"/>
      <c r="R253" s="2">
        <v>137</v>
      </c>
      <c r="S253" s="10">
        <f>IF(T253="",R253,MAX((R253+$R$8)/$R$2,(T253+$T$8)/$T$2)*$R$2-$R$8)</f>
        <v>137.05562267931867</v>
      </c>
      <c r="T253" s="12">
        <v>203</v>
      </c>
      <c r="U253" s="68">
        <f>IF(A253&lt;&gt;"",SUM(B253:I253),"")</f>
        <v>193</v>
      </c>
      <c r="V253" s="10">
        <f>IF(A253&lt;&gt;"",SUM(J253:O253),"")</f>
        <v>294</v>
      </c>
      <c r="W253" s="10">
        <f>IF(A253&lt;&gt;"",SUM(P253:Q253),"")</f>
        <v>0</v>
      </c>
      <c r="X253" s="10">
        <f>IF(A253&lt;&gt;"",SUM(S253:T253),"")</f>
        <v>340.05562267931867</v>
      </c>
      <c r="Y253" s="12">
        <v>3</v>
      </c>
      <c r="Z253" s="12">
        <f>IF(A253&lt;&gt;"",SUM(U253:Y253),"")</f>
        <v>830.05562267931873</v>
      </c>
      <c r="AA253" s="27">
        <f>IF(A253&lt;&gt;"",(Z253+Normalize_To_Add)/(Point_Total_So_Far)*100,"")</f>
        <v>90.51523545706371</v>
      </c>
      <c r="AB253" s="10">
        <f>IF(A253&lt;&gt;"",RANK(AA253,All_Student_XC),"")</f>
        <v>70</v>
      </c>
      <c r="AC253" s="31" t="str">
        <f>IF(A253&lt;&gt;"",CHOOSE(10-MIN(9,TRUNC((AA253+0.5)/10)),"A","B","C","D","F","F","F","F","F","F"),"")</f>
        <v>A</v>
      </c>
      <c r="AD253" s="31" t="str">
        <f>IF(A253&lt;&gt;"",IF(OR(AA253+0.5&gt;=93,AA253+0.5&lt;60),"",IF(MOD(AA253+0.5,10)&gt;=7,"+",IF(MOD(AA253+0.5,10)&lt;3,"-",""))),"")</f>
        <v>-</v>
      </c>
      <c r="AE253" s="31">
        <f>IF(A253&lt;&gt;"",SUM(W253:X253,$W$8:$X$8)/SUM($W$2:$X$2)*100,"")</f>
        <v>83.03047091412742</v>
      </c>
      <c r="AF253" s="31" t="str">
        <f>IF(A253&lt;&gt;"",CHOOSE(10-MIN(9,TRUNC((AE253+0.5)/10)),"A","B","C","D","F","F","F","F","F","F"),"")</f>
        <v>B</v>
      </c>
      <c r="AG253" s="31" t="str">
        <f>IF(A253&lt;&gt;"",IF(OR(AE253+0.5&gt;=93,AE253+0.5&lt;60),"",IF(MOD(AE253+0.5,10)&gt;=7,"+",IF(MOD(AE253+0.5,10)&lt;3,"-",""))),"")</f>
        <v/>
      </c>
      <c r="AH253" s="35">
        <f>IF(A253&lt;&gt;"",MIN(MAX(AA253,AE253),AA253+$AH$8,AE253+$AH$8),"")</f>
        <v>90.51523545706371</v>
      </c>
      <c r="AI253" s="31" t="str">
        <f>IF(A253&lt;&gt;"",CHOOSE(10-MIN(9,TRUNC((AH253+0.5)/10)),"A","B","C","D","F","F","F","F","F","F"),"")</f>
        <v>A</v>
      </c>
      <c r="AJ253" s="31" t="str">
        <f>IF(A253&lt;&gt;"",IF(OR(AH253+0.5&gt;=93,AH253+0.5&lt;60),"",IF(MOD(AH253+0.5,10)&gt;=7,"+",IF(MOD(AH253+0.5,10)&lt;3,"-",""))),"")</f>
        <v>-</v>
      </c>
      <c r="AK253" s="31" t="b">
        <f>IF(A253&lt;&gt;"",OR(AI253&lt;&gt;AC253,AJ253&lt;&gt;AD253),"")</f>
        <v>0</v>
      </c>
      <c r="AL253" s="81">
        <f>IF(AND(A253&lt;&gt;"",U253&gt;0),SUM(U253,$AL$8)/$AL$2*100,"")</f>
        <v>96.5</v>
      </c>
      <c r="AM253" s="24">
        <f>IF(AND(A253&lt;&gt;"",V253&gt;0),SUM(V253,$AM$8)/$AM$2*100,"")</f>
        <v>98</v>
      </c>
      <c r="AN253" s="24" t="str">
        <f>IF(AND(A253&lt;&gt;"",P253&lt;&gt;0),SUM(P253,$AN$8)/$AN$2*100,"")</f>
        <v/>
      </c>
      <c r="AO253" s="24" t="str">
        <f>IF(AND(A253&lt;&gt;"",Q253&lt;&gt;0),SUM(Q253,$AO$8)/$AO$2*100,"")</f>
        <v/>
      </c>
      <c r="AP253" s="24">
        <f>IF(AND(A253&lt;&gt;"",R253&lt;&gt;0),SUM(R253,$AP$8)/$AP$2*100,"")</f>
        <v>83.002659574468083</v>
      </c>
      <c r="AQ253" s="24" t="str">
        <f>IF(AND(A253&lt;&gt;"",W253&gt;0),SUM(W253,$AQ$8)/$AQ$2*100,"")</f>
        <v/>
      </c>
      <c r="AR253" s="24">
        <f>IF(AND(A253&lt;&gt;"",T253&gt;0),SUM(T253,$AR$8)/$AR$2*100,"")</f>
        <v>83.03047091412742</v>
      </c>
      <c r="AS253" s="24">
        <f>IF(AND(A253&lt;&gt;"",X253&lt;&gt;0),SUM(X253,$AS$8)/$AS$2*100,"")</f>
        <v>83.03047091412742</v>
      </c>
      <c r="AT253" s="86">
        <f>IF(A253&lt;&gt;"",SUM(W253:X253,$AT$8)/$AT$2*100,"")</f>
        <v>83.03047091412742</v>
      </c>
      <c r="AU253" s="24">
        <f>AA253</f>
        <v>90.51523545706371</v>
      </c>
      <c r="AV253" s="24"/>
      <c r="AW253" s="27">
        <f>IF(A253&lt;&gt;"",AE253-AA253,"")</f>
        <v>-7.4847645429362899</v>
      </c>
      <c r="AY253" s="27">
        <f>AR253-AP253</f>
        <v>2.7811339659336909E-2</v>
      </c>
      <c r="AZ253" s="27">
        <f>ABS(AY253)</f>
        <v>2.7811339659336909E-2</v>
      </c>
    </row>
    <row r="254" spans="1:52" s="27" customFormat="1" ht="12.75" customHeight="1" x14ac:dyDescent="0.2">
      <c r="A254" s="10">
        <v>691416</v>
      </c>
      <c r="B254" s="2">
        <v>25</v>
      </c>
      <c r="C254" s="10">
        <v>25</v>
      </c>
      <c r="D254" s="10">
        <v>24</v>
      </c>
      <c r="E254" s="10">
        <v>25</v>
      </c>
      <c r="F254" s="10">
        <v>25</v>
      </c>
      <c r="G254" s="10">
        <v>25</v>
      </c>
      <c r="H254" s="10">
        <v>22</v>
      </c>
      <c r="I254" s="10">
        <v>25</v>
      </c>
      <c r="J254" s="2"/>
      <c r="K254" s="10">
        <v>57</v>
      </c>
      <c r="L254" s="10">
        <v>60</v>
      </c>
      <c r="M254" s="10">
        <v>58</v>
      </c>
      <c r="N254" s="10">
        <v>58</v>
      </c>
      <c r="O254" s="11">
        <v>62</v>
      </c>
      <c r="P254" s="40"/>
      <c r="Q254" s="40"/>
      <c r="R254" s="2">
        <v>110</v>
      </c>
      <c r="S254" s="10">
        <f>IF(T254="",R254,MAX((R254+$R$8)/$R$2,(T254+$T$8)/$T$2)*$R$2-$R$8)</f>
        <v>117.05562267931867</v>
      </c>
      <c r="T254" s="12">
        <v>173</v>
      </c>
      <c r="U254" s="1">
        <f>IF(A254&lt;&gt;"",SUM(B254:I254),"")</f>
        <v>196</v>
      </c>
      <c r="V254" s="10">
        <f>IF(A254&lt;&gt;"",SUM(J254:O254),"")</f>
        <v>295</v>
      </c>
      <c r="W254" s="10">
        <f>IF(A254&lt;&gt;"",SUM(P254:Q254),"")</f>
        <v>0</v>
      </c>
      <c r="X254" s="10">
        <f>IF(A254&lt;&gt;"",SUM(S254:T254),"")</f>
        <v>290.05562267931867</v>
      </c>
      <c r="Y254" s="12">
        <v>3</v>
      </c>
      <c r="Z254" s="12">
        <f>IF(A254&lt;&gt;"",SUM(U254:Y254),"")</f>
        <v>784.05562267931873</v>
      </c>
      <c r="AA254" s="27">
        <f>IF(A254&lt;&gt;"",(Z254+Normalize_To_Add)/(Point_Total_So_Far)*100,"")</f>
        <v>85.915235457063716</v>
      </c>
      <c r="AB254" s="10">
        <f>IF(A254&lt;&gt;"",RANK(AA254,All_Student_XC),"")</f>
        <v>141</v>
      </c>
      <c r="AC254" s="31" t="str">
        <f>IF(A254&lt;&gt;"",CHOOSE(10-MIN(9,TRUNC((AA254+0.5)/10)),"A","B","C","D","F","F","F","F","F","F"),"")</f>
        <v>B</v>
      </c>
      <c r="AD254" s="31" t="str">
        <f>IF(A254&lt;&gt;"",IF(OR(AA254+0.5&gt;=93,AA254+0.5&lt;60),"",IF(MOD(AA254+0.5,10)&gt;=7,"+",IF(MOD(AA254+0.5,10)&lt;3,"-",""))),"")</f>
        <v/>
      </c>
      <c r="AE254" s="31">
        <f>IF(A254&lt;&gt;"",SUM(W254:X254,$W$8:$X$8)/SUM($W$2:$X$2)*100,"")</f>
        <v>73.03047091412742</v>
      </c>
      <c r="AF254" s="31" t="str">
        <f>IF(A254&lt;&gt;"",CHOOSE(10-MIN(9,TRUNC((AE254+0.5)/10)),"A","B","C","D","F","F","F","F","F","F"),"")</f>
        <v>C</v>
      </c>
      <c r="AG254" s="31" t="str">
        <f>IF(A254&lt;&gt;"",IF(OR(AE254+0.5&gt;=93,AE254+0.5&lt;60),"",IF(MOD(AE254+0.5,10)&gt;=7,"+",IF(MOD(AE254+0.5,10)&lt;3,"-",""))),"")</f>
        <v/>
      </c>
      <c r="AH254" s="35">
        <f>IF(A254&lt;&gt;"",MIN(MAX(AA254,AE254),AA254+$AH$8,AE254+$AH$8),"")</f>
        <v>85.915235457063716</v>
      </c>
      <c r="AI254" s="31" t="str">
        <f>IF(A254&lt;&gt;"",CHOOSE(10-MIN(9,TRUNC((AH254+0.5)/10)),"A","B","C","D","F","F","F","F","F","F"),"")</f>
        <v>B</v>
      </c>
      <c r="AJ254" s="31" t="str">
        <f>IF(A254&lt;&gt;"",IF(OR(AH254+0.5&gt;=93,AH254+0.5&lt;60),"",IF(MOD(AH254+0.5,10)&gt;=7,"+",IF(MOD(AH254+0.5,10)&lt;3,"-",""))),"")</f>
        <v/>
      </c>
      <c r="AK254" s="31" t="b">
        <f>IF(A254&lt;&gt;"",OR(AI254&lt;&gt;AC254,AJ254&lt;&gt;AD254),"")</f>
        <v>0</v>
      </c>
      <c r="AL254" s="81">
        <f>IF(AND(A254&lt;&gt;"",U254&gt;0),SUM(U254,$AL$8)/$AL$2*100,"")</f>
        <v>98</v>
      </c>
      <c r="AM254" s="24">
        <f>IF(AND(A254&lt;&gt;"",V254&gt;0),SUM(V254,$AM$8)/$AM$2*100,"")</f>
        <v>98.333333333333329</v>
      </c>
      <c r="AN254" s="24" t="str">
        <f>IF(AND(A254&lt;&gt;"",P254&lt;&gt;0),SUM(P254,$AN$8)/$AN$2*100,"")</f>
        <v/>
      </c>
      <c r="AO254" s="24" t="str">
        <f>IF(AND(A254&lt;&gt;"",Q254&lt;&gt;0),SUM(Q254,$AO$8)/$AO$2*100,"")</f>
        <v/>
      </c>
      <c r="AP254" s="24">
        <f>IF(AND(A254&lt;&gt;"",R254&lt;&gt;0),SUM(R254,$AP$8)/$AP$2*100,"")</f>
        <v>69.502659574468083</v>
      </c>
      <c r="AQ254" s="24" t="str">
        <f>IF(AND(A254&lt;&gt;"",W254&gt;0),SUM(W254,$AQ$8)/$AQ$2*100,"")</f>
        <v/>
      </c>
      <c r="AR254" s="24">
        <f>IF(AND(A254&lt;&gt;"",T254&gt;0),SUM(T254,$AR$8)/$AR$2*100,"")</f>
        <v>73.03047091412742</v>
      </c>
      <c r="AS254" s="24">
        <f>IF(AND(A254&lt;&gt;"",X254&lt;&gt;0),SUM(X254,$AS$8)/$AS$2*100,"")</f>
        <v>73.03047091412742</v>
      </c>
      <c r="AT254" s="86">
        <f>IF(A254&lt;&gt;"",SUM(W254:X254,$AT$8)/$AT$2*100,"")</f>
        <v>73.03047091412742</v>
      </c>
      <c r="AU254" s="24">
        <f>AA254</f>
        <v>85.915235457063716</v>
      </c>
      <c r="AV254" s="24"/>
      <c r="AW254" s="27">
        <f>IF(A254&lt;&gt;"",AE254-AA254,"")</f>
        <v>-12.884764542936296</v>
      </c>
      <c r="AY254" s="27">
        <f>AR254-AP254</f>
        <v>3.5278113396593369</v>
      </c>
      <c r="AZ254" s="27">
        <f>ABS(AY254)</f>
        <v>3.5278113396593369</v>
      </c>
    </row>
    <row r="255" spans="1:52" s="27" customFormat="1" ht="12.75" customHeight="1" x14ac:dyDescent="0.2">
      <c r="A255" s="10">
        <v>693708</v>
      </c>
      <c r="B255" s="2">
        <v>25</v>
      </c>
      <c r="C255" s="10">
        <v>25</v>
      </c>
      <c r="D255" s="10">
        <v>24</v>
      </c>
      <c r="E255" s="10">
        <v>25</v>
      </c>
      <c r="F255" s="10">
        <v>20</v>
      </c>
      <c r="G255" s="10">
        <v>25</v>
      </c>
      <c r="H255" s="10">
        <v>14</v>
      </c>
      <c r="I255" s="10">
        <v>25</v>
      </c>
      <c r="J255" s="2"/>
      <c r="K255" s="10">
        <v>62</v>
      </c>
      <c r="L255" s="10">
        <v>58</v>
      </c>
      <c r="M255" s="10">
        <v>57</v>
      </c>
      <c r="N255" s="51">
        <v>62</v>
      </c>
      <c r="O255" s="11">
        <v>62</v>
      </c>
      <c r="P255" s="10"/>
      <c r="Q255" s="40"/>
      <c r="R255" s="2">
        <v>145</v>
      </c>
      <c r="S255" s="10">
        <f>IF(T255="",R255,MAX((R255+$R$8)/$R$2,(T255+$T$8)/$T$2)*$R$2-$R$8)</f>
        <v>145</v>
      </c>
      <c r="T255" s="12">
        <v>208</v>
      </c>
      <c r="U255" s="68">
        <f>IF(A255&lt;&gt;"",SUM(B255:I255),"")</f>
        <v>183</v>
      </c>
      <c r="V255" s="10">
        <f>IF(A255&lt;&gt;"",SUM(J255:O255),"")</f>
        <v>301</v>
      </c>
      <c r="W255" s="10">
        <f>IF(A255&lt;&gt;"",SUM(P255:Q255),"")</f>
        <v>0</v>
      </c>
      <c r="X255" s="10">
        <f>IF(A255&lt;&gt;"",SUM(S255:T255),"")</f>
        <v>353</v>
      </c>
      <c r="Y255" s="12">
        <v>3</v>
      </c>
      <c r="Z255" s="12">
        <f>IF(A255&lt;&gt;"",SUM(U255:Y255),"")</f>
        <v>840</v>
      </c>
      <c r="AA255" s="27">
        <f>IF(A255&lt;&gt;"",(Z255+Normalize_To_Add)/(Point_Total_So_Far)*100,"")</f>
        <v>91.509673189131846</v>
      </c>
      <c r="AB255" s="10">
        <f>IF(A255&lt;&gt;"",RANK(AA255,All_Student_XC),"")</f>
        <v>62</v>
      </c>
      <c r="AC255" s="31" t="str">
        <f>IF(A255&lt;&gt;"",CHOOSE(10-MIN(9,TRUNC((AA255+0.5)/10)),"A","B","C","D","F","F","F","F","F","F"),"")</f>
        <v>A</v>
      </c>
      <c r="AD255" s="31" t="str">
        <f>IF(A255&lt;&gt;"",IF(OR(AA255+0.5&gt;=93,AA255+0.5&lt;60),"",IF(MOD(AA255+0.5,10)&gt;=7,"+",IF(MOD(AA255+0.5,10)&lt;3,"-",""))),"")</f>
        <v>-</v>
      </c>
      <c r="AE255" s="31">
        <f>IF(A255&lt;&gt;"",SUM(W255:X255,$W$8:$X$8)/SUM($W$2:$X$2)*100,"")</f>
        <v>85.619346378263685</v>
      </c>
      <c r="AF255" s="31" t="str">
        <f>IF(A255&lt;&gt;"",CHOOSE(10-MIN(9,TRUNC((AE255+0.5)/10)),"A","B","C","D","F","F","F","F","F","F"),"")</f>
        <v>B</v>
      </c>
      <c r="AG255" s="31" t="str">
        <f>IF(A255&lt;&gt;"",IF(OR(AE255+0.5&gt;=93,AE255+0.5&lt;60),"",IF(MOD(AE255+0.5,10)&gt;=7,"+",IF(MOD(AE255+0.5,10)&lt;3,"-",""))),"")</f>
        <v/>
      </c>
      <c r="AH255" s="35">
        <f>IF(A255&lt;&gt;"",MIN(MAX(AA255,AE255),AA255+$AH$8,AE255+$AH$8),"")</f>
        <v>91.509673189131846</v>
      </c>
      <c r="AI255" s="31" t="str">
        <f>IF(A255&lt;&gt;"",CHOOSE(10-MIN(9,TRUNC((AH255+0.5)/10)),"A","B","C","D","F","F","F","F","F","F"),"")</f>
        <v>A</v>
      </c>
      <c r="AJ255" s="31" t="str">
        <f>IF(A255&lt;&gt;"",IF(OR(AH255+0.5&gt;=93,AH255+0.5&lt;60),"",IF(MOD(AH255+0.5,10)&gt;=7,"+",IF(MOD(AH255+0.5,10)&lt;3,"-",""))),"")</f>
        <v>-</v>
      </c>
      <c r="AK255" s="31" t="b">
        <f>IF(A255&lt;&gt;"",OR(AI255&lt;&gt;AC255,AJ255&lt;&gt;AD255),"")</f>
        <v>0</v>
      </c>
      <c r="AL255" s="81">
        <f>IF(AND(A255&lt;&gt;"",U255&gt;0),SUM(U255,$AL$8)/$AL$2*100,"")</f>
        <v>91.5</v>
      </c>
      <c r="AM255" s="24">
        <f>IF(AND(A255&lt;&gt;"",V255&gt;0),SUM(V255,$AM$8)/$AM$2*100,"")</f>
        <v>100.33333333333334</v>
      </c>
      <c r="AN255" s="24" t="str">
        <f>IF(AND(A255&lt;&gt;"",P255&lt;&gt;0),SUM(P255,$AN$8)/$AN$2*100,"")</f>
        <v/>
      </c>
      <c r="AO255" s="24" t="str">
        <f>IF(AND(A255&lt;&gt;"",Q255&lt;&gt;0),SUM(Q255,$AO$8)/$AO$2*100,"")</f>
        <v/>
      </c>
      <c r="AP255" s="24">
        <f>IF(AND(A255&lt;&gt;"",R255&lt;&gt;0),SUM(R255,$AP$8)/$AP$2*100,"")</f>
        <v>87.002659574468083</v>
      </c>
      <c r="AQ255" s="24" t="str">
        <f>IF(AND(A255&lt;&gt;"",W255&gt;0),SUM(W255,$AQ$8)/$AQ$2*100,"")</f>
        <v/>
      </c>
      <c r="AR255" s="24">
        <f>IF(AND(A255&lt;&gt;"",T255&gt;0),SUM(T255,$AR$8)/$AR$2*100,"")</f>
        <v>84.697137580794092</v>
      </c>
      <c r="AS255" s="24">
        <f>IF(AND(A255&lt;&gt;"",X255&lt;&gt;0),SUM(X255,$AS$8)/$AS$2*100,"")</f>
        <v>85.619346378263685</v>
      </c>
      <c r="AT255" s="86">
        <f>IF(A255&lt;&gt;"",SUM(W255:X255,$AT$8)/$AT$2*100,"")</f>
        <v>85.619346378263685</v>
      </c>
      <c r="AU255" s="24">
        <f>AA255</f>
        <v>91.509673189131846</v>
      </c>
      <c r="AV255" s="24"/>
      <c r="AW255" s="27">
        <f>IF(A255&lt;&gt;"",AE255-AA255,"")</f>
        <v>-5.8903268108681601</v>
      </c>
      <c r="AY255" s="27">
        <f>AR255-AP255</f>
        <v>-2.3055219936739917</v>
      </c>
      <c r="AZ255" s="27">
        <f>ABS(AY255)</f>
        <v>2.3055219936739917</v>
      </c>
    </row>
    <row r="256" spans="1:52" s="27" customFormat="1" ht="12.75" customHeight="1" x14ac:dyDescent="0.2">
      <c r="A256" s="50">
        <v>694700</v>
      </c>
      <c r="B256" s="2">
        <v>25</v>
      </c>
      <c r="C256" s="50">
        <v>25</v>
      </c>
      <c r="D256" s="10">
        <v>21</v>
      </c>
      <c r="E256" s="10">
        <v>25</v>
      </c>
      <c r="F256" s="10">
        <v>25</v>
      </c>
      <c r="G256" s="10">
        <v>19</v>
      </c>
      <c r="H256" s="10">
        <v>24</v>
      </c>
      <c r="I256" s="10">
        <v>22</v>
      </c>
      <c r="J256" s="2"/>
      <c r="K256" s="10">
        <v>62</v>
      </c>
      <c r="L256" s="10">
        <v>62</v>
      </c>
      <c r="M256" s="10">
        <v>62</v>
      </c>
      <c r="N256" s="51">
        <v>56</v>
      </c>
      <c r="O256" s="11">
        <v>62</v>
      </c>
      <c r="P256" s="10"/>
      <c r="Q256" s="40"/>
      <c r="R256" s="2">
        <v>139</v>
      </c>
      <c r="S256" s="10">
        <f>IF(T256="",R256,MAX((R256+$R$8)/$R$2,(T256+$T$8)/$T$2)*$R$2-$R$8)</f>
        <v>149.72228934598533</v>
      </c>
      <c r="T256" s="62">
        <v>222</v>
      </c>
      <c r="U256" s="2">
        <f>IF(A256&lt;&gt;"",SUM(B256:I256),"")</f>
        <v>186</v>
      </c>
      <c r="V256" s="10">
        <f>IF(A256&lt;&gt;"",SUM(J256:O256),"")</f>
        <v>304</v>
      </c>
      <c r="W256" s="10">
        <f>IF(A256&lt;&gt;"",SUM(P256:Q256),"")</f>
        <v>0</v>
      </c>
      <c r="X256" s="10">
        <f>IF(A256&lt;&gt;"",SUM(S256:T256),"")</f>
        <v>371.72228934598536</v>
      </c>
      <c r="Y256" s="12">
        <v>3</v>
      </c>
      <c r="Z256" s="12">
        <f>IF(A256&lt;&gt;"",SUM(U256:Y256),"")</f>
        <v>864.72228934598536</v>
      </c>
      <c r="AA256" s="27">
        <f>IF(A256&lt;&gt;"",(Z256+Normalize_To_Add)/(Point_Total_So_Far)*100,"")</f>
        <v>93.981902123730379</v>
      </c>
      <c r="AB256" s="10">
        <f>IF(A256&lt;&gt;"",RANK(AA256,All_Student_XC),"")</f>
        <v>42</v>
      </c>
      <c r="AC256" s="31" t="str">
        <f>IF(A256&lt;&gt;"",CHOOSE(10-MIN(9,TRUNC((AA256+0.5)/10)),"A","B","C","D","F","F","F","F","F","F"),"")</f>
        <v>A</v>
      </c>
      <c r="AD256" s="31" t="str">
        <f>IF(A256&lt;&gt;"",IF(OR(AA256+0.5&gt;=93,AA256+0.5&lt;60),"",IF(MOD(AA256+0.5,10)&gt;=7,"+",IF(MOD(AA256+0.5,10)&lt;3,"-",""))),"")</f>
        <v/>
      </c>
      <c r="AE256" s="31">
        <f>IF(A256&lt;&gt;"",SUM(W256:X256,$W$8:$X$8)/SUM($W$2:$X$2)*100,"")</f>
        <v>89.363804247460749</v>
      </c>
      <c r="AF256" s="43" t="str">
        <f>IF(A256&lt;&gt;"",CHOOSE(10-MIN(9,TRUNC((AE256+0.5)/10)),"A","B","C","D","F","F","F","F","F","F"),"")</f>
        <v>B</v>
      </c>
      <c r="AG256" s="43" t="str">
        <f>IF(A256&lt;&gt;"",IF(OR(AE256+0.5&gt;=93,AE256+0.5&lt;60),"",IF(MOD(AE256+0.5,10)&gt;=7,"+",IF(MOD(AE256+0.5,10)&lt;3,"-",""))),"")</f>
        <v>+</v>
      </c>
      <c r="AH256" s="35">
        <f>IF(A256&lt;&gt;"",MIN(MAX(AA256,AE256),AA256+$AH$8,AE256+$AH$8),"")</f>
        <v>93.981902123730379</v>
      </c>
      <c r="AI256" s="31" t="str">
        <f>IF(A256&lt;&gt;"",CHOOSE(10-MIN(9,TRUNC((AH256+0.5)/10)),"A","B","C","D","F","F","F","F","F","F"),"")</f>
        <v>A</v>
      </c>
      <c r="AJ256" s="31" t="str">
        <f>IF(A256&lt;&gt;"",IF(OR(AH256+0.5&gt;=93,AH256+0.5&lt;60),"",IF(MOD(AH256+0.5,10)&gt;=7,"+",IF(MOD(AH256+0.5,10)&lt;3,"-",""))),"")</f>
        <v/>
      </c>
      <c r="AK256" s="31" t="b">
        <f>IF(A256&lt;&gt;"",OR(AI256&lt;&gt;AC256,AJ256&lt;&gt;AD256),"")</f>
        <v>0</v>
      </c>
      <c r="AL256" s="81">
        <f>IF(AND(A256&lt;&gt;"",U256&gt;0),SUM(U256,$AL$8)/$AL$2*100,"")</f>
        <v>93</v>
      </c>
      <c r="AM256" s="24">
        <f>IF(AND(A256&lt;&gt;"",V256&gt;0),SUM(V256,$AM$8)/$AM$2*100,"")</f>
        <v>101.33333333333334</v>
      </c>
      <c r="AN256" s="24" t="str">
        <f>IF(AND(A256&lt;&gt;"",P256&lt;&gt;0),SUM(P256,$AN$8)/$AN$2*100,"")</f>
        <v/>
      </c>
      <c r="AO256" s="24" t="str">
        <f>IF(AND(A256&lt;&gt;"",Q256&lt;&gt;0),SUM(Q256,$AO$8)/$AO$2*100,"")</f>
        <v/>
      </c>
      <c r="AP256" s="24">
        <f>IF(AND(A256&lt;&gt;"",R256&lt;&gt;0),SUM(R256,$AP$8)/$AP$2*100,"")</f>
        <v>84.002659574468083</v>
      </c>
      <c r="AQ256" s="24" t="str">
        <f>IF(AND(A256&lt;&gt;"",W256&gt;0),SUM(W256,$AQ$8)/$AQ$2*100,"")</f>
        <v/>
      </c>
      <c r="AR256" s="24">
        <f>IF(AND(A256&lt;&gt;"",T256&gt;0),SUM(T256,$AR$8)/$AR$2*100,"")</f>
        <v>89.363804247460749</v>
      </c>
      <c r="AS256" s="24">
        <f>IF(AND(A256&lt;&gt;"",X256&lt;&gt;0),SUM(X256,$AS$8)/$AS$2*100,"")</f>
        <v>89.363804247460749</v>
      </c>
      <c r="AT256" s="86">
        <f>IF(A256&lt;&gt;"",SUM(W256:X256,$AT$8)/$AT$2*100,"")</f>
        <v>89.363804247460749</v>
      </c>
      <c r="AU256" s="24">
        <f>AA256</f>
        <v>93.981902123730379</v>
      </c>
      <c r="AV256" s="24"/>
      <c r="AW256" s="27">
        <f>IF(A256&lt;&gt;"",AE256-AA256,"")</f>
        <v>-4.6180978762696299</v>
      </c>
      <c r="AY256" s="27">
        <f>AR256-AP256</f>
        <v>5.3611446729926655</v>
      </c>
      <c r="AZ256" s="27">
        <f>ABS(AY256)</f>
        <v>5.3611446729926655</v>
      </c>
    </row>
    <row r="257" spans="1:57" s="27" customFormat="1" ht="12.75" customHeight="1" x14ac:dyDescent="0.2">
      <c r="A257" s="10">
        <v>695030</v>
      </c>
      <c r="B257" s="2">
        <v>25</v>
      </c>
      <c r="C257" s="10">
        <v>25</v>
      </c>
      <c r="D257" s="10">
        <v>24</v>
      </c>
      <c r="E257" s="10">
        <v>23</v>
      </c>
      <c r="F257" s="10">
        <v>24</v>
      </c>
      <c r="G257" s="10">
        <v>23</v>
      </c>
      <c r="H257" s="10">
        <v>24</v>
      </c>
      <c r="I257" s="10">
        <v>24</v>
      </c>
      <c r="J257" s="2"/>
      <c r="K257" s="10">
        <v>55</v>
      </c>
      <c r="L257" s="10">
        <v>62</v>
      </c>
      <c r="M257" s="10">
        <v>59</v>
      </c>
      <c r="N257" s="51">
        <v>62</v>
      </c>
      <c r="O257" s="11">
        <v>61</v>
      </c>
      <c r="P257" s="10"/>
      <c r="Q257" s="40"/>
      <c r="R257" s="2">
        <v>127</v>
      </c>
      <c r="S257" s="10">
        <f>IF(T257="",R257,MAX((R257+$R$8)/$R$2,(T257+$T$8)/$T$2)*$R$2-$R$8)</f>
        <v>154.38895601265202</v>
      </c>
      <c r="T257" s="12">
        <v>229</v>
      </c>
      <c r="U257" s="1">
        <f>IF(A257&lt;&gt;"",SUM(B257:I257),"")</f>
        <v>192</v>
      </c>
      <c r="V257" s="10">
        <f>IF(A257&lt;&gt;"",SUM(J257:O257),"")</f>
        <v>299</v>
      </c>
      <c r="W257" s="10">
        <f>IF(A257&lt;&gt;"",SUM(P257:Q257),"")</f>
        <v>0</v>
      </c>
      <c r="X257" s="10">
        <f>IF(A257&lt;&gt;"",SUM(S257:T257),"")</f>
        <v>383.38895601265199</v>
      </c>
      <c r="Y257" s="12">
        <v>3</v>
      </c>
      <c r="Z257" s="12">
        <f>IF(A257&lt;&gt;"",SUM(U257:Y257),"")</f>
        <v>877.38895601265199</v>
      </c>
      <c r="AA257" s="27">
        <f>IF(A257&lt;&gt;"",(Z257+Normalize_To_Add)/(Point_Total_So_Far)*100,"")</f>
        <v>95.24856879039703</v>
      </c>
      <c r="AB257" s="10">
        <f>IF(A257&lt;&gt;"",RANK(AA257,All_Student_XC),"")</f>
        <v>30</v>
      </c>
      <c r="AC257" s="31" t="str">
        <f>IF(A257&lt;&gt;"",CHOOSE(10-MIN(9,TRUNC((AA257+0.5)/10)),"A","B","C","D","F","F","F","F","F","F"),"")</f>
        <v>A</v>
      </c>
      <c r="AD257" s="31" t="str">
        <f>IF(A257&lt;&gt;"",IF(OR(AA257+0.5&gt;=93,AA257+0.5&lt;60),"",IF(MOD(AA257+0.5,10)&gt;=7,"+",IF(MOD(AA257+0.5,10)&lt;3,"-",""))),"")</f>
        <v/>
      </c>
      <c r="AE257" s="31">
        <f>IF(A257&lt;&gt;"",SUM(W257:X257,$W$8:$X$8)/SUM($W$2:$X$2)*100,"")</f>
        <v>91.697137580794092</v>
      </c>
      <c r="AF257" s="31" t="str">
        <f>IF(A257&lt;&gt;"",CHOOSE(10-MIN(9,TRUNC((AE257+0.5)/10)),"A","B","C","D","F","F","F","F","F","F"),"")</f>
        <v>A</v>
      </c>
      <c r="AG257" s="31" t="str">
        <f>IF(A257&lt;&gt;"",IF(OR(AE257+0.5&gt;=93,AE257+0.5&lt;60),"",IF(MOD(AE257+0.5,10)&gt;=7,"+",IF(MOD(AE257+0.5,10)&lt;3,"-",""))),"")</f>
        <v>-</v>
      </c>
      <c r="AH257" s="35">
        <f>IF(A257&lt;&gt;"",MIN(MAX(AA257,AE257),AA257+$AH$8,AE257+$AH$8),"")</f>
        <v>95.24856879039703</v>
      </c>
      <c r="AI257" s="31" t="str">
        <f>IF(A257&lt;&gt;"",CHOOSE(10-MIN(9,TRUNC((AH257+0.5)/10)),"A","B","C","D","F","F","F","F","F","F"),"")</f>
        <v>A</v>
      </c>
      <c r="AJ257" s="31" t="str">
        <f>IF(A257&lt;&gt;"",IF(OR(AH257+0.5&gt;=93,AH257+0.5&lt;60),"",IF(MOD(AH257+0.5,10)&gt;=7,"+",IF(MOD(AH257+0.5,10)&lt;3,"-",""))),"")</f>
        <v/>
      </c>
      <c r="AK257" s="31" t="b">
        <f>IF(A257&lt;&gt;"",OR(AI257&lt;&gt;AC257,AJ257&lt;&gt;AD257),"")</f>
        <v>0</v>
      </c>
      <c r="AL257" s="81">
        <f>IF(AND(A257&lt;&gt;"",U257&gt;0),SUM(U257,$AL$8)/$AL$2*100,"")</f>
        <v>96</v>
      </c>
      <c r="AM257" s="24">
        <f>IF(AND(A257&lt;&gt;"",V257&gt;0),SUM(V257,$AM$8)/$AM$2*100,"")</f>
        <v>99.666666666666671</v>
      </c>
      <c r="AN257" s="24" t="str">
        <f>IF(AND(A257&lt;&gt;"",P257&lt;&gt;0),SUM(P257,$AN$8)/$AN$2*100,"")</f>
        <v/>
      </c>
      <c r="AO257" s="24" t="str">
        <f>IF(AND(A257&lt;&gt;"",Q257&lt;&gt;0),SUM(Q257,$AO$8)/$AO$2*100,"")</f>
        <v/>
      </c>
      <c r="AP257" s="24">
        <f>IF(AND(A257&lt;&gt;"",R257&lt;&gt;0),SUM(R257,$AP$8)/$AP$2*100,"")</f>
        <v>78.002659574468083</v>
      </c>
      <c r="AQ257" s="24" t="str">
        <f>IF(AND(A257&lt;&gt;"",W257&gt;0),SUM(W257,$AQ$8)/$AQ$2*100,"")</f>
        <v/>
      </c>
      <c r="AR257" s="24">
        <f>IF(AND(A257&lt;&gt;"",T257&gt;0),SUM(T257,$AR$8)/$AR$2*100,"")</f>
        <v>91.697137580794092</v>
      </c>
      <c r="AS257" s="24">
        <f>IF(AND(A257&lt;&gt;"",X257&lt;&gt;0),SUM(X257,$AS$8)/$AS$2*100,"")</f>
        <v>91.697137580794092</v>
      </c>
      <c r="AT257" s="86">
        <f>IF(A257&lt;&gt;"",SUM(W257:X257,$AT$8)/$AT$2*100,"")</f>
        <v>91.697137580794092</v>
      </c>
      <c r="AU257" s="24">
        <f>AA257</f>
        <v>95.24856879039703</v>
      </c>
      <c r="AV257" s="24"/>
      <c r="AW257" s="27">
        <f>IF(A257&lt;&gt;"",AE257-AA257,"")</f>
        <v>-3.5514312096029386</v>
      </c>
      <c r="AY257" s="27">
        <f>AR257-AP257</f>
        <v>13.694478006326008</v>
      </c>
      <c r="AZ257" s="27">
        <f>ABS(AY257)</f>
        <v>13.694478006326008</v>
      </c>
    </row>
    <row r="258" spans="1:57" s="27" customFormat="1" ht="12.75" customHeight="1" x14ac:dyDescent="0.2">
      <c r="A258" s="50">
        <v>696584</v>
      </c>
      <c r="B258" s="2">
        <v>23</v>
      </c>
      <c r="C258" s="40">
        <v>25</v>
      </c>
      <c r="D258" s="10">
        <v>14</v>
      </c>
      <c r="E258" s="10">
        <v>17</v>
      </c>
      <c r="F258" s="10">
        <v>23</v>
      </c>
      <c r="G258" s="10">
        <v>25</v>
      </c>
      <c r="H258" s="10">
        <v>14</v>
      </c>
      <c r="I258" s="10">
        <v>25</v>
      </c>
      <c r="J258" s="2"/>
      <c r="K258" s="10">
        <v>58</v>
      </c>
      <c r="L258" s="10">
        <v>52</v>
      </c>
      <c r="M258" s="10">
        <v>57</v>
      </c>
      <c r="N258" s="51">
        <v>60</v>
      </c>
      <c r="O258" s="11">
        <v>60</v>
      </c>
      <c r="P258" s="10"/>
      <c r="Q258" s="40"/>
      <c r="R258" s="2">
        <v>105</v>
      </c>
      <c r="S258" s="10">
        <f>IF(T258="",R258,MAX((R258+$R$8)/$R$2,(T258+$T$8)/$T$2)*$R$2-$R$8)</f>
        <v>146.38895601265199</v>
      </c>
      <c r="T258" s="12">
        <v>217</v>
      </c>
      <c r="U258" s="1">
        <f>IF(A258&lt;&gt;"",SUM(B258:I258),"")</f>
        <v>166</v>
      </c>
      <c r="V258" s="10">
        <f>IF(A258&lt;&gt;"",SUM(J258:O258),"")</f>
        <v>287</v>
      </c>
      <c r="W258" s="10">
        <f>IF(A258&lt;&gt;"",SUM(P258:Q258),"")</f>
        <v>0</v>
      </c>
      <c r="X258" s="10">
        <f>IF(A258&lt;&gt;"",SUM(S258:T258),"")</f>
        <v>363.38895601265199</v>
      </c>
      <c r="Y258" s="12">
        <v>3</v>
      </c>
      <c r="Z258" s="12">
        <f>IF(A258&lt;&gt;"",SUM(U258:Y258),"")</f>
        <v>819.38895601265199</v>
      </c>
      <c r="AA258" s="27">
        <f>IF(A258&lt;&gt;"",(Z258+Normalize_To_Add)/(Point_Total_So_Far)*100,"")</f>
        <v>89.448568790397047</v>
      </c>
      <c r="AB258" s="10">
        <f>IF(A258&lt;&gt;"",RANK(AA258,All_Student_XC),"")</f>
        <v>83</v>
      </c>
      <c r="AC258" s="31" t="str">
        <f>IF(A258&lt;&gt;"",CHOOSE(10-MIN(9,TRUNC((AA258+0.5)/10)),"A","B","C","D","F","F","F","F","F","F"),"")</f>
        <v>B</v>
      </c>
      <c r="AD258" s="31" t="str">
        <f>IF(A258&lt;&gt;"",IF(OR(AA258+0.5&gt;=93,AA258+0.5&lt;60),"",IF(MOD(AA258+0.5,10)&gt;=7,"+",IF(MOD(AA258+0.5,10)&lt;3,"-",""))),"")</f>
        <v>+</v>
      </c>
      <c r="AE258" s="31">
        <f>IF(A258&lt;&gt;"",SUM(W258:X258,$W$8:$X$8)/SUM($W$2:$X$2)*100,"")</f>
        <v>87.697137580794077</v>
      </c>
      <c r="AF258" s="31" t="str">
        <f>IF(A258&lt;&gt;"",CHOOSE(10-MIN(9,TRUNC((AE258+0.5)/10)),"A","B","C","D","F","F","F","F","F","F"),"")</f>
        <v>B</v>
      </c>
      <c r="AG258" s="31" t="str">
        <f>IF(A258&lt;&gt;"",IF(OR(AE258+0.5&gt;=93,AE258+0.5&lt;60),"",IF(MOD(AE258+0.5,10)&gt;=7,"+",IF(MOD(AE258+0.5,10)&lt;3,"-",""))),"")</f>
        <v>+</v>
      </c>
      <c r="AH258" s="35">
        <f>IF(A258&lt;&gt;"",MIN(MAX(AA258,AE258),AA258+$AH$8,AE258+$AH$8),"")</f>
        <v>89.448568790397047</v>
      </c>
      <c r="AI258" s="31" t="str">
        <f>IF(A258&lt;&gt;"",CHOOSE(10-MIN(9,TRUNC((AH258+0.5)/10)),"A","B","C","D","F","F","F","F","F","F"),"")</f>
        <v>B</v>
      </c>
      <c r="AJ258" s="31" t="str">
        <f>IF(A258&lt;&gt;"",IF(OR(AH258+0.5&gt;=93,AH258+0.5&lt;60),"",IF(MOD(AH258+0.5,10)&gt;=7,"+",IF(MOD(AH258+0.5,10)&lt;3,"-",""))),"")</f>
        <v>+</v>
      </c>
      <c r="AK258" s="31" t="b">
        <f>IF(A258&lt;&gt;"",OR(AI258&lt;&gt;AC258,AJ258&lt;&gt;AD258),"")</f>
        <v>0</v>
      </c>
      <c r="AL258" s="81">
        <f>IF(AND(A258&lt;&gt;"",U258&gt;0),SUM(U258,$AL$8)/$AL$2*100,"")</f>
        <v>83</v>
      </c>
      <c r="AM258" s="24">
        <f>IF(AND(A258&lt;&gt;"",V258&gt;0),SUM(V258,$AM$8)/$AM$2*100,"")</f>
        <v>95.666666666666671</v>
      </c>
      <c r="AN258" s="24" t="str">
        <f>IF(AND(A258&lt;&gt;"",P258&lt;&gt;0),SUM(P258,$AN$8)/$AN$2*100,"")</f>
        <v/>
      </c>
      <c r="AO258" s="24" t="str">
        <f>IF(AND(A258&lt;&gt;"",Q258&lt;&gt;0),SUM(Q258,$AO$8)/$AO$2*100,"")</f>
        <v/>
      </c>
      <c r="AP258" s="24">
        <f>IF(AND(A258&lt;&gt;"",R258&lt;&gt;0),SUM(R258,$AP$8)/$AP$2*100,"")</f>
        <v>67.002659574468083</v>
      </c>
      <c r="AQ258" s="24" t="str">
        <f>IF(AND(A258&lt;&gt;"",W258&gt;0),SUM(W258,$AQ$8)/$AQ$2*100,"")</f>
        <v/>
      </c>
      <c r="AR258" s="24">
        <f>IF(AND(A258&lt;&gt;"",T258&gt;0),SUM(T258,$AR$8)/$AR$2*100,"")</f>
        <v>87.697137580794077</v>
      </c>
      <c r="AS258" s="24">
        <f>IF(AND(A258&lt;&gt;"",X258&lt;&gt;0),SUM(X258,$AS$8)/$AS$2*100,"")</f>
        <v>87.697137580794077</v>
      </c>
      <c r="AT258" s="86">
        <f>IF(A258&lt;&gt;"",SUM(W258:X258,$AT$8)/$AT$2*100,"")</f>
        <v>87.697137580794077</v>
      </c>
      <c r="AU258" s="24">
        <f>AA258</f>
        <v>89.448568790397047</v>
      </c>
      <c r="AV258" s="24"/>
      <c r="AW258" s="27">
        <f>IF(A258&lt;&gt;"",AE258-AA258,"")</f>
        <v>-1.7514312096029698</v>
      </c>
      <c r="AY258" s="27">
        <f>AR258-AP258</f>
        <v>20.694478006325994</v>
      </c>
      <c r="AZ258" s="27">
        <f>ABS(AY258)</f>
        <v>20.694478006325994</v>
      </c>
    </row>
    <row r="259" spans="1:57" s="27" customFormat="1" ht="12.75" customHeight="1" x14ac:dyDescent="0.2">
      <c r="A259" s="50">
        <v>700242</v>
      </c>
      <c r="B259" s="2">
        <v>25</v>
      </c>
      <c r="C259" s="50">
        <v>24</v>
      </c>
      <c r="D259" s="10">
        <v>19</v>
      </c>
      <c r="E259" s="10">
        <v>24</v>
      </c>
      <c r="F259" s="10">
        <v>19</v>
      </c>
      <c r="G259" s="10">
        <v>25</v>
      </c>
      <c r="H259" s="10">
        <v>23</v>
      </c>
      <c r="I259" s="10" t="s">
        <v>69</v>
      </c>
      <c r="J259" s="2"/>
      <c r="K259" s="10">
        <v>61</v>
      </c>
      <c r="L259" s="10">
        <v>61</v>
      </c>
      <c r="M259" s="10">
        <v>59</v>
      </c>
      <c r="N259" s="51">
        <v>60</v>
      </c>
      <c r="O259" s="11">
        <v>45</v>
      </c>
      <c r="P259" s="10"/>
      <c r="Q259" s="40"/>
      <c r="R259" s="2">
        <v>167</v>
      </c>
      <c r="S259" s="10">
        <f>IF(T259="",R259,MAX((R259+$R$8)/$R$2,(T259+$T$8)/$T$2)*$R$2-$R$8)</f>
        <v>167</v>
      </c>
      <c r="T259" s="62">
        <v>186</v>
      </c>
      <c r="U259" s="2">
        <f>IF(A259&lt;&gt;"",SUM(B259:I259),"")</f>
        <v>159</v>
      </c>
      <c r="V259" s="10">
        <f>IF(A259&lt;&gt;"",SUM(J259:O259),"")</f>
        <v>286</v>
      </c>
      <c r="W259" s="10">
        <f>IF(A259&lt;&gt;"",SUM(P259:Q259),"")</f>
        <v>0</v>
      </c>
      <c r="X259" s="10">
        <f>IF(A259&lt;&gt;"",SUM(S259:T259),"")</f>
        <v>353</v>
      </c>
      <c r="Y259" s="12">
        <v>3</v>
      </c>
      <c r="Z259" s="12">
        <f>IF(A259&lt;&gt;"",SUM(U259:Y259),"")</f>
        <v>801</v>
      </c>
      <c r="AA259" s="27">
        <f>IF(A259&lt;&gt;"",(Z259+Normalize_To_Add)/(Point_Total_So_Far)*100,"")</f>
        <v>87.60967318913184</v>
      </c>
      <c r="AB259" s="10">
        <f>IF(A259&lt;&gt;"",RANK(AA259,All_Student_XC),"")</f>
        <v>116</v>
      </c>
      <c r="AC259" s="31" t="str">
        <f>IF(A259&lt;&gt;"",CHOOSE(10-MIN(9,TRUNC((AA259+0.5)/10)),"A","B","C","D","F","F","F","F","F","F"),"")</f>
        <v>B</v>
      </c>
      <c r="AD259" s="31" t="str">
        <f>IF(A259&lt;&gt;"",IF(OR(AA259+0.5&gt;=93,AA259+0.5&lt;60),"",IF(MOD(AA259+0.5,10)&gt;=7,"+",IF(MOD(AA259+0.5,10)&lt;3,"-",""))),"")</f>
        <v>+</v>
      </c>
      <c r="AE259" s="31">
        <f>IF(A259&lt;&gt;"",SUM(W259:X259,$W$8:$X$8)/SUM($W$2:$X$2)*100,"")</f>
        <v>85.619346378263685</v>
      </c>
      <c r="AF259" s="43" t="str">
        <f>IF(A259&lt;&gt;"",CHOOSE(10-MIN(9,TRUNC((AE259+0.5)/10)),"A","B","C","D","F","F","F","F","F","F"),"")</f>
        <v>B</v>
      </c>
      <c r="AG259" s="43" t="str">
        <f>IF(A259&lt;&gt;"",IF(OR(AE259+0.5&gt;=93,AE259+0.5&lt;60),"",IF(MOD(AE259+0.5,10)&gt;=7,"+",IF(MOD(AE259+0.5,10)&lt;3,"-",""))),"")</f>
        <v/>
      </c>
      <c r="AH259" s="35">
        <f>IF(A259&lt;&gt;"",MIN(MAX(AA259,AE259),AA259+$AH$8,AE259+$AH$8),"")</f>
        <v>87.60967318913184</v>
      </c>
      <c r="AI259" s="31" t="str">
        <f>IF(A259&lt;&gt;"",CHOOSE(10-MIN(9,TRUNC((AH259+0.5)/10)),"A","B","C","D","F","F","F","F","F","F"),"")</f>
        <v>B</v>
      </c>
      <c r="AJ259" s="31" t="str">
        <f>IF(A259&lt;&gt;"",IF(OR(AH259+0.5&gt;=93,AH259+0.5&lt;60),"",IF(MOD(AH259+0.5,10)&gt;=7,"+",IF(MOD(AH259+0.5,10)&lt;3,"-",""))),"")</f>
        <v>+</v>
      </c>
      <c r="AK259" s="31" t="b">
        <f>IF(A259&lt;&gt;"",OR(AI259&lt;&gt;AC259,AJ259&lt;&gt;AD259),"")</f>
        <v>0</v>
      </c>
      <c r="AL259" s="81">
        <f>IF(AND(A259&lt;&gt;"",U259&gt;0),SUM(U259,$AL$8)/$AL$2*100,"")</f>
        <v>79.5</v>
      </c>
      <c r="AM259" s="24">
        <f>IF(AND(A259&lt;&gt;"",V259&gt;0),SUM(V259,$AM$8)/$AM$2*100,"")</f>
        <v>95.333333333333343</v>
      </c>
      <c r="AN259" s="24" t="str">
        <f>IF(AND(A259&lt;&gt;"",P259&lt;&gt;0),SUM(P259,$AN$8)/$AN$2*100,"")</f>
        <v/>
      </c>
      <c r="AO259" s="24" t="str">
        <f>IF(AND(A259&lt;&gt;"",Q259&lt;&gt;0),SUM(Q259,$AO$8)/$AO$2*100,"")</f>
        <v/>
      </c>
      <c r="AP259" s="24">
        <f>IF(AND(A259&lt;&gt;"",R259&lt;&gt;0),SUM(R259,$AP$8)/$AP$2*100,"")</f>
        <v>98.002659574468083</v>
      </c>
      <c r="AQ259" s="24" t="str">
        <f>IF(AND(A259&lt;&gt;"",W259&gt;0),SUM(W259,$AQ$8)/$AQ$2*100,"")</f>
        <v/>
      </c>
      <c r="AR259" s="24">
        <f>IF(AND(A259&lt;&gt;"",T259&gt;0),SUM(T259,$AR$8)/$AR$2*100,"")</f>
        <v>77.363804247460749</v>
      </c>
      <c r="AS259" s="24">
        <f>IF(AND(A259&lt;&gt;"",X259&lt;&gt;0),SUM(X259,$AS$8)/$AS$2*100,"")</f>
        <v>85.619346378263685</v>
      </c>
      <c r="AT259" s="86">
        <f>IF(A259&lt;&gt;"",SUM(W259:X259,$AT$8)/$AT$2*100,"")</f>
        <v>85.619346378263685</v>
      </c>
      <c r="AU259" s="24">
        <f>AA259</f>
        <v>87.60967318913184</v>
      </c>
      <c r="AV259" s="24"/>
      <c r="AW259" s="27">
        <f>IF(A259&lt;&gt;"",AE259-AA259,"")</f>
        <v>-1.9903268108681544</v>
      </c>
      <c r="AY259" s="27">
        <f>AR259-AP259</f>
        <v>-20.638855327007334</v>
      </c>
      <c r="AZ259" s="27">
        <f>ABS(AY259)</f>
        <v>20.638855327007334</v>
      </c>
    </row>
    <row r="260" spans="1:57" s="27" customFormat="1" ht="12.75" customHeight="1" x14ac:dyDescent="0.2">
      <c r="A260" s="10">
        <v>702294</v>
      </c>
      <c r="B260" s="2">
        <v>25</v>
      </c>
      <c r="C260" s="10">
        <v>25</v>
      </c>
      <c r="D260" s="10">
        <v>24</v>
      </c>
      <c r="E260" s="10">
        <v>25</v>
      </c>
      <c r="F260" s="10">
        <v>25</v>
      </c>
      <c r="G260" s="10">
        <v>25</v>
      </c>
      <c r="H260" s="10">
        <v>25</v>
      </c>
      <c r="I260" s="10">
        <v>25</v>
      </c>
      <c r="J260" s="2"/>
      <c r="K260" s="10">
        <v>62</v>
      </c>
      <c r="L260" s="10">
        <v>62</v>
      </c>
      <c r="M260" s="10">
        <v>62</v>
      </c>
      <c r="N260" s="51">
        <v>57</v>
      </c>
      <c r="O260" s="11">
        <v>60</v>
      </c>
      <c r="P260" s="10"/>
      <c r="Q260" s="40"/>
      <c r="R260" s="2">
        <v>166</v>
      </c>
      <c r="S260" s="10">
        <f>IF(T260="",R260,MAX((R260+$R$8)/$R$2,(T260+$T$8)/$T$2)*$R$2-$R$8)</f>
        <v>179.72228934598533</v>
      </c>
      <c r="T260" s="12">
        <v>267</v>
      </c>
      <c r="U260" s="68">
        <f>IF(A260&lt;&gt;"",SUM(B260:I260),"")</f>
        <v>199</v>
      </c>
      <c r="V260" s="10">
        <f>IF(A260&lt;&gt;"",SUM(J260:O260),"")</f>
        <v>303</v>
      </c>
      <c r="W260" s="10">
        <f>IF(A260&lt;&gt;"",SUM(P260:Q260),"")</f>
        <v>0</v>
      </c>
      <c r="X260" s="10">
        <f>IF(A260&lt;&gt;"",SUM(S260:T260),"")</f>
        <v>446.72228934598536</v>
      </c>
      <c r="Y260" s="12">
        <v>3</v>
      </c>
      <c r="Z260" s="12">
        <f>IF(A260&lt;&gt;"",SUM(U260:Y260),"")</f>
        <v>951.72228934598536</v>
      </c>
      <c r="AA260" s="27">
        <f>IF(A260&lt;&gt;"",(Z260+Normalize_To_Add)/(Point_Total_So_Far)*100,"")</f>
        <v>102.68190212373038</v>
      </c>
      <c r="AB260" s="10">
        <f>IF(A260&lt;&gt;"",RANK(AA260,All_Student_XC),"")</f>
        <v>2</v>
      </c>
      <c r="AC260" s="31" t="str">
        <f>IF(A260&lt;&gt;"",CHOOSE(10-MIN(9,TRUNC((AA260+0.5)/10)),"A","B","C","D","F","F","F","F","F","F"),"")</f>
        <v>A</v>
      </c>
      <c r="AD260" s="31" t="str">
        <f>IF(A260&lt;&gt;"",IF(OR(AA260+0.5&gt;=93,AA260+0.5&lt;60),"",IF(MOD(AA260+0.5,10)&gt;=7,"+",IF(MOD(AA260+0.5,10)&lt;3,"-",""))),"")</f>
        <v/>
      </c>
      <c r="AE260" s="31">
        <f>IF(A260&lt;&gt;"",SUM(W260:X260,$W$8:$X$8)/SUM($W$2:$X$2)*100,"")</f>
        <v>104.36380424746076</v>
      </c>
      <c r="AF260" s="31" t="str">
        <f>IF(A260&lt;&gt;"",CHOOSE(10-MIN(9,TRUNC((AE260+0.5)/10)),"A","B","C","D","F","F","F","F","F","F"),"")</f>
        <v>A</v>
      </c>
      <c r="AG260" s="31" t="str">
        <f>IF(A260&lt;&gt;"",IF(OR(AE260+0.5&gt;=93,AE260+0.5&lt;60),"",IF(MOD(AE260+0.5,10)&gt;=7,"+",IF(MOD(AE260+0.5,10)&lt;3,"-",""))),"")</f>
        <v/>
      </c>
      <c r="AH260" s="35">
        <f>IF(A260&lt;&gt;"",MIN(MAX(AA260,AE260),AA260+$AH$8,AE260+$AH$8),"")</f>
        <v>104.36380424746076</v>
      </c>
      <c r="AI260" s="31" t="str">
        <f>IF(A260&lt;&gt;"",CHOOSE(10-MIN(9,TRUNC((AH260+0.5)/10)),"A","B","C","D","F","F","F","F","F","F"),"")</f>
        <v>A</v>
      </c>
      <c r="AJ260" s="31" t="str">
        <f>IF(A260&lt;&gt;"",IF(OR(AH260+0.5&gt;=93,AH260+0.5&lt;60),"",IF(MOD(AH260+0.5,10)&gt;=7,"+",IF(MOD(AH260+0.5,10)&lt;3,"-",""))),"")</f>
        <v/>
      </c>
      <c r="AK260" s="31" t="b">
        <f>IF(A260&lt;&gt;"",OR(AI260&lt;&gt;AC260,AJ260&lt;&gt;AD260),"")</f>
        <v>0</v>
      </c>
      <c r="AL260" s="81">
        <f>IF(AND(A260&lt;&gt;"",U260&gt;0),SUM(U260,$AL$8)/$AL$2*100,"")</f>
        <v>99.5</v>
      </c>
      <c r="AM260" s="24">
        <f>IF(AND(A260&lt;&gt;"",V260&gt;0),SUM(V260,$AM$8)/$AM$2*100,"")</f>
        <v>101</v>
      </c>
      <c r="AN260" s="24" t="str">
        <f>IF(AND(A260&lt;&gt;"",P260&lt;&gt;0),SUM(P260,$AN$8)/$AN$2*100,"")</f>
        <v/>
      </c>
      <c r="AO260" s="24" t="str">
        <f>IF(AND(A260&lt;&gt;"",Q260&lt;&gt;0),SUM(Q260,$AO$8)/$AO$2*100,"")</f>
        <v/>
      </c>
      <c r="AP260" s="24">
        <f>IF(AND(A260&lt;&gt;"",R260&lt;&gt;0),SUM(R260,$AP$8)/$AP$2*100,"")</f>
        <v>97.502659574468083</v>
      </c>
      <c r="AQ260" s="24" t="str">
        <f>IF(AND(A260&lt;&gt;"",W260&gt;0),SUM(W260,$AQ$8)/$AQ$2*100,"")</f>
        <v/>
      </c>
      <c r="AR260" s="24">
        <f>IF(AND(A260&lt;&gt;"",T260&gt;0),SUM(T260,$AR$8)/$AR$2*100,"")</f>
        <v>104.36380424746075</v>
      </c>
      <c r="AS260" s="24">
        <f>IF(AND(A260&lt;&gt;"",X260&lt;&gt;0),SUM(X260,$AS$8)/$AS$2*100,"")</f>
        <v>104.36380424746076</v>
      </c>
      <c r="AT260" s="86">
        <f>IF(A260&lt;&gt;"",SUM(W260:X260,$AT$8)/$AT$2*100,"")</f>
        <v>104.36380424746076</v>
      </c>
      <c r="AU260" s="24">
        <f>AA260</f>
        <v>102.68190212373038</v>
      </c>
      <c r="AV260" s="24"/>
      <c r="AW260" s="27">
        <f>IF(A260&lt;&gt;"",AE260-AA260,"")</f>
        <v>1.6819021237303815</v>
      </c>
      <c r="AY260" s="27">
        <f>AR260-AP260</f>
        <v>6.8611446729926655</v>
      </c>
      <c r="AZ260" s="27">
        <f>ABS(AY260)</f>
        <v>6.8611446729926655</v>
      </c>
    </row>
    <row r="261" spans="1:57" s="27" customFormat="1" ht="12.75" customHeight="1" x14ac:dyDescent="0.2">
      <c r="A261" s="50">
        <v>704718</v>
      </c>
      <c r="B261" s="2">
        <v>25</v>
      </c>
      <c r="C261" s="50">
        <v>25</v>
      </c>
      <c r="D261" s="10">
        <v>22</v>
      </c>
      <c r="E261" s="10">
        <v>22</v>
      </c>
      <c r="F261" s="10">
        <v>24</v>
      </c>
      <c r="G261" s="10">
        <v>25</v>
      </c>
      <c r="H261" s="10">
        <v>24</v>
      </c>
      <c r="I261" s="10">
        <v>23</v>
      </c>
      <c r="J261" s="2"/>
      <c r="K261" s="10">
        <v>63</v>
      </c>
      <c r="L261" s="10">
        <v>62</v>
      </c>
      <c r="M261" s="10">
        <v>57</v>
      </c>
      <c r="N261" s="51">
        <v>62</v>
      </c>
      <c r="O261" s="11">
        <v>59</v>
      </c>
      <c r="P261" s="10"/>
      <c r="Q261" s="40"/>
      <c r="R261" s="2">
        <v>143</v>
      </c>
      <c r="S261" s="10">
        <f>IF(T261="",R261,MAX((R261+$R$8)/$R$2,(T261+$T$8)/$T$2)*$R$2-$R$8)</f>
        <v>143</v>
      </c>
      <c r="T261" s="62">
        <v>203</v>
      </c>
      <c r="U261" s="2">
        <f>IF(A261&lt;&gt;"",SUM(B261:I261),"")</f>
        <v>190</v>
      </c>
      <c r="V261" s="10">
        <f>IF(A261&lt;&gt;"",SUM(J261:O261),"")</f>
        <v>303</v>
      </c>
      <c r="W261" s="10">
        <f>IF(A261&lt;&gt;"",SUM(P261:Q261),"")</f>
        <v>0</v>
      </c>
      <c r="X261" s="10">
        <f>IF(A261&lt;&gt;"",SUM(S261:T261),"")</f>
        <v>346</v>
      </c>
      <c r="Y261" s="12">
        <v>3</v>
      </c>
      <c r="Z261" s="12">
        <f>IF(A261&lt;&gt;"",SUM(U261:Y261),"")</f>
        <v>842</v>
      </c>
      <c r="AA261" s="27">
        <f>IF(A261&lt;&gt;"",(Z261+Normalize_To_Add)/(Point_Total_So_Far)*100,"")</f>
        <v>91.709673189131848</v>
      </c>
      <c r="AB261" s="10">
        <f>IF(A261&lt;&gt;"",RANK(AA261,All_Student_XC),"")</f>
        <v>58</v>
      </c>
      <c r="AC261" s="31" t="str">
        <f>IF(A261&lt;&gt;"",CHOOSE(10-MIN(9,TRUNC((AA261+0.5)/10)),"A","B","C","D","F","F","F","F","F","F"),"")</f>
        <v>A</v>
      </c>
      <c r="AD261" s="31" t="str">
        <f>IF(A261&lt;&gt;"",IF(OR(AA261+0.5&gt;=93,AA261+0.5&lt;60),"",IF(MOD(AA261+0.5,10)&gt;=7,"+",IF(MOD(AA261+0.5,10)&lt;3,"-",""))),"")</f>
        <v>-</v>
      </c>
      <c r="AE261" s="31">
        <f>IF(A261&lt;&gt;"",SUM(W261:X261,$W$8:$X$8)/SUM($W$2:$X$2)*100,"")</f>
        <v>84.21934637826368</v>
      </c>
      <c r="AF261" s="43" t="str">
        <f>IF(A261&lt;&gt;"",CHOOSE(10-MIN(9,TRUNC((AE261+0.5)/10)),"A","B","C","D","F","F","F","F","F","F"),"")</f>
        <v>B</v>
      </c>
      <c r="AG261" s="43" t="str">
        <f>IF(A261&lt;&gt;"",IF(OR(AE261+0.5&gt;=93,AE261+0.5&lt;60),"",IF(MOD(AE261+0.5,10)&gt;=7,"+",IF(MOD(AE261+0.5,10)&lt;3,"-",""))),"")</f>
        <v/>
      </c>
      <c r="AH261" s="35">
        <f>IF(A261&lt;&gt;"",MIN(MAX(AA261,AE261),AA261+$AH$8,AE261+$AH$8),"")</f>
        <v>91.709673189131848</v>
      </c>
      <c r="AI261" s="31" t="str">
        <f>IF(A261&lt;&gt;"",CHOOSE(10-MIN(9,TRUNC((AH261+0.5)/10)),"A","B","C","D","F","F","F","F","F","F"),"")</f>
        <v>A</v>
      </c>
      <c r="AJ261" s="31" t="str">
        <f>IF(A261&lt;&gt;"",IF(OR(AH261+0.5&gt;=93,AH261+0.5&lt;60),"",IF(MOD(AH261+0.5,10)&gt;=7,"+",IF(MOD(AH261+0.5,10)&lt;3,"-",""))),"")</f>
        <v>-</v>
      </c>
      <c r="AK261" s="31" t="b">
        <f>IF(A261&lt;&gt;"",OR(AI261&lt;&gt;AC261,AJ261&lt;&gt;AD261),"")</f>
        <v>0</v>
      </c>
      <c r="AL261" s="81">
        <f>IF(AND(A261&lt;&gt;"",U261&gt;0),SUM(U261,$AL$8)/$AL$2*100,"")</f>
        <v>95</v>
      </c>
      <c r="AM261" s="24">
        <f>IF(AND(A261&lt;&gt;"",V261&gt;0),SUM(V261,$AM$8)/$AM$2*100,"")</f>
        <v>101</v>
      </c>
      <c r="AN261" s="24" t="str">
        <f>IF(AND(A261&lt;&gt;"",P261&lt;&gt;0),SUM(P261,$AN$8)/$AN$2*100,"")</f>
        <v/>
      </c>
      <c r="AO261" s="24" t="str">
        <f>IF(AND(A261&lt;&gt;"",Q261&lt;&gt;0),SUM(Q261,$AO$8)/$AO$2*100,"")</f>
        <v/>
      </c>
      <c r="AP261" s="24">
        <f>IF(AND(A261&lt;&gt;"",R261&lt;&gt;0),SUM(R261,$AP$8)/$AP$2*100,"")</f>
        <v>86.002659574468083</v>
      </c>
      <c r="AQ261" s="24" t="str">
        <f>IF(AND(A261&lt;&gt;"",W261&gt;0),SUM(W261,$AQ$8)/$AQ$2*100,"")</f>
        <v/>
      </c>
      <c r="AR261" s="24">
        <f>IF(AND(A261&lt;&gt;"",T261&gt;0),SUM(T261,$AR$8)/$AR$2*100,"")</f>
        <v>83.03047091412742</v>
      </c>
      <c r="AS261" s="24">
        <f>IF(AND(A261&lt;&gt;"",X261&lt;&gt;0),SUM(X261,$AS$8)/$AS$2*100,"")</f>
        <v>84.21934637826368</v>
      </c>
      <c r="AT261" s="86">
        <f>IF(A261&lt;&gt;"",SUM(W261:X261,$AT$8)/$AT$2*100,"")</f>
        <v>84.21934637826368</v>
      </c>
      <c r="AU261" s="24">
        <f>AA261</f>
        <v>91.709673189131848</v>
      </c>
      <c r="AV261" s="24"/>
      <c r="AW261" s="27">
        <f>IF(A261&lt;&gt;"",AE261-AA261,"")</f>
        <v>-7.4903268108681686</v>
      </c>
      <c r="AY261" s="27">
        <f>AR261-AP261</f>
        <v>-2.9721886603406631</v>
      </c>
      <c r="AZ261" s="27">
        <f>ABS(AY261)</f>
        <v>2.9721886603406631</v>
      </c>
      <c r="BE261" s="51"/>
    </row>
    <row r="262" spans="1:57" s="27" customFormat="1" ht="12.75" customHeight="1" x14ac:dyDescent="0.2">
      <c r="A262" s="10">
        <v>705902</v>
      </c>
      <c r="B262" s="2">
        <v>23</v>
      </c>
      <c r="C262" s="10">
        <v>25</v>
      </c>
      <c r="D262" s="10">
        <v>22</v>
      </c>
      <c r="E262" s="10">
        <v>24</v>
      </c>
      <c r="F262" s="10">
        <v>25</v>
      </c>
      <c r="G262" s="10">
        <v>25</v>
      </c>
      <c r="H262" s="10">
        <v>25</v>
      </c>
      <c r="I262" s="10">
        <v>25</v>
      </c>
      <c r="J262" s="2"/>
      <c r="K262" s="10">
        <v>57</v>
      </c>
      <c r="L262" s="10">
        <v>62</v>
      </c>
      <c r="M262" s="10">
        <v>62</v>
      </c>
      <c r="N262" s="51">
        <v>55</v>
      </c>
      <c r="O262" s="11">
        <v>62</v>
      </c>
      <c r="P262" s="10"/>
      <c r="Q262" s="40"/>
      <c r="R262" s="2">
        <v>126</v>
      </c>
      <c r="S262" s="10">
        <f>IF(T262="",R262,MAX((R262+$R$8)/$R$2,(T262+$T$8)/$T$2)*$R$2-$R$8)</f>
        <v>128.38895601265202</v>
      </c>
      <c r="T262" s="12">
        <v>190</v>
      </c>
      <c r="U262" s="68">
        <f>IF(A262&lt;&gt;"",SUM(B262:I262),"")</f>
        <v>194</v>
      </c>
      <c r="V262" s="10">
        <f>IF(A262&lt;&gt;"",SUM(J262:O262),"")</f>
        <v>298</v>
      </c>
      <c r="W262" s="10">
        <f>IF(A262&lt;&gt;"",SUM(P262:Q262),"")</f>
        <v>0</v>
      </c>
      <c r="X262" s="10">
        <f>IF(A262&lt;&gt;"",SUM(S262:T262),"")</f>
        <v>318.38895601265199</v>
      </c>
      <c r="Y262" s="12">
        <v>3</v>
      </c>
      <c r="Z262" s="12">
        <f>IF(A262&lt;&gt;"",SUM(U262:Y262),"")</f>
        <v>813.38895601265199</v>
      </c>
      <c r="AA262" s="27">
        <f>IF(A262&lt;&gt;"",(Z262+Normalize_To_Add)/(Point_Total_So_Far)*100,"")</f>
        <v>88.848568790397039</v>
      </c>
      <c r="AB262" s="10">
        <f>IF(A262&lt;&gt;"",RANK(AA262,All_Student_XC),"")</f>
        <v>99</v>
      </c>
      <c r="AC262" s="31" t="str">
        <f>IF(A262&lt;&gt;"",CHOOSE(10-MIN(9,TRUNC((AA262+0.5)/10)),"A","B","C","D","F","F","F","F","F","F"),"")</f>
        <v>B</v>
      </c>
      <c r="AD262" s="31" t="str">
        <f>IF(A262&lt;&gt;"",IF(OR(AA262+0.5&gt;=93,AA262+0.5&lt;60),"",IF(MOD(AA262+0.5,10)&gt;=7,"+",IF(MOD(AA262+0.5,10)&lt;3,"-",""))),"")</f>
        <v>+</v>
      </c>
      <c r="AE262" s="31">
        <f>IF(A262&lt;&gt;"",SUM(W262:X262,$W$8:$X$8)/SUM($W$2:$X$2)*100,"")</f>
        <v>78.697137580794092</v>
      </c>
      <c r="AF262" s="31" t="str">
        <f>IF(A262&lt;&gt;"",CHOOSE(10-MIN(9,TRUNC((AE262+0.5)/10)),"A","B","C","D","F","F","F","F","F","F"),"")</f>
        <v>C</v>
      </c>
      <c r="AG262" s="31" t="str">
        <f>IF(A262&lt;&gt;"",IF(OR(AE262+0.5&gt;=93,AE262+0.5&lt;60),"",IF(MOD(AE262+0.5,10)&gt;=7,"+",IF(MOD(AE262+0.5,10)&lt;3,"-",""))),"")</f>
        <v>+</v>
      </c>
      <c r="AH262" s="35">
        <f>IF(A262&lt;&gt;"",MIN(MAX(AA262,AE262),AA262+$AH$8,AE262+$AH$8),"")</f>
        <v>88.848568790397039</v>
      </c>
      <c r="AI262" s="31" t="str">
        <f>IF(A262&lt;&gt;"",CHOOSE(10-MIN(9,TRUNC((AH262+0.5)/10)),"A","B","C","D","F","F","F","F","F","F"),"")</f>
        <v>B</v>
      </c>
      <c r="AJ262" s="31" t="str">
        <f>IF(A262&lt;&gt;"",IF(OR(AH262+0.5&gt;=93,AH262+0.5&lt;60),"",IF(MOD(AH262+0.5,10)&gt;=7,"+",IF(MOD(AH262+0.5,10)&lt;3,"-",""))),"")</f>
        <v>+</v>
      </c>
      <c r="AK262" s="31" t="b">
        <f>IF(A262&lt;&gt;"",OR(AI262&lt;&gt;AC262,AJ262&lt;&gt;AD262),"")</f>
        <v>0</v>
      </c>
      <c r="AL262" s="81">
        <f>IF(AND(A262&lt;&gt;"",U262&gt;0),SUM(U262,$AL$8)/$AL$2*100,"")</f>
        <v>97</v>
      </c>
      <c r="AM262" s="24">
        <f>IF(AND(A262&lt;&gt;"",V262&gt;0),SUM(V262,$AM$8)/$AM$2*100,"")</f>
        <v>99.333333333333329</v>
      </c>
      <c r="AN262" s="24" t="str">
        <f>IF(AND(A262&lt;&gt;"",P262&lt;&gt;0),SUM(P262,$AN$8)/$AN$2*100,"")</f>
        <v/>
      </c>
      <c r="AO262" s="24" t="str">
        <f>IF(AND(A262&lt;&gt;"",Q262&lt;&gt;0),SUM(Q262,$AO$8)/$AO$2*100,"")</f>
        <v/>
      </c>
      <c r="AP262" s="24">
        <f>IF(AND(A262&lt;&gt;"",R262&lt;&gt;0),SUM(R262,$AP$8)/$AP$2*100,"")</f>
        <v>77.502659574468083</v>
      </c>
      <c r="AQ262" s="24" t="str">
        <f>IF(AND(A262&lt;&gt;"",W262&gt;0),SUM(W262,$AQ$8)/$AQ$2*100,"")</f>
        <v/>
      </c>
      <c r="AR262" s="24">
        <f>IF(AND(A262&lt;&gt;"",T262&gt;0),SUM(T262,$AR$8)/$AR$2*100,"")</f>
        <v>78.697137580794092</v>
      </c>
      <c r="AS262" s="24">
        <f>IF(AND(A262&lt;&gt;"",X262&lt;&gt;0),SUM(X262,$AS$8)/$AS$2*100,"")</f>
        <v>78.697137580794092</v>
      </c>
      <c r="AT262" s="86">
        <f>IF(A262&lt;&gt;"",SUM(W262:X262,$AT$8)/$AT$2*100,"")</f>
        <v>78.697137580794092</v>
      </c>
      <c r="AU262" s="24">
        <f>AA262</f>
        <v>88.848568790397039</v>
      </c>
      <c r="AV262" s="24"/>
      <c r="AW262" s="27">
        <f>IF(A262&lt;&gt;"",AE262-AA262,"")</f>
        <v>-10.151431209602947</v>
      </c>
      <c r="AY262" s="27">
        <f>AR262-AP262</f>
        <v>1.1944780063260083</v>
      </c>
      <c r="AZ262" s="27">
        <f>ABS(AY262)</f>
        <v>1.1944780063260083</v>
      </c>
    </row>
    <row r="263" spans="1:57" s="27" customFormat="1" ht="12.75" customHeight="1" x14ac:dyDescent="0.2">
      <c r="A263" s="50">
        <v>707060</v>
      </c>
      <c r="B263" s="2">
        <v>23</v>
      </c>
      <c r="C263" s="50">
        <v>25</v>
      </c>
      <c r="D263" s="10">
        <v>18</v>
      </c>
      <c r="E263" s="10">
        <v>7</v>
      </c>
      <c r="F263" s="10">
        <v>14</v>
      </c>
      <c r="G263" s="10">
        <v>25</v>
      </c>
      <c r="H263" s="10">
        <v>25</v>
      </c>
      <c r="I263" s="10">
        <v>11</v>
      </c>
      <c r="J263" s="2"/>
      <c r="K263" s="10">
        <v>60</v>
      </c>
      <c r="L263" s="10">
        <v>27</v>
      </c>
      <c r="M263" s="10">
        <v>0</v>
      </c>
      <c r="N263" s="51">
        <v>51</v>
      </c>
      <c r="O263" s="11">
        <v>45</v>
      </c>
      <c r="P263" s="10"/>
      <c r="Q263" s="40"/>
      <c r="R263" s="2">
        <v>127</v>
      </c>
      <c r="S263" s="10">
        <f>IF(T263="",R263,MAX((R263+$R$8)/$R$2,(T263+$T$8)/$T$2)*$R$2-$R$8)</f>
        <v>127</v>
      </c>
      <c r="T263" s="62">
        <v>167</v>
      </c>
      <c r="U263" s="2">
        <f>IF(A263&lt;&gt;"",SUM(B263:I263),"")</f>
        <v>148</v>
      </c>
      <c r="V263" s="10">
        <f>IF(A263&lt;&gt;"",SUM(J263:O263),"")</f>
        <v>183</v>
      </c>
      <c r="W263" s="10">
        <f>IF(A263&lt;&gt;"",SUM(P263:Q263),"")</f>
        <v>0</v>
      </c>
      <c r="X263" s="10">
        <f>IF(A263&lt;&gt;"",SUM(S263:T263),"")</f>
        <v>294</v>
      </c>
      <c r="Y263" s="12" t="s">
        <v>69</v>
      </c>
      <c r="Z263" s="12">
        <f>IF(A263&lt;&gt;"",SUM(U263:Y263),"")</f>
        <v>625</v>
      </c>
      <c r="AA263" s="27">
        <f>IF(A263&lt;&gt;"",(Z263+Normalize_To_Add)/(Point_Total_So_Far)*100,"")</f>
        <v>70.009673189131831</v>
      </c>
      <c r="AB263" s="10">
        <f>IF(A263&lt;&gt;"",RANK(AA263,All_Student_XC),"")</f>
        <v>312</v>
      </c>
      <c r="AC263" s="31" t="str">
        <f>IF(A263&lt;&gt;"",CHOOSE(10-MIN(9,TRUNC((AA263+0.5)/10)),"A","B","C","D","F","F","F","F","F","F"),"")</f>
        <v>C</v>
      </c>
      <c r="AD263" s="31" t="str">
        <f>IF(A263&lt;&gt;"",IF(OR(AA263+0.5&gt;=93,AA263+0.5&lt;60),"",IF(MOD(AA263+0.5,10)&gt;=7,"+",IF(MOD(AA263+0.5,10)&lt;3,"-",""))),"")</f>
        <v>-</v>
      </c>
      <c r="AE263" s="31">
        <f>IF(A263&lt;&gt;"",SUM(W263:X263,$W$8:$X$8)/SUM($W$2:$X$2)*100,"")</f>
        <v>73.819346378263688</v>
      </c>
      <c r="AF263" s="43" t="str">
        <f>IF(A263&lt;&gt;"",CHOOSE(10-MIN(9,TRUNC((AE263+0.5)/10)),"A","B","C","D","F","F","F","F","F","F"),"")</f>
        <v>C</v>
      </c>
      <c r="AG263" s="43" t="str">
        <f>IF(A263&lt;&gt;"",IF(OR(AE263+0.5&gt;=93,AE263+0.5&lt;60),"",IF(MOD(AE263+0.5,10)&gt;=7,"+",IF(MOD(AE263+0.5,10)&lt;3,"-",""))),"")</f>
        <v/>
      </c>
      <c r="AH263" s="35">
        <f>IF(A263&lt;&gt;"",MIN(MAX(AA263,AE263),AA263+$AH$8,AE263+$AH$8),"")</f>
        <v>73.819346378263688</v>
      </c>
      <c r="AI263" s="31" t="str">
        <f>IF(A263&lt;&gt;"",CHOOSE(10-MIN(9,TRUNC((AH263+0.5)/10)),"A","B","C","D","F","F","F","F","F","F"),"")</f>
        <v>C</v>
      </c>
      <c r="AJ263" s="31" t="str">
        <f>IF(A263&lt;&gt;"",IF(OR(AH263+0.5&gt;=93,AH263+0.5&lt;60),"",IF(MOD(AH263+0.5,10)&gt;=7,"+",IF(MOD(AH263+0.5,10)&lt;3,"-",""))),"")</f>
        <v/>
      </c>
      <c r="AK263" s="31" t="b">
        <f>IF(A263&lt;&gt;"",OR(AI263&lt;&gt;AC263,AJ263&lt;&gt;AD263),"")</f>
        <v>1</v>
      </c>
      <c r="AL263" s="81">
        <f>IF(AND(A263&lt;&gt;"",U263&gt;0),SUM(U263,$AL$8)/$AL$2*100,"")</f>
        <v>74</v>
      </c>
      <c r="AM263" s="24">
        <f>IF(AND(A263&lt;&gt;"",V263&gt;0),SUM(V263,$AM$8)/$AM$2*100,"")</f>
        <v>61</v>
      </c>
      <c r="AN263" s="24" t="str">
        <f>IF(AND(A263&lt;&gt;"",P263&lt;&gt;0),SUM(P263,$AN$8)/$AN$2*100,"")</f>
        <v/>
      </c>
      <c r="AO263" s="24" t="str">
        <f>IF(AND(A263&lt;&gt;"",Q263&lt;&gt;0),SUM(Q263,$AO$8)/$AO$2*100,"")</f>
        <v/>
      </c>
      <c r="AP263" s="24">
        <f>IF(AND(A263&lt;&gt;"",R263&lt;&gt;0),SUM(R263,$AP$8)/$AP$2*100,"")</f>
        <v>78.002659574468083</v>
      </c>
      <c r="AQ263" s="24" t="str">
        <f>IF(AND(A263&lt;&gt;"",W263&gt;0),SUM(W263,$AQ$8)/$AQ$2*100,"")</f>
        <v/>
      </c>
      <c r="AR263" s="24">
        <f>IF(AND(A263&lt;&gt;"",T263&gt;0),SUM(T263,$AR$8)/$AR$2*100,"")</f>
        <v>71.03047091412742</v>
      </c>
      <c r="AS263" s="24">
        <f>IF(AND(A263&lt;&gt;"",X263&lt;&gt;0),SUM(X263,$AS$8)/$AS$2*100,"")</f>
        <v>73.819346378263688</v>
      </c>
      <c r="AT263" s="86">
        <f>IF(A263&lt;&gt;"",SUM(W263:X263,$AT$8)/$AT$2*100,"")</f>
        <v>73.819346378263688</v>
      </c>
      <c r="AU263" s="24">
        <f>AA263</f>
        <v>70.009673189131831</v>
      </c>
      <c r="AV263" s="24"/>
      <c r="AW263" s="27">
        <f>IF(A263&lt;&gt;"",AE263-AA263,"")</f>
        <v>3.8096731891318569</v>
      </c>
      <c r="AY263" s="27">
        <f>AR263-AP263</f>
        <v>-6.9721886603406631</v>
      </c>
      <c r="AZ263" s="27">
        <f>ABS(AY263)</f>
        <v>6.9721886603406631</v>
      </c>
    </row>
    <row r="264" spans="1:57" s="27" customFormat="1" ht="12.75" customHeight="1" x14ac:dyDescent="0.2">
      <c r="A264" s="10">
        <v>708012</v>
      </c>
      <c r="B264" s="2">
        <v>25</v>
      </c>
      <c r="C264" s="10">
        <v>25</v>
      </c>
      <c r="D264" s="10">
        <v>23</v>
      </c>
      <c r="E264" s="10">
        <v>25</v>
      </c>
      <c r="F264" s="10">
        <v>20</v>
      </c>
      <c r="G264" s="10">
        <v>25</v>
      </c>
      <c r="H264" s="10">
        <v>24</v>
      </c>
      <c r="I264" s="10">
        <v>25</v>
      </c>
      <c r="J264" s="2"/>
      <c r="K264" s="10">
        <v>62</v>
      </c>
      <c r="L264" s="10">
        <v>62</v>
      </c>
      <c r="M264" s="10">
        <v>61</v>
      </c>
      <c r="N264" s="10">
        <v>62</v>
      </c>
      <c r="O264" s="11">
        <v>61</v>
      </c>
      <c r="P264" s="40"/>
      <c r="Q264" s="40"/>
      <c r="R264" s="2">
        <v>184</v>
      </c>
      <c r="S264" s="10">
        <f>IF(T264="",R264,MAX((R264+$R$8)/$R$2,(T264+$T$8)/$T$2)*$R$2-$R$8)</f>
        <v>183.99999999999997</v>
      </c>
      <c r="T264" s="12">
        <v>259</v>
      </c>
      <c r="U264" s="1">
        <f>IF(A264&lt;&gt;"",SUM(B264:I264),"")</f>
        <v>192</v>
      </c>
      <c r="V264" s="10">
        <f>IF(A264&lt;&gt;"",SUM(J264:O264),"")</f>
        <v>308</v>
      </c>
      <c r="W264" s="10">
        <f>IF(A264&lt;&gt;"",SUM(P264:Q264),"")</f>
        <v>0</v>
      </c>
      <c r="X264" s="10">
        <f>IF(A264&lt;&gt;"",SUM(S264:T264),"")</f>
        <v>443</v>
      </c>
      <c r="Y264" s="12">
        <v>3</v>
      </c>
      <c r="Z264" s="12">
        <f>IF(A264&lt;&gt;"",SUM(U264:Y264),"")</f>
        <v>946</v>
      </c>
      <c r="AA264" s="27">
        <f>IF(A264&lt;&gt;"",(Z264+Normalize_To_Add)/(Point_Total_So_Far)*100,"")</f>
        <v>102.10967318913184</v>
      </c>
      <c r="AB264" s="10">
        <f>IF(A264&lt;&gt;"",RANK(AA264,All_Student_XC),"")</f>
        <v>3</v>
      </c>
      <c r="AC264" s="31" t="str">
        <f>IF(A264&lt;&gt;"",CHOOSE(10-MIN(9,TRUNC((AA264+0.5)/10)),"A","B","C","D","F","F","F","F","F","F"),"")</f>
        <v>A</v>
      </c>
      <c r="AD264" s="31" t="str">
        <f>IF(A264&lt;&gt;"",IF(OR(AA264+0.5&gt;=93,AA264+0.5&lt;60),"",IF(MOD(AA264+0.5,10)&gt;=7,"+",IF(MOD(AA264+0.5,10)&lt;3,"-",""))),"")</f>
        <v/>
      </c>
      <c r="AE264" s="31">
        <f>IF(A264&lt;&gt;"",SUM(W264:X264,$W$8:$X$8)/SUM($W$2:$X$2)*100,"")</f>
        <v>103.61934637826369</v>
      </c>
      <c r="AF264" s="31" t="str">
        <f>IF(A264&lt;&gt;"",CHOOSE(10-MIN(9,TRUNC((AE264+0.5)/10)),"A","B","C","D","F","F","F","F","F","F"),"")</f>
        <v>A</v>
      </c>
      <c r="AG264" s="31" t="str">
        <f>IF(A264&lt;&gt;"",IF(OR(AE264+0.5&gt;=93,AE264+0.5&lt;60),"",IF(MOD(AE264+0.5,10)&gt;=7,"+",IF(MOD(AE264+0.5,10)&lt;3,"-",""))),"")</f>
        <v/>
      </c>
      <c r="AH264" s="35">
        <f>IF(A264&lt;&gt;"",MIN(MAX(AA264,AE264),AA264+$AH$8,AE264+$AH$8),"")</f>
        <v>103.61934637826369</v>
      </c>
      <c r="AI264" s="31" t="str">
        <f>IF(A264&lt;&gt;"",CHOOSE(10-MIN(9,TRUNC((AH264+0.5)/10)),"A","B","C","D","F","F","F","F","F","F"),"")</f>
        <v>A</v>
      </c>
      <c r="AJ264" s="31" t="str">
        <f>IF(A264&lt;&gt;"",IF(OR(AH264+0.5&gt;=93,AH264+0.5&lt;60),"",IF(MOD(AH264+0.5,10)&gt;=7,"+",IF(MOD(AH264+0.5,10)&lt;3,"-",""))),"")</f>
        <v/>
      </c>
      <c r="AK264" s="31" t="b">
        <f>IF(A264&lt;&gt;"",OR(AI264&lt;&gt;AC264,AJ264&lt;&gt;AD264),"")</f>
        <v>0</v>
      </c>
      <c r="AL264" s="81">
        <f>IF(AND(A264&lt;&gt;"",U264&gt;0),SUM(U264,$AL$8)/$AL$2*100,"")</f>
        <v>96</v>
      </c>
      <c r="AM264" s="24">
        <f>IF(AND(A264&lt;&gt;"",V264&gt;0),SUM(V264,$AM$8)/$AM$2*100,"")</f>
        <v>102.66666666666666</v>
      </c>
      <c r="AN264" s="24" t="str">
        <f>IF(AND(A264&lt;&gt;"",P264&lt;&gt;0),SUM(P264,$AN$8)/$AN$2*100,"")</f>
        <v/>
      </c>
      <c r="AO264" s="24" t="str">
        <f>IF(AND(A264&lt;&gt;"",Q264&lt;&gt;0),SUM(Q264,$AO$8)/$AO$2*100,"")</f>
        <v/>
      </c>
      <c r="AP264" s="24">
        <f>IF(AND(A264&lt;&gt;"",R264&lt;&gt;0),SUM(R264,$AP$8)/$AP$2*100,"")</f>
        <v>106.50265957446807</v>
      </c>
      <c r="AQ264" s="24" t="str">
        <f>IF(AND(A264&lt;&gt;"",W264&gt;0),SUM(W264,$AQ$8)/$AQ$2*100,"")</f>
        <v/>
      </c>
      <c r="AR264" s="24">
        <f>IF(AND(A264&lt;&gt;"",T264&gt;0),SUM(T264,$AR$8)/$AR$2*100,"")</f>
        <v>101.69713758079408</v>
      </c>
      <c r="AS264" s="24">
        <f>IF(AND(A264&lt;&gt;"",X264&lt;&gt;0),SUM(X264,$AS$8)/$AS$2*100,"")</f>
        <v>103.61934637826369</v>
      </c>
      <c r="AT264" s="86">
        <f>IF(A264&lt;&gt;"",SUM(W264:X264,$AT$8)/$AT$2*100,"")</f>
        <v>103.61934637826369</v>
      </c>
      <c r="AU264" s="24">
        <f>AA264</f>
        <v>102.10967318913184</v>
      </c>
      <c r="AV264" s="24"/>
      <c r="AW264" s="27">
        <f>IF(A264&lt;&gt;"",AE264-AA264,"")</f>
        <v>1.5096731891318456</v>
      </c>
      <c r="AY264" s="27">
        <f>AR264-AP264</f>
        <v>-4.8055219936739917</v>
      </c>
      <c r="AZ264" s="27">
        <f>ABS(AY264)</f>
        <v>4.8055219936739917</v>
      </c>
    </row>
    <row r="265" spans="1:57" s="27" customFormat="1" ht="12.75" customHeight="1" x14ac:dyDescent="0.2">
      <c r="A265" s="50">
        <v>709132</v>
      </c>
      <c r="B265" s="2">
        <v>23</v>
      </c>
      <c r="C265" s="50">
        <v>22</v>
      </c>
      <c r="D265" s="10">
        <v>23</v>
      </c>
      <c r="E265" s="10">
        <v>22</v>
      </c>
      <c r="F265" s="10">
        <v>24</v>
      </c>
      <c r="G265" s="10">
        <v>25</v>
      </c>
      <c r="H265" s="10">
        <v>2</v>
      </c>
      <c r="I265" s="10">
        <v>23</v>
      </c>
      <c r="J265" s="2"/>
      <c r="K265" s="10">
        <v>59</v>
      </c>
      <c r="L265" s="10">
        <v>43</v>
      </c>
      <c r="M265" s="10">
        <v>58</v>
      </c>
      <c r="N265" s="51">
        <v>48</v>
      </c>
      <c r="O265" s="11">
        <v>45</v>
      </c>
      <c r="P265" s="10"/>
      <c r="Q265" s="40"/>
      <c r="R265" s="2">
        <v>123</v>
      </c>
      <c r="S265" s="10">
        <f>IF(T265="",R265,MAX((R265+$R$8)/$R$2,(T265+$T$8)/$T$2)*$R$2-$R$8)</f>
        <v>128.38895601265202</v>
      </c>
      <c r="T265" s="62">
        <v>190</v>
      </c>
      <c r="U265" s="2">
        <f>IF(A265&lt;&gt;"",SUM(B265:I265),"")</f>
        <v>164</v>
      </c>
      <c r="V265" s="10">
        <f>IF(A265&lt;&gt;"",SUM(J265:O265),"")</f>
        <v>253</v>
      </c>
      <c r="W265" s="10">
        <f>IF(A265&lt;&gt;"",SUM(P265:Q265),"")</f>
        <v>0</v>
      </c>
      <c r="X265" s="10">
        <f>IF(A265&lt;&gt;"",SUM(S265:T265),"")</f>
        <v>318.38895601265199</v>
      </c>
      <c r="Y265" s="12">
        <v>3</v>
      </c>
      <c r="Z265" s="12">
        <f>IF(A265&lt;&gt;"",SUM(U265:Y265),"")</f>
        <v>738.38895601265199</v>
      </c>
      <c r="AA265" s="27">
        <f>IF(A265&lt;&gt;"",(Z265+Normalize_To_Add)/(Point_Total_So_Far)*100,"")</f>
        <v>81.348568790397053</v>
      </c>
      <c r="AB265" s="10">
        <f>IF(A265&lt;&gt;"",RANK(AA265,All_Student_XC),"")</f>
        <v>191</v>
      </c>
      <c r="AC265" s="31" t="str">
        <f>IF(A265&lt;&gt;"",CHOOSE(10-MIN(9,TRUNC((AA265+0.5)/10)),"A","B","C","D","F","F","F","F","F","F"),"")</f>
        <v>B</v>
      </c>
      <c r="AD265" s="31" t="str">
        <f>IF(A265&lt;&gt;"",IF(OR(AA265+0.5&gt;=93,AA265+0.5&lt;60),"",IF(MOD(AA265+0.5,10)&gt;=7,"+",IF(MOD(AA265+0.5,10)&lt;3,"-",""))),"")</f>
        <v>-</v>
      </c>
      <c r="AE265" s="31">
        <f>IF(A265&lt;&gt;"",SUM(W265:X265,$W$8:$X$8)/SUM($W$2:$X$2)*100,"")</f>
        <v>78.697137580794092</v>
      </c>
      <c r="AF265" s="43" t="str">
        <f>IF(A265&lt;&gt;"",CHOOSE(10-MIN(9,TRUNC((AE265+0.5)/10)),"A","B","C","D","F","F","F","F","F","F"),"")</f>
        <v>C</v>
      </c>
      <c r="AG265" s="43" t="str">
        <f>IF(A265&lt;&gt;"",IF(OR(AE265+0.5&gt;=93,AE265+0.5&lt;60),"",IF(MOD(AE265+0.5,10)&gt;=7,"+",IF(MOD(AE265+0.5,10)&lt;3,"-",""))),"")</f>
        <v>+</v>
      </c>
      <c r="AH265" s="35">
        <f>IF(A265&lt;&gt;"",MIN(MAX(AA265,AE265),AA265+$AH$8,AE265+$AH$8),"")</f>
        <v>81.348568790397053</v>
      </c>
      <c r="AI265" s="31" t="str">
        <f>IF(A265&lt;&gt;"",CHOOSE(10-MIN(9,TRUNC((AH265+0.5)/10)),"A","B","C","D","F","F","F","F","F","F"),"")</f>
        <v>B</v>
      </c>
      <c r="AJ265" s="31" t="str">
        <f>IF(A265&lt;&gt;"",IF(OR(AH265+0.5&gt;=93,AH265+0.5&lt;60),"",IF(MOD(AH265+0.5,10)&gt;=7,"+",IF(MOD(AH265+0.5,10)&lt;3,"-",""))),"")</f>
        <v>-</v>
      </c>
      <c r="AK265" s="31" t="b">
        <f>IF(A265&lt;&gt;"",OR(AI265&lt;&gt;AC265,AJ265&lt;&gt;AD265),"")</f>
        <v>0</v>
      </c>
      <c r="AL265" s="81">
        <f>IF(AND(A265&lt;&gt;"",U265&gt;0),SUM(U265,$AL$8)/$AL$2*100,"")</f>
        <v>82</v>
      </c>
      <c r="AM265" s="24">
        <f>IF(AND(A265&lt;&gt;"",V265&gt;0),SUM(V265,$AM$8)/$AM$2*100,"")</f>
        <v>84.333333333333343</v>
      </c>
      <c r="AN265" s="24" t="str">
        <f>IF(AND(A265&lt;&gt;"",P265&lt;&gt;0),SUM(P265,$AN$8)/$AN$2*100,"")</f>
        <v/>
      </c>
      <c r="AO265" s="24" t="str">
        <f>IF(AND(A265&lt;&gt;"",Q265&lt;&gt;0),SUM(Q265,$AO$8)/$AO$2*100,"")</f>
        <v/>
      </c>
      <c r="AP265" s="24">
        <f>IF(AND(A265&lt;&gt;"",R265&lt;&gt;0),SUM(R265,$AP$8)/$AP$2*100,"")</f>
        <v>76.002659574468083</v>
      </c>
      <c r="AQ265" s="24" t="str">
        <f>IF(AND(A265&lt;&gt;"",W265&gt;0),SUM(W265,$AQ$8)/$AQ$2*100,"")</f>
        <v/>
      </c>
      <c r="AR265" s="24">
        <f>IF(AND(A265&lt;&gt;"",T265&gt;0),SUM(T265,$AR$8)/$AR$2*100,"")</f>
        <v>78.697137580794092</v>
      </c>
      <c r="AS265" s="24">
        <f>IF(AND(A265&lt;&gt;"",X265&lt;&gt;0),SUM(X265,$AS$8)/$AS$2*100,"")</f>
        <v>78.697137580794092</v>
      </c>
      <c r="AT265" s="86">
        <f>IF(A265&lt;&gt;"",SUM(W265:X265,$AT$8)/$AT$2*100,"")</f>
        <v>78.697137580794092</v>
      </c>
      <c r="AU265" s="24">
        <f>AA265</f>
        <v>81.348568790397053</v>
      </c>
      <c r="AV265" s="24"/>
      <c r="AW265" s="27">
        <f>IF(A265&lt;&gt;"",AE265-AA265,"")</f>
        <v>-2.6514312096029613</v>
      </c>
      <c r="AY265" s="27">
        <f>AR265-AP265</f>
        <v>2.6944780063260083</v>
      </c>
      <c r="AZ265" s="27">
        <f>ABS(AY265)</f>
        <v>2.6944780063260083</v>
      </c>
    </row>
    <row r="266" spans="1:57" s="27" customFormat="1" ht="12.75" customHeight="1" x14ac:dyDescent="0.2">
      <c r="A266" s="50">
        <v>709174</v>
      </c>
      <c r="B266" s="2">
        <v>25</v>
      </c>
      <c r="C266" s="50">
        <v>23</v>
      </c>
      <c r="D266" s="10" t="s">
        <v>69</v>
      </c>
      <c r="E266" s="10">
        <v>16</v>
      </c>
      <c r="F266" s="10">
        <v>22</v>
      </c>
      <c r="G266" s="10">
        <v>19</v>
      </c>
      <c r="H266" s="10">
        <v>14</v>
      </c>
      <c r="I266" s="10">
        <v>25</v>
      </c>
      <c r="J266" s="2"/>
      <c r="K266" s="10">
        <v>50</v>
      </c>
      <c r="L266" s="10">
        <v>57</v>
      </c>
      <c r="M266" s="10">
        <v>59</v>
      </c>
      <c r="N266" s="51">
        <v>55</v>
      </c>
      <c r="O266" s="11">
        <v>61</v>
      </c>
      <c r="P266" s="10"/>
      <c r="Q266" s="40"/>
      <c r="R266" s="2">
        <v>91</v>
      </c>
      <c r="S266" s="10">
        <f>IF(T266="",R266,MAX((R266+$R$8)/$R$2,(T266+$T$8)/$T$2)*$R$2-$R$8)</f>
        <v>115.72228934598533</v>
      </c>
      <c r="T266" s="62">
        <v>171</v>
      </c>
      <c r="U266" s="2">
        <f>IF(A266&lt;&gt;"",SUM(B266:I266),"")</f>
        <v>144</v>
      </c>
      <c r="V266" s="10">
        <f>IF(A266&lt;&gt;"",SUM(J266:O266),"")</f>
        <v>282</v>
      </c>
      <c r="W266" s="10">
        <f>IF(A266&lt;&gt;"",SUM(P266:Q266),"")</f>
        <v>0</v>
      </c>
      <c r="X266" s="10">
        <f>IF(A266&lt;&gt;"",SUM(S266:T266),"")</f>
        <v>286.72228934598536</v>
      </c>
      <c r="Y266" s="12">
        <v>3</v>
      </c>
      <c r="Z266" s="12">
        <f>IF(A266&lt;&gt;"",SUM(U266:Y266),"")</f>
        <v>715.72228934598536</v>
      </c>
      <c r="AA266" s="27">
        <f>IF(A266&lt;&gt;"",(Z266+Normalize_To_Add)/(Point_Total_So_Far)*100,"")</f>
        <v>79.081902123730373</v>
      </c>
      <c r="AB266" s="10">
        <f>IF(A266&lt;&gt;"",RANK(AA266,All_Student_XC),"")</f>
        <v>223</v>
      </c>
      <c r="AC266" s="31" t="str">
        <f>IF(A266&lt;&gt;"",CHOOSE(10-MIN(9,TRUNC((AA266+0.5)/10)),"A","B","C","D","F","F","F","F","F","F"),"")</f>
        <v>C</v>
      </c>
      <c r="AD266" s="31" t="str">
        <f>IF(A266&lt;&gt;"",IF(OR(AA266+0.5&gt;=93,AA266+0.5&lt;60),"",IF(MOD(AA266+0.5,10)&gt;=7,"+",IF(MOD(AA266+0.5,10)&lt;3,"-",""))),"")</f>
        <v>+</v>
      </c>
      <c r="AE266" s="31">
        <f>IF(A266&lt;&gt;"",SUM(W266:X266,$W$8:$X$8)/SUM($W$2:$X$2)*100,"")</f>
        <v>72.363804247460763</v>
      </c>
      <c r="AF266" s="43" t="str">
        <f>IF(A266&lt;&gt;"",CHOOSE(10-MIN(9,TRUNC((AE266+0.5)/10)),"A","B","C","D","F","F","F","F","F","F"),"")</f>
        <v>C</v>
      </c>
      <c r="AG266" s="43" t="str">
        <f>IF(A266&lt;&gt;"",IF(OR(AE266+0.5&gt;=93,AE266+0.5&lt;60),"",IF(MOD(AE266+0.5,10)&gt;=7,"+",IF(MOD(AE266+0.5,10)&lt;3,"-",""))),"")</f>
        <v>-</v>
      </c>
      <c r="AH266" s="35">
        <f>IF(A266&lt;&gt;"",MIN(MAX(AA266,AE266),AA266+$AH$8,AE266+$AH$8),"")</f>
        <v>79.081902123730373</v>
      </c>
      <c r="AI266" s="31" t="str">
        <f>IF(A266&lt;&gt;"",CHOOSE(10-MIN(9,TRUNC((AH266+0.5)/10)),"A","B","C","D","F","F","F","F","F","F"),"")</f>
        <v>C</v>
      </c>
      <c r="AJ266" s="31" t="str">
        <f>IF(A266&lt;&gt;"",IF(OR(AH266+0.5&gt;=93,AH266+0.5&lt;60),"",IF(MOD(AH266+0.5,10)&gt;=7,"+",IF(MOD(AH266+0.5,10)&lt;3,"-",""))),"")</f>
        <v>+</v>
      </c>
      <c r="AK266" s="31" t="b">
        <f>IF(A266&lt;&gt;"",OR(AI266&lt;&gt;AC266,AJ266&lt;&gt;AD266),"")</f>
        <v>0</v>
      </c>
      <c r="AL266" s="81">
        <f>IF(AND(A266&lt;&gt;"",U266&gt;0),SUM(U266,$AL$8)/$AL$2*100,"")</f>
        <v>72</v>
      </c>
      <c r="AM266" s="24">
        <f>IF(AND(A266&lt;&gt;"",V266&gt;0),SUM(V266,$AM$8)/$AM$2*100,"")</f>
        <v>94</v>
      </c>
      <c r="AN266" s="24" t="str">
        <f>IF(AND(A266&lt;&gt;"",P266&lt;&gt;0),SUM(P266,$AN$8)/$AN$2*100,"")</f>
        <v/>
      </c>
      <c r="AO266" s="24" t="str">
        <f>IF(AND(A266&lt;&gt;"",Q266&lt;&gt;0),SUM(Q266,$AO$8)/$AO$2*100,"")</f>
        <v/>
      </c>
      <c r="AP266" s="24">
        <f>IF(AND(A266&lt;&gt;"",R266&lt;&gt;0),SUM(R266,$AP$8)/$AP$2*100,"")</f>
        <v>60.002659574468083</v>
      </c>
      <c r="AQ266" s="24" t="str">
        <f>IF(AND(A266&lt;&gt;"",W266&gt;0),SUM(W266,$AQ$8)/$AQ$2*100,"")</f>
        <v/>
      </c>
      <c r="AR266" s="24">
        <f>IF(AND(A266&lt;&gt;"",T266&gt;0),SUM(T266,$AR$8)/$AR$2*100,"")</f>
        <v>72.363804247460749</v>
      </c>
      <c r="AS266" s="24">
        <f>IF(AND(A266&lt;&gt;"",X266&lt;&gt;0),SUM(X266,$AS$8)/$AS$2*100,"")</f>
        <v>72.363804247460763</v>
      </c>
      <c r="AT266" s="86">
        <f>IF(A266&lt;&gt;"",SUM(W266:X266,$AT$8)/$AT$2*100,"")</f>
        <v>72.363804247460763</v>
      </c>
      <c r="AU266" s="24">
        <f>AA266</f>
        <v>79.081902123730373</v>
      </c>
      <c r="AV266" s="24"/>
      <c r="AW266" s="27">
        <f>IF(A266&lt;&gt;"",AE266-AA266,"")</f>
        <v>-6.71809787626961</v>
      </c>
      <c r="AY266" s="27">
        <f>AR266-AP266</f>
        <v>12.361144672992666</v>
      </c>
      <c r="AZ266" s="27">
        <f>ABS(AY266)</f>
        <v>12.361144672992666</v>
      </c>
    </row>
    <row r="267" spans="1:57" s="27" customFormat="1" ht="12.75" customHeight="1" x14ac:dyDescent="0.2">
      <c r="A267" s="10">
        <v>713584</v>
      </c>
      <c r="B267" s="2">
        <v>25</v>
      </c>
      <c r="C267" s="10">
        <v>23</v>
      </c>
      <c r="D267" s="10">
        <v>15</v>
      </c>
      <c r="E267" s="10">
        <v>21</v>
      </c>
      <c r="F267" s="10">
        <v>24</v>
      </c>
      <c r="G267" s="10">
        <v>19</v>
      </c>
      <c r="H267" s="10">
        <v>17</v>
      </c>
      <c r="I267" s="10">
        <v>20</v>
      </c>
      <c r="J267" s="2"/>
      <c r="K267" s="10">
        <v>57</v>
      </c>
      <c r="L267" s="10">
        <v>60</v>
      </c>
      <c r="M267" s="10">
        <v>58</v>
      </c>
      <c r="N267" s="51">
        <v>57</v>
      </c>
      <c r="O267" s="11">
        <v>61</v>
      </c>
      <c r="P267" s="10"/>
      <c r="Q267" s="40"/>
      <c r="R267" s="2">
        <v>140</v>
      </c>
      <c r="S267" s="10">
        <f>IF(T267="",R267,MAX((R267+$R$8)/$R$2,(T267+$T$8)/$T$2)*$R$2-$R$8)</f>
        <v>140</v>
      </c>
      <c r="T267" s="12">
        <v>179</v>
      </c>
      <c r="U267" s="1">
        <f>IF(A267&lt;&gt;"",SUM(B267:I267),"")</f>
        <v>164</v>
      </c>
      <c r="V267" s="10">
        <f>IF(A267&lt;&gt;"",SUM(J267:O267),"")</f>
        <v>293</v>
      </c>
      <c r="W267" s="10">
        <f>IF(A267&lt;&gt;"",SUM(P267:Q267),"")</f>
        <v>0</v>
      </c>
      <c r="X267" s="10">
        <f>IF(A267&lt;&gt;"",SUM(S267:T267),"")</f>
        <v>319</v>
      </c>
      <c r="Y267" s="12">
        <v>3</v>
      </c>
      <c r="Z267" s="12">
        <f>IF(A267&lt;&gt;"",SUM(U267:Y267),"")</f>
        <v>779</v>
      </c>
      <c r="AA267" s="27">
        <f>IF(A267&lt;&gt;"",(Z267+Normalize_To_Add)/(Point_Total_So_Far)*100,"")</f>
        <v>85.409673189131837</v>
      </c>
      <c r="AB267" s="10">
        <f>IF(A267&lt;&gt;"",RANK(AA267,All_Student_XC),"")</f>
        <v>151</v>
      </c>
      <c r="AC267" s="31" t="str">
        <f>IF(A267&lt;&gt;"",CHOOSE(10-MIN(9,TRUNC((AA267+0.5)/10)),"A","B","C","D","F","F","F","F","F","F"),"")</f>
        <v>B</v>
      </c>
      <c r="AD267" s="31" t="str">
        <f>IF(A267&lt;&gt;"",IF(OR(AA267+0.5&gt;=93,AA267+0.5&lt;60),"",IF(MOD(AA267+0.5,10)&gt;=7,"+",IF(MOD(AA267+0.5,10)&lt;3,"-",""))),"")</f>
        <v/>
      </c>
      <c r="AE267" s="31">
        <f>IF(A267&lt;&gt;"",SUM(W267:X267,$W$8:$X$8)/SUM($W$2:$X$2)*100,"")</f>
        <v>78.819346378263688</v>
      </c>
      <c r="AF267" s="31" t="str">
        <f>IF(A267&lt;&gt;"",CHOOSE(10-MIN(9,TRUNC((AE267+0.5)/10)),"A","B","C","D","F","F","F","F","F","F"),"")</f>
        <v>C</v>
      </c>
      <c r="AG267" s="31" t="str">
        <f>IF(A267&lt;&gt;"",IF(OR(AE267+0.5&gt;=93,AE267+0.5&lt;60),"",IF(MOD(AE267+0.5,10)&gt;=7,"+",IF(MOD(AE267+0.5,10)&lt;3,"-",""))),"")</f>
        <v>+</v>
      </c>
      <c r="AH267" s="35">
        <f>IF(A267&lt;&gt;"",MIN(MAX(AA267,AE267),AA267+$AH$8,AE267+$AH$8),"")</f>
        <v>85.409673189131837</v>
      </c>
      <c r="AI267" s="31" t="str">
        <f>IF(A267&lt;&gt;"",CHOOSE(10-MIN(9,TRUNC((AH267+0.5)/10)),"A","B","C","D","F","F","F","F","F","F"),"")</f>
        <v>B</v>
      </c>
      <c r="AJ267" s="31" t="str">
        <f>IF(A267&lt;&gt;"",IF(OR(AH267+0.5&gt;=93,AH267+0.5&lt;60),"",IF(MOD(AH267+0.5,10)&gt;=7,"+",IF(MOD(AH267+0.5,10)&lt;3,"-",""))),"")</f>
        <v/>
      </c>
      <c r="AK267" s="31" t="b">
        <f>IF(A267&lt;&gt;"",OR(AI267&lt;&gt;AC267,AJ267&lt;&gt;AD267),"")</f>
        <v>0</v>
      </c>
      <c r="AL267" s="81">
        <f>IF(AND(A267&lt;&gt;"",U267&gt;0),SUM(U267,$AL$8)/$AL$2*100,"")</f>
        <v>82</v>
      </c>
      <c r="AM267" s="24">
        <f>IF(AND(A267&lt;&gt;"",V267&gt;0),SUM(V267,$AM$8)/$AM$2*100,"")</f>
        <v>97.666666666666671</v>
      </c>
      <c r="AN267" s="24" t="str">
        <f>IF(AND(A267&lt;&gt;"",P267&lt;&gt;0),SUM(P267,$AN$8)/$AN$2*100,"")</f>
        <v/>
      </c>
      <c r="AO267" s="24" t="str">
        <f>IF(AND(A267&lt;&gt;"",Q267&lt;&gt;0),SUM(Q267,$AO$8)/$AO$2*100,"")</f>
        <v/>
      </c>
      <c r="AP267" s="24">
        <f>IF(AND(A267&lt;&gt;"",R267&lt;&gt;0),SUM(R267,$AP$8)/$AP$2*100,"")</f>
        <v>84.502659574468083</v>
      </c>
      <c r="AQ267" s="24" t="str">
        <f>IF(AND(A267&lt;&gt;"",W267&gt;0),SUM(W267,$AQ$8)/$AQ$2*100,"")</f>
        <v/>
      </c>
      <c r="AR267" s="24">
        <f>IF(AND(A267&lt;&gt;"",T267&gt;0),SUM(T267,$AR$8)/$AR$2*100,"")</f>
        <v>75.03047091412742</v>
      </c>
      <c r="AS267" s="24">
        <f>IF(AND(A267&lt;&gt;"",X267&lt;&gt;0),SUM(X267,$AS$8)/$AS$2*100,"")</f>
        <v>78.819346378263688</v>
      </c>
      <c r="AT267" s="86">
        <f>IF(A267&lt;&gt;"",SUM(W267:X267,$AT$8)/$AT$2*100,"")</f>
        <v>78.819346378263688</v>
      </c>
      <c r="AU267" s="24">
        <f>AA267</f>
        <v>85.409673189131837</v>
      </c>
      <c r="AV267" s="24"/>
      <c r="AW267" s="27">
        <f>IF(A267&lt;&gt;"",AE267-AA267,"")</f>
        <v>-6.5903268108681488</v>
      </c>
      <c r="AY267" s="27">
        <f>AR267-AP267</f>
        <v>-9.4721886603406631</v>
      </c>
      <c r="AZ267" s="27">
        <f>ABS(AY267)</f>
        <v>9.4721886603406631</v>
      </c>
    </row>
    <row r="268" spans="1:57" s="27" customFormat="1" ht="12.75" customHeight="1" x14ac:dyDescent="0.2">
      <c r="A268" s="50">
        <v>713936</v>
      </c>
      <c r="B268" s="2">
        <v>25</v>
      </c>
      <c r="C268" s="50">
        <v>13</v>
      </c>
      <c r="D268" s="10">
        <v>21</v>
      </c>
      <c r="E268" s="10">
        <v>16</v>
      </c>
      <c r="F268" s="10">
        <v>23</v>
      </c>
      <c r="G268" s="10">
        <v>10</v>
      </c>
      <c r="H268" s="10">
        <v>14</v>
      </c>
      <c r="I268" s="10">
        <v>25</v>
      </c>
      <c r="J268" s="2"/>
      <c r="K268" s="10">
        <v>25</v>
      </c>
      <c r="L268" s="10">
        <v>32</v>
      </c>
      <c r="M268" s="10">
        <v>29</v>
      </c>
      <c r="N268" s="51">
        <v>21</v>
      </c>
      <c r="O268" s="11">
        <v>45</v>
      </c>
      <c r="P268" s="10"/>
      <c r="Q268" s="40"/>
      <c r="R268" s="2">
        <v>112</v>
      </c>
      <c r="S268" s="10">
        <f>IF(T268="",R268,MAX((R268+$R$8)/$R$2,(T268+$T$8)/$T$2)*$R$2-$R$8)</f>
        <v>126.38895601265199</v>
      </c>
      <c r="T268" s="62">
        <v>187</v>
      </c>
      <c r="U268" s="2">
        <f>IF(A268&lt;&gt;"",SUM(B268:I268),"")</f>
        <v>147</v>
      </c>
      <c r="V268" s="10">
        <f>IF(A268&lt;&gt;"",SUM(J268:O268),"")</f>
        <v>152</v>
      </c>
      <c r="W268" s="10">
        <f>IF(A268&lt;&gt;"",SUM(P268:Q268),"")</f>
        <v>0</v>
      </c>
      <c r="X268" s="10">
        <f>IF(A268&lt;&gt;"",SUM(S268:T268),"")</f>
        <v>313.38895601265199</v>
      </c>
      <c r="Y268" s="12" t="s">
        <v>69</v>
      </c>
      <c r="Z268" s="12">
        <f>IF(A268&lt;&gt;"",SUM(U268:Y268),"")</f>
        <v>612.38895601265199</v>
      </c>
      <c r="AA268" s="27">
        <f>IF(A268&lt;&gt;"",(Z268+Normalize_To_Add)/(Point_Total_So_Far)*100,"")</f>
        <v>68.748568790397044</v>
      </c>
      <c r="AB268" s="10">
        <f>IF(A268&lt;&gt;"",RANK(AA268,All_Student_XC),"")</f>
        <v>322</v>
      </c>
      <c r="AC268" s="31" t="str">
        <f>IF(A268&lt;&gt;"",CHOOSE(10-MIN(9,TRUNC((AA268+0.5)/10)),"A","B","C","D","F","F","F","F","F","F"),"")</f>
        <v>D</v>
      </c>
      <c r="AD268" s="31" t="str">
        <f>IF(A268&lt;&gt;"",IF(OR(AA268+0.5&gt;=93,AA268+0.5&lt;60),"",IF(MOD(AA268+0.5,10)&gt;=7,"+",IF(MOD(AA268+0.5,10)&lt;3,"-",""))),"")</f>
        <v>+</v>
      </c>
      <c r="AE268" s="31">
        <f>IF(A268&lt;&gt;"",SUM(W268:X268,$W$8:$X$8)/SUM($W$2:$X$2)*100,"")</f>
        <v>77.697137580794077</v>
      </c>
      <c r="AF268" s="43" t="str">
        <f>IF(A268&lt;&gt;"",CHOOSE(10-MIN(9,TRUNC((AE268+0.5)/10)),"A","B","C","D","F","F","F","F","F","F"),"")</f>
        <v>C</v>
      </c>
      <c r="AG268" s="43" t="str">
        <f>IF(A268&lt;&gt;"",IF(OR(AE268+0.5&gt;=93,AE268+0.5&lt;60),"",IF(MOD(AE268+0.5,10)&gt;=7,"+",IF(MOD(AE268+0.5,10)&lt;3,"-",""))),"")</f>
        <v>+</v>
      </c>
      <c r="AH268" s="35">
        <f>IF(A268&lt;&gt;"",MIN(MAX(AA268,AE268),AA268+$AH$8,AE268+$AH$8),"")</f>
        <v>77.697137580794077</v>
      </c>
      <c r="AI268" s="31" t="str">
        <f>IF(A268&lt;&gt;"",CHOOSE(10-MIN(9,TRUNC((AH268+0.5)/10)),"A","B","C","D","F","F","F","F","F","F"),"")</f>
        <v>C</v>
      </c>
      <c r="AJ268" s="31" t="str">
        <f>IF(A268&lt;&gt;"",IF(OR(AH268+0.5&gt;=93,AH268+0.5&lt;60),"",IF(MOD(AH268+0.5,10)&gt;=7,"+",IF(MOD(AH268+0.5,10)&lt;3,"-",""))),"")</f>
        <v>+</v>
      </c>
      <c r="AK268" s="31" t="b">
        <f>IF(A268&lt;&gt;"",OR(AI268&lt;&gt;AC268,AJ268&lt;&gt;AD268),"")</f>
        <v>1</v>
      </c>
      <c r="AL268" s="81">
        <f>IF(AND(A268&lt;&gt;"",U268&gt;0),SUM(U268,$AL$8)/$AL$2*100,"")</f>
        <v>73.5</v>
      </c>
      <c r="AM268" s="24">
        <f>IF(AND(A268&lt;&gt;"",V268&gt;0),SUM(V268,$AM$8)/$AM$2*100,"")</f>
        <v>50.666666666666671</v>
      </c>
      <c r="AN268" s="24" t="str">
        <f>IF(AND(A268&lt;&gt;"",P268&lt;&gt;0),SUM(P268,$AN$8)/$AN$2*100,"")</f>
        <v/>
      </c>
      <c r="AO268" s="24" t="str">
        <f>IF(AND(A268&lt;&gt;"",Q268&lt;&gt;0),SUM(Q268,$AO$8)/$AO$2*100,"")</f>
        <v/>
      </c>
      <c r="AP268" s="24">
        <f>IF(AND(A268&lt;&gt;"",R268&lt;&gt;0),SUM(R268,$AP$8)/$AP$2*100,"")</f>
        <v>70.502659574468083</v>
      </c>
      <c r="AQ268" s="24" t="str">
        <f>IF(AND(A268&lt;&gt;"",W268&gt;0),SUM(W268,$AQ$8)/$AQ$2*100,"")</f>
        <v/>
      </c>
      <c r="AR268" s="24">
        <f>IF(AND(A268&lt;&gt;"",T268&gt;0),SUM(T268,$AR$8)/$AR$2*100,"")</f>
        <v>77.697137580794077</v>
      </c>
      <c r="AS268" s="24">
        <f>IF(AND(A268&lt;&gt;"",X268&lt;&gt;0),SUM(X268,$AS$8)/$AS$2*100,"")</f>
        <v>77.697137580794077</v>
      </c>
      <c r="AT268" s="86">
        <f>IF(A268&lt;&gt;"",SUM(W268:X268,$AT$8)/$AT$2*100,"")</f>
        <v>77.697137580794077</v>
      </c>
      <c r="AU268" s="24">
        <f>AA268</f>
        <v>68.748568790397044</v>
      </c>
      <c r="AV268" s="24"/>
      <c r="AW268" s="27">
        <f>IF(A268&lt;&gt;"",AE268-AA268,"")</f>
        <v>8.948568790397033</v>
      </c>
      <c r="AY268" s="27">
        <f>AR268-AP268</f>
        <v>7.1944780063259941</v>
      </c>
      <c r="AZ268" s="27">
        <f>ABS(AY268)</f>
        <v>7.1944780063259941</v>
      </c>
    </row>
    <row r="269" spans="1:57" s="27" customFormat="1" ht="12.75" customHeight="1" x14ac:dyDescent="0.2">
      <c r="A269" s="10">
        <v>714876</v>
      </c>
      <c r="B269" s="2">
        <v>25</v>
      </c>
      <c r="C269" s="10">
        <v>23</v>
      </c>
      <c r="D269" s="10">
        <v>22</v>
      </c>
      <c r="E269" s="10">
        <v>22</v>
      </c>
      <c r="F269" s="10">
        <v>16</v>
      </c>
      <c r="G269" s="10">
        <v>25</v>
      </c>
      <c r="H269" s="10">
        <v>15</v>
      </c>
      <c r="I269" s="10">
        <v>12</v>
      </c>
      <c r="J269" s="2"/>
      <c r="K269" s="10">
        <v>46</v>
      </c>
      <c r="L269" s="10">
        <v>60</v>
      </c>
      <c r="M269" s="10">
        <v>55</v>
      </c>
      <c r="N269" s="51">
        <v>59</v>
      </c>
      <c r="O269" s="11">
        <v>45</v>
      </c>
      <c r="P269" s="10"/>
      <c r="Q269" s="40"/>
      <c r="R269" s="2">
        <v>140</v>
      </c>
      <c r="S269" s="10">
        <f>IF(T269="",R269,MAX((R269+$R$8)/$R$2,(T269+$T$8)/$T$2)*$R$2-$R$8)</f>
        <v>140</v>
      </c>
      <c r="T269" s="12">
        <v>169</v>
      </c>
      <c r="U269" s="68">
        <f>IF(A269&lt;&gt;"",SUM(B269:I269),"")</f>
        <v>160</v>
      </c>
      <c r="V269" s="10">
        <f>IF(A269&lt;&gt;"",SUM(J269:O269),"")</f>
        <v>265</v>
      </c>
      <c r="W269" s="10">
        <f>IF(A269&lt;&gt;"",SUM(P269:Q269),"")</f>
        <v>0</v>
      </c>
      <c r="X269" s="10">
        <f>IF(A269&lt;&gt;"",SUM(S269:T269),"")</f>
        <v>309</v>
      </c>
      <c r="Y269" s="12">
        <v>3</v>
      </c>
      <c r="Z269" s="12">
        <f>IF(A269&lt;&gt;"",SUM(U269:Y269),"")</f>
        <v>737</v>
      </c>
      <c r="AA269" s="27">
        <f>IF(A269&lt;&gt;"",(Z269+Normalize_To_Add)/(Point_Total_So_Far)*100,"")</f>
        <v>81.209673189131848</v>
      </c>
      <c r="AB269" s="10">
        <f>IF(A269&lt;&gt;"",RANK(AA269,All_Student_XC),"")</f>
        <v>194</v>
      </c>
      <c r="AC269" s="31" t="str">
        <f>IF(A269&lt;&gt;"",CHOOSE(10-MIN(9,TRUNC((AA269+0.5)/10)),"A","B","C","D","F","F","F","F","F","F"),"")</f>
        <v>B</v>
      </c>
      <c r="AD269" s="31" t="str">
        <f>IF(A269&lt;&gt;"",IF(OR(AA269+0.5&gt;=93,AA269+0.5&lt;60),"",IF(MOD(AA269+0.5,10)&gt;=7,"+",IF(MOD(AA269+0.5,10)&lt;3,"-",""))),"")</f>
        <v>-</v>
      </c>
      <c r="AE269" s="31">
        <f>IF(A269&lt;&gt;"",SUM(W269:X269,$W$8:$X$8)/SUM($W$2:$X$2)*100,"")</f>
        <v>76.819346378263688</v>
      </c>
      <c r="AF269" s="31" t="str">
        <f>IF(A269&lt;&gt;"",CHOOSE(10-MIN(9,TRUNC((AE269+0.5)/10)),"A","B","C","D","F","F","F","F","F","F"),"")</f>
        <v>C</v>
      </c>
      <c r="AG269" s="31" t="str">
        <f>IF(A269&lt;&gt;"",IF(OR(AE269+0.5&gt;=93,AE269+0.5&lt;60),"",IF(MOD(AE269+0.5,10)&gt;=7,"+",IF(MOD(AE269+0.5,10)&lt;3,"-",""))),"")</f>
        <v>+</v>
      </c>
      <c r="AH269" s="35">
        <f>IF(A269&lt;&gt;"",MIN(MAX(AA269,AE269),AA269+$AH$8,AE269+$AH$8),"")</f>
        <v>81.209673189131848</v>
      </c>
      <c r="AI269" s="31" t="str">
        <f>IF(A269&lt;&gt;"",CHOOSE(10-MIN(9,TRUNC((AH269+0.5)/10)),"A","B","C","D","F","F","F","F","F","F"),"")</f>
        <v>B</v>
      </c>
      <c r="AJ269" s="31" t="str">
        <f>IF(A269&lt;&gt;"",IF(OR(AH269+0.5&gt;=93,AH269+0.5&lt;60),"",IF(MOD(AH269+0.5,10)&gt;=7,"+",IF(MOD(AH269+0.5,10)&lt;3,"-",""))),"")</f>
        <v>-</v>
      </c>
      <c r="AK269" s="31" t="b">
        <f>IF(A269&lt;&gt;"",OR(AI269&lt;&gt;AC269,AJ269&lt;&gt;AD269),"")</f>
        <v>0</v>
      </c>
      <c r="AL269" s="81">
        <f>IF(AND(A269&lt;&gt;"",U269&gt;0),SUM(U269,$AL$8)/$AL$2*100,"")</f>
        <v>80</v>
      </c>
      <c r="AM269" s="24">
        <f>IF(AND(A269&lt;&gt;"",V269&gt;0),SUM(V269,$AM$8)/$AM$2*100,"")</f>
        <v>88.333333333333329</v>
      </c>
      <c r="AN269" s="24" t="str">
        <f>IF(AND(A269&lt;&gt;"",P269&lt;&gt;0),SUM(P269,$AN$8)/$AN$2*100,"")</f>
        <v/>
      </c>
      <c r="AO269" s="24" t="str">
        <f>IF(AND(A269&lt;&gt;"",Q269&lt;&gt;0),SUM(Q269,$AO$8)/$AO$2*100,"")</f>
        <v/>
      </c>
      <c r="AP269" s="24">
        <f>IF(AND(A269&lt;&gt;"",R269&lt;&gt;0),SUM(R269,$AP$8)/$AP$2*100,"")</f>
        <v>84.502659574468083</v>
      </c>
      <c r="AQ269" s="24" t="str">
        <f>IF(AND(A269&lt;&gt;"",W269&gt;0),SUM(W269,$AQ$8)/$AQ$2*100,"")</f>
        <v/>
      </c>
      <c r="AR269" s="24">
        <f>IF(AND(A269&lt;&gt;"",T269&gt;0),SUM(T269,$AR$8)/$AR$2*100,"")</f>
        <v>71.697137580794092</v>
      </c>
      <c r="AS269" s="24">
        <f>IF(AND(A269&lt;&gt;"",X269&lt;&gt;0),SUM(X269,$AS$8)/$AS$2*100,"")</f>
        <v>76.819346378263688</v>
      </c>
      <c r="AT269" s="86">
        <f>IF(A269&lt;&gt;"",SUM(W269:X269,$AT$8)/$AT$2*100,"")</f>
        <v>76.819346378263688</v>
      </c>
      <c r="AU269" s="24">
        <f>AA269</f>
        <v>81.209673189131848</v>
      </c>
      <c r="AV269" s="24"/>
      <c r="AW269" s="27">
        <f>IF(A269&lt;&gt;"",AE269-AA269,"")</f>
        <v>-4.3903268108681601</v>
      </c>
      <c r="AY269" s="27">
        <f>AR269-AP269</f>
        <v>-12.805521993673992</v>
      </c>
      <c r="AZ269" s="27">
        <f>ABS(AY269)</f>
        <v>12.805521993673992</v>
      </c>
    </row>
    <row r="270" spans="1:57" s="27" customFormat="1" ht="12.75" customHeight="1" x14ac:dyDescent="0.2">
      <c r="A270" s="50">
        <v>715862</v>
      </c>
      <c r="B270" s="2">
        <v>25</v>
      </c>
      <c r="C270" s="50">
        <v>25</v>
      </c>
      <c r="D270" s="10">
        <v>20</v>
      </c>
      <c r="E270" s="10">
        <v>17</v>
      </c>
      <c r="F270" s="10">
        <v>21</v>
      </c>
      <c r="G270" s="10">
        <v>25</v>
      </c>
      <c r="H270" s="10">
        <v>17</v>
      </c>
      <c r="I270" s="10">
        <v>19</v>
      </c>
      <c r="J270" s="2"/>
      <c r="K270" s="10">
        <v>57</v>
      </c>
      <c r="L270" s="10">
        <v>62</v>
      </c>
      <c r="M270" s="10">
        <v>57</v>
      </c>
      <c r="N270" s="51">
        <v>62</v>
      </c>
      <c r="O270" s="11">
        <v>60</v>
      </c>
      <c r="P270" s="10"/>
      <c r="Q270" s="40"/>
      <c r="R270" s="2">
        <v>127</v>
      </c>
      <c r="S270" s="10">
        <f>IF(T270="",R270,MAX((R270+$R$8)/$R$2,(T270+$T$8)/$T$2)*$R$2-$R$8)</f>
        <v>127</v>
      </c>
      <c r="T270" s="62">
        <v>187</v>
      </c>
      <c r="U270" s="2">
        <f>IF(A270&lt;&gt;"",SUM(B270:I270),"")</f>
        <v>169</v>
      </c>
      <c r="V270" s="10">
        <f>IF(A270&lt;&gt;"",SUM(J270:O270),"")</f>
        <v>298</v>
      </c>
      <c r="W270" s="10">
        <f>IF(A270&lt;&gt;"",SUM(P270:Q270),"")</f>
        <v>0</v>
      </c>
      <c r="X270" s="10">
        <f>IF(A270&lt;&gt;"",SUM(S270:T270),"")</f>
        <v>314</v>
      </c>
      <c r="Y270" s="12">
        <v>3</v>
      </c>
      <c r="Z270" s="12">
        <f>IF(A270&lt;&gt;"",SUM(U270:Y270),"")</f>
        <v>784</v>
      </c>
      <c r="AA270" s="27">
        <f>IF(A270&lt;&gt;"",(Z270+Normalize_To_Add)/(Point_Total_So_Far)*100,"")</f>
        <v>85.909673189131837</v>
      </c>
      <c r="AB270" s="10">
        <f>IF(A270&lt;&gt;"",RANK(AA270,All_Student_XC),"")</f>
        <v>142</v>
      </c>
      <c r="AC270" s="31" t="str">
        <f>IF(A270&lt;&gt;"",CHOOSE(10-MIN(9,TRUNC((AA270+0.5)/10)),"A","B","C","D","F","F","F","F","F","F"),"")</f>
        <v>B</v>
      </c>
      <c r="AD270" s="31" t="str">
        <f>IF(A270&lt;&gt;"",IF(OR(AA270+0.5&gt;=93,AA270+0.5&lt;60),"",IF(MOD(AA270+0.5,10)&gt;=7,"+",IF(MOD(AA270+0.5,10)&lt;3,"-",""))),"")</f>
        <v/>
      </c>
      <c r="AE270" s="31">
        <f>IF(A270&lt;&gt;"",SUM(W270:X270,$W$8:$X$8)/SUM($W$2:$X$2)*100,"")</f>
        <v>77.819346378263688</v>
      </c>
      <c r="AF270" s="43" t="str">
        <f>IF(A270&lt;&gt;"",CHOOSE(10-MIN(9,TRUNC((AE270+0.5)/10)),"A","B","C","D","F","F","F","F","F","F"),"")</f>
        <v>C</v>
      </c>
      <c r="AG270" s="43" t="str">
        <f>IF(A270&lt;&gt;"",IF(OR(AE270+0.5&gt;=93,AE270+0.5&lt;60),"",IF(MOD(AE270+0.5,10)&gt;=7,"+",IF(MOD(AE270+0.5,10)&lt;3,"-",""))),"")</f>
        <v>+</v>
      </c>
      <c r="AH270" s="35">
        <f>IF(A270&lt;&gt;"",MIN(MAX(AA270,AE270),AA270+$AH$8,AE270+$AH$8),"")</f>
        <v>85.909673189131837</v>
      </c>
      <c r="AI270" s="31" t="str">
        <f>IF(A270&lt;&gt;"",CHOOSE(10-MIN(9,TRUNC((AH270+0.5)/10)),"A","B","C","D","F","F","F","F","F","F"),"")</f>
        <v>B</v>
      </c>
      <c r="AJ270" s="31" t="str">
        <f>IF(A270&lt;&gt;"",IF(OR(AH270+0.5&gt;=93,AH270+0.5&lt;60),"",IF(MOD(AH270+0.5,10)&gt;=7,"+",IF(MOD(AH270+0.5,10)&lt;3,"-",""))),"")</f>
        <v/>
      </c>
      <c r="AK270" s="31" t="b">
        <f>IF(A270&lt;&gt;"",OR(AI270&lt;&gt;AC270,AJ270&lt;&gt;AD270),"")</f>
        <v>0</v>
      </c>
      <c r="AL270" s="81">
        <f>IF(AND(A270&lt;&gt;"",U270&gt;0),SUM(U270,$AL$8)/$AL$2*100,"")</f>
        <v>84.5</v>
      </c>
      <c r="AM270" s="24">
        <f>IF(AND(A270&lt;&gt;"",V270&gt;0),SUM(V270,$AM$8)/$AM$2*100,"")</f>
        <v>99.333333333333329</v>
      </c>
      <c r="AN270" s="24" t="str">
        <f>IF(AND(A270&lt;&gt;"",P270&lt;&gt;0),SUM(P270,$AN$8)/$AN$2*100,"")</f>
        <v/>
      </c>
      <c r="AO270" s="24" t="str">
        <f>IF(AND(A270&lt;&gt;"",Q270&lt;&gt;0),SUM(Q270,$AO$8)/$AO$2*100,"")</f>
        <v/>
      </c>
      <c r="AP270" s="24">
        <f>IF(AND(A270&lt;&gt;"",R270&lt;&gt;0),SUM(R270,$AP$8)/$AP$2*100,"")</f>
        <v>78.002659574468083</v>
      </c>
      <c r="AQ270" s="24" t="str">
        <f>IF(AND(A270&lt;&gt;"",W270&gt;0),SUM(W270,$AQ$8)/$AQ$2*100,"")</f>
        <v/>
      </c>
      <c r="AR270" s="24">
        <f>IF(AND(A270&lt;&gt;"",T270&gt;0),SUM(T270,$AR$8)/$AR$2*100,"")</f>
        <v>77.697137580794077</v>
      </c>
      <c r="AS270" s="24">
        <f>IF(AND(A270&lt;&gt;"",X270&lt;&gt;0),SUM(X270,$AS$8)/$AS$2*100,"")</f>
        <v>77.819346378263688</v>
      </c>
      <c r="AT270" s="86">
        <f>IF(A270&lt;&gt;"",SUM(W270:X270,$AT$8)/$AT$2*100,"")</f>
        <v>77.819346378263688</v>
      </c>
      <c r="AU270" s="24">
        <f>AA270</f>
        <v>85.909673189131837</v>
      </c>
      <c r="AV270" s="24"/>
      <c r="AW270" s="27">
        <f>IF(A270&lt;&gt;"",AE270-AA270,"")</f>
        <v>-8.0903268108681488</v>
      </c>
      <c r="AY270" s="27">
        <f>AR270-AP270</f>
        <v>-0.3055219936740059</v>
      </c>
      <c r="AZ270" s="27">
        <f>ABS(AY270)</f>
        <v>0.3055219936740059</v>
      </c>
    </row>
    <row r="271" spans="1:57" s="27" customFormat="1" ht="12.75" customHeight="1" x14ac:dyDescent="0.2">
      <c r="A271" s="50">
        <v>716696</v>
      </c>
      <c r="B271" s="2">
        <v>6</v>
      </c>
      <c r="C271" s="50">
        <v>19</v>
      </c>
      <c r="D271" s="10">
        <v>23</v>
      </c>
      <c r="E271" s="10">
        <v>21</v>
      </c>
      <c r="F271" s="10">
        <v>12</v>
      </c>
      <c r="G271" s="10">
        <v>25</v>
      </c>
      <c r="H271" s="10">
        <v>11</v>
      </c>
      <c r="I271" s="10">
        <v>23</v>
      </c>
      <c r="J271" s="2"/>
      <c r="K271" s="10">
        <v>44</v>
      </c>
      <c r="L271" s="10">
        <v>60</v>
      </c>
      <c r="M271" s="10">
        <v>42</v>
      </c>
      <c r="N271" s="51">
        <v>38</v>
      </c>
      <c r="O271" s="11">
        <v>60</v>
      </c>
      <c r="P271" s="10"/>
      <c r="Q271" s="40"/>
      <c r="R271" s="2">
        <v>146</v>
      </c>
      <c r="S271" s="10">
        <f>IF(T271="",R271,MAX((R271+$R$8)/$R$2,(T271+$T$8)/$T$2)*$R$2-$R$8)</f>
        <v>146</v>
      </c>
      <c r="T271" s="62">
        <v>155</v>
      </c>
      <c r="U271" s="2">
        <f>IF(A271&lt;&gt;"",SUM(B271:I271),"")</f>
        <v>140</v>
      </c>
      <c r="V271" s="10">
        <f>IF(A271&lt;&gt;"",SUM(J271:O271),"")</f>
        <v>244</v>
      </c>
      <c r="W271" s="10">
        <f>IF(A271&lt;&gt;"",SUM(P271:Q271),"")</f>
        <v>0</v>
      </c>
      <c r="X271" s="10">
        <f>IF(A271&lt;&gt;"",SUM(S271:T271),"")</f>
        <v>301</v>
      </c>
      <c r="Y271" s="12">
        <v>3</v>
      </c>
      <c r="Z271" s="12">
        <f>IF(A271&lt;&gt;"",SUM(U271:Y271),"")</f>
        <v>688</v>
      </c>
      <c r="AA271" s="27">
        <f>IF(A271&lt;&gt;"",(Z271+Normalize_To_Add)/(Point_Total_So_Far)*100,"")</f>
        <v>76.309673189131843</v>
      </c>
      <c r="AB271" s="10">
        <f>IF(A271&lt;&gt;"",RANK(AA271,All_Student_XC),"")</f>
        <v>260</v>
      </c>
      <c r="AC271" s="31" t="str">
        <f>IF(A271&lt;&gt;"",CHOOSE(10-MIN(9,TRUNC((AA271+0.5)/10)),"A","B","C","D","F","F","F","F","F","F"),"")</f>
        <v>C</v>
      </c>
      <c r="AD271" s="31" t="str">
        <f>IF(A271&lt;&gt;"",IF(OR(AA271+0.5&gt;=93,AA271+0.5&lt;60),"",IF(MOD(AA271+0.5,10)&gt;=7,"+",IF(MOD(AA271+0.5,10)&lt;3,"-",""))),"")</f>
        <v/>
      </c>
      <c r="AE271" s="31">
        <f>IF(A271&lt;&gt;"",SUM(W271:X271,$W$8:$X$8)/SUM($W$2:$X$2)*100,"")</f>
        <v>75.21934637826368</v>
      </c>
      <c r="AF271" s="43" t="str">
        <f>IF(A271&lt;&gt;"",CHOOSE(10-MIN(9,TRUNC((AE271+0.5)/10)),"A","B","C","D","F","F","F","F","F","F"),"")</f>
        <v>C</v>
      </c>
      <c r="AG271" s="43" t="str">
        <f>IF(A271&lt;&gt;"",IF(OR(AE271+0.5&gt;=93,AE271+0.5&lt;60),"",IF(MOD(AE271+0.5,10)&gt;=7,"+",IF(MOD(AE271+0.5,10)&lt;3,"-",""))),"")</f>
        <v/>
      </c>
      <c r="AH271" s="35">
        <f>IF(A271&lt;&gt;"",MIN(MAX(AA271,AE271),AA271+$AH$8,AE271+$AH$8),"")</f>
        <v>76.309673189131843</v>
      </c>
      <c r="AI271" s="31" t="str">
        <f>IF(A271&lt;&gt;"",CHOOSE(10-MIN(9,TRUNC((AH271+0.5)/10)),"A","B","C","D","F","F","F","F","F","F"),"")</f>
        <v>C</v>
      </c>
      <c r="AJ271" s="31" t="str">
        <f>IF(A271&lt;&gt;"",IF(OR(AH271+0.5&gt;=93,AH271+0.5&lt;60),"",IF(MOD(AH271+0.5,10)&gt;=7,"+",IF(MOD(AH271+0.5,10)&lt;3,"-",""))),"")</f>
        <v/>
      </c>
      <c r="AK271" s="31" t="b">
        <f>IF(A271&lt;&gt;"",OR(AI271&lt;&gt;AC271,AJ271&lt;&gt;AD271),"")</f>
        <v>0</v>
      </c>
      <c r="AL271" s="81">
        <f>IF(AND(A271&lt;&gt;"",U271&gt;0),SUM(U271,$AL$8)/$AL$2*100,"")</f>
        <v>70</v>
      </c>
      <c r="AM271" s="24">
        <f>IF(AND(A271&lt;&gt;"",V271&gt;0),SUM(V271,$AM$8)/$AM$2*100,"")</f>
        <v>81.333333333333329</v>
      </c>
      <c r="AN271" s="24" t="str">
        <f>IF(AND(A271&lt;&gt;"",P271&lt;&gt;0),SUM(P271,$AN$8)/$AN$2*100,"")</f>
        <v/>
      </c>
      <c r="AO271" s="24" t="str">
        <f>IF(AND(A271&lt;&gt;"",Q271&lt;&gt;0),SUM(Q271,$AO$8)/$AO$2*100,"")</f>
        <v/>
      </c>
      <c r="AP271" s="24">
        <f>IF(AND(A271&lt;&gt;"",R271&lt;&gt;0),SUM(R271,$AP$8)/$AP$2*100,"")</f>
        <v>87.502659574468083</v>
      </c>
      <c r="AQ271" s="24" t="str">
        <f>IF(AND(A271&lt;&gt;"",W271&gt;0),SUM(W271,$AQ$8)/$AQ$2*100,"")</f>
        <v/>
      </c>
      <c r="AR271" s="24">
        <f>IF(AND(A271&lt;&gt;"",T271&gt;0),SUM(T271,$AR$8)/$AR$2*100,"")</f>
        <v>67.03047091412742</v>
      </c>
      <c r="AS271" s="24">
        <f>IF(AND(A271&lt;&gt;"",X271&lt;&gt;0),SUM(X271,$AS$8)/$AS$2*100,"")</f>
        <v>75.21934637826368</v>
      </c>
      <c r="AT271" s="86">
        <f>IF(A271&lt;&gt;"",SUM(W271:X271,$AT$8)/$AT$2*100,"")</f>
        <v>75.21934637826368</v>
      </c>
      <c r="AU271" s="24">
        <f>AA271</f>
        <v>76.309673189131843</v>
      </c>
      <c r="AV271" s="24"/>
      <c r="AW271" s="27">
        <f>IF(A271&lt;&gt;"",AE271-AA271,"")</f>
        <v>-1.090326810868163</v>
      </c>
      <c r="AY271" s="27">
        <f>AR271-AP271</f>
        <v>-20.472188660340663</v>
      </c>
      <c r="AZ271" s="27">
        <f>ABS(AY271)</f>
        <v>20.472188660340663</v>
      </c>
    </row>
    <row r="272" spans="1:57" s="27" customFormat="1" ht="12.75" customHeight="1" x14ac:dyDescent="0.2">
      <c r="A272" s="10">
        <v>722000</v>
      </c>
      <c r="B272" s="2">
        <v>25</v>
      </c>
      <c r="C272" s="10">
        <v>25</v>
      </c>
      <c r="D272" s="10">
        <v>23</v>
      </c>
      <c r="E272" s="10">
        <v>22</v>
      </c>
      <c r="F272" s="10">
        <v>25</v>
      </c>
      <c r="G272" s="10">
        <v>25</v>
      </c>
      <c r="H272" s="10">
        <v>25</v>
      </c>
      <c r="I272" s="10">
        <v>25</v>
      </c>
      <c r="J272" s="2"/>
      <c r="K272" s="10">
        <v>63</v>
      </c>
      <c r="L272" s="10">
        <v>62</v>
      </c>
      <c r="M272" s="10">
        <v>62</v>
      </c>
      <c r="N272" s="51">
        <v>62</v>
      </c>
      <c r="O272" s="11">
        <v>61</v>
      </c>
      <c r="P272" s="10"/>
      <c r="Q272" s="40"/>
      <c r="R272" s="2">
        <v>132</v>
      </c>
      <c r="S272" s="10">
        <f>IF(T272="",R272,MAX((R272+$R$8)/$R$2,(T272+$T$8)/$T$2)*$R$2-$R$8)</f>
        <v>157.05562267931867</v>
      </c>
      <c r="T272" s="12">
        <v>233</v>
      </c>
      <c r="U272" s="1">
        <f>IF(A272&lt;&gt;"",SUM(B272:I272),"")</f>
        <v>195</v>
      </c>
      <c r="V272" s="10">
        <f>IF(A272&lt;&gt;"",SUM(J272:O272),"")</f>
        <v>310</v>
      </c>
      <c r="W272" s="10">
        <f>IF(A272&lt;&gt;"",SUM(P272:Q272),"")</f>
        <v>0</v>
      </c>
      <c r="X272" s="10">
        <f>IF(A272&lt;&gt;"",SUM(S272:T272),"")</f>
        <v>390.05562267931867</v>
      </c>
      <c r="Y272" s="12">
        <v>3</v>
      </c>
      <c r="Z272" s="12">
        <f>IF(A272&lt;&gt;"",SUM(U272:Y272),"")</f>
        <v>898.05562267931873</v>
      </c>
      <c r="AA272" s="27">
        <f>IF(A272&lt;&gt;"",(Z272+Normalize_To_Add)/(Point_Total_So_Far)*100,"")</f>
        <v>97.315235457063721</v>
      </c>
      <c r="AB272" s="10">
        <f>IF(A272&lt;&gt;"",RANK(AA272,All_Student_XC),"")</f>
        <v>16</v>
      </c>
      <c r="AC272" s="31" t="str">
        <f>IF(A272&lt;&gt;"",CHOOSE(10-MIN(9,TRUNC((AA272+0.5)/10)),"A","B","C","D","F","F","F","F","F","F"),"")</f>
        <v>A</v>
      </c>
      <c r="AD272" s="31" t="str">
        <f>IF(A272&lt;&gt;"",IF(OR(AA272+0.5&gt;=93,AA272+0.5&lt;60),"",IF(MOD(AA272+0.5,10)&gt;=7,"+",IF(MOD(AA272+0.5,10)&lt;3,"-",""))),"")</f>
        <v/>
      </c>
      <c r="AE272" s="31">
        <f>IF(A272&lt;&gt;"",SUM(W272:X272,$W$8:$X$8)/SUM($W$2:$X$2)*100,"")</f>
        <v>93.03047091412742</v>
      </c>
      <c r="AF272" s="31" t="str">
        <f>IF(A272&lt;&gt;"",CHOOSE(10-MIN(9,TRUNC((AE272+0.5)/10)),"A","B","C","D","F","F","F","F","F","F"),"")</f>
        <v>A</v>
      </c>
      <c r="AG272" s="31" t="str">
        <f>IF(A272&lt;&gt;"",IF(OR(AE272+0.5&gt;=93,AE272+0.5&lt;60),"",IF(MOD(AE272+0.5,10)&gt;=7,"+",IF(MOD(AE272+0.5,10)&lt;3,"-",""))),"")</f>
        <v/>
      </c>
      <c r="AH272" s="35">
        <f>IF(A272&lt;&gt;"",MIN(MAX(AA272,AE272),AA272+$AH$8,AE272+$AH$8),"")</f>
        <v>97.315235457063721</v>
      </c>
      <c r="AI272" s="31" t="str">
        <f>IF(A272&lt;&gt;"",CHOOSE(10-MIN(9,TRUNC((AH272+0.5)/10)),"A","B","C","D","F","F","F","F","F","F"),"")</f>
        <v>A</v>
      </c>
      <c r="AJ272" s="31" t="str">
        <f>IF(A272&lt;&gt;"",IF(OR(AH272+0.5&gt;=93,AH272+0.5&lt;60),"",IF(MOD(AH272+0.5,10)&gt;=7,"+",IF(MOD(AH272+0.5,10)&lt;3,"-",""))),"")</f>
        <v/>
      </c>
      <c r="AK272" s="31" t="b">
        <f>IF(A272&lt;&gt;"",OR(AI272&lt;&gt;AC272,AJ272&lt;&gt;AD272),"")</f>
        <v>0</v>
      </c>
      <c r="AL272" s="81">
        <f>IF(AND(A272&lt;&gt;"",U272&gt;0),SUM(U272,$AL$8)/$AL$2*100,"")</f>
        <v>97.5</v>
      </c>
      <c r="AM272" s="24">
        <f>IF(AND(A272&lt;&gt;"",V272&gt;0),SUM(V272,$AM$8)/$AM$2*100,"")</f>
        <v>103.33333333333334</v>
      </c>
      <c r="AN272" s="24" t="str">
        <f>IF(AND(A272&lt;&gt;"",P272&lt;&gt;0),SUM(P272,$AN$8)/$AN$2*100,"")</f>
        <v/>
      </c>
      <c r="AO272" s="24" t="str">
        <f>IF(AND(A272&lt;&gt;"",Q272&lt;&gt;0),SUM(Q272,$AO$8)/$AO$2*100,"")</f>
        <v/>
      </c>
      <c r="AP272" s="24">
        <f>IF(AND(A272&lt;&gt;"",R272&lt;&gt;0),SUM(R272,$AP$8)/$AP$2*100,"")</f>
        <v>80.502659574468083</v>
      </c>
      <c r="AQ272" s="24" t="str">
        <f>IF(AND(A272&lt;&gt;"",W272&gt;0),SUM(W272,$AQ$8)/$AQ$2*100,"")</f>
        <v/>
      </c>
      <c r="AR272" s="24">
        <f>IF(AND(A272&lt;&gt;"",T272&gt;0),SUM(T272,$AR$8)/$AR$2*100,"")</f>
        <v>93.03047091412742</v>
      </c>
      <c r="AS272" s="24">
        <f>IF(AND(A272&lt;&gt;"",X272&lt;&gt;0),SUM(X272,$AS$8)/$AS$2*100,"")</f>
        <v>93.03047091412742</v>
      </c>
      <c r="AT272" s="86">
        <f>IF(A272&lt;&gt;"",SUM(W272:X272,$AT$8)/$AT$2*100,"")</f>
        <v>93.03047091412742</v>
      </c>
      <c r="AU272" s="24">
        <f>AA272</f>
        <v>97.315235457063721</v>
      </c>
      <c r="AV272" s="24"/>
      <c r="AW272" s="27">
        <f>IF(A272&lt;&gt;"",AE272-AA272,"")</f>
        <v>-4.2847645429363013</v>
      </c>
      <c r="AY272" s="27">
        <f>AR272-AP272</f>
        <v>12.527811339659337</v>
      </c>
      <c r="AZ272" s="27">
        <f>ABS(AY272)</f>
        <v>12.527811339659337</v>
      </c>
    </row>
    <row r="273" spans="1:52" s="27" customFormat="1" ht="12.75" customHeight="1" x14ac:dyDescent="0.2">
      <c r="A273" s="10">
        <v>726262</v>
      </c>
      <c r="B273" s="2">
        <v>23</v>
      </c>
      <c r="C273" s="10">
        <v>24</v>
      </c>
      <c r="D273" s="10">
        <v>15</v>
      </c>
      <c r="E273" s="10">
        <v>22</v>
      </c>
      <c r="F273" s="10">
        <v>25</v>
      </c>
      <c r="G273" s="10">
        <v>25</v>
      </c>
      <c r="H273" s="10">
        <v>24</v>
      </c>
      <c r="I273" s="10">
        <v>25</v>
      </c>
      <c r="J273" s="2"/>
      <c r="K273" s="10">
        <v>55</v>
      </c>
      <c r="L273" s="10">
        <v>60</v>
      </c>
      <c r="M273" s="10">
        <v>58</v>
      </c>
      <c r="N273" s="51">
        <v>47</v>
      </c>
      <c r="O273" s="11">
        <v>61</v>
      </c>
      <c r="P273" s="10"/>
      <c r="Q273" s="40"/>
      <c r="R273" s="2">
        <v>78</v>
      </c>
      <c r="S273" s="10">
        <f>IF(T273="",R273,MAX((R273+$R$8)/$R$2,(T273+$T$8)/$T$2)*$R$2-$R$8)</f>
        <v>78</v>
      </c>
      <c r="T273" s="12">
        <v>103</v>
      </c>
      <c r="U273" s="1">
        <f>IF(A273&lt;&gt;"",SUM(B273:I273),"")</f>
        <v>183</v>
      </c>
      <c r="V273" s="10">
        <f>IF(A273&lt;&gt;"",SUM(J273:O273),"")</f>
        <v>281</v>
      </c>
      <c r="W273" s="10">
        <f>IF(A273&lt;&gt;"",SUM(P273:Q273),"")</f>
        <v>0</v>
      </c>
      <c r="X273" s="10">
        <f>IF(A273&lt;&gt;"",SUM(S273:T273),"")</f>
        <v>181</v>
      </c>
      <c r="Y273" s="12">
        <v>3</v>
      </c>
      <c r="Z273" s="12">
        <f>IF(A273&lt;&gt;"",SUM(U273:Y273),"")</f>
        <v>648</v>
      </c>
      <c r="AA273" s="27">
        <f>IF(A273&lt;&gt;"",(Z273+Normalize_To_Add)/(Point_Total_So_Far)*100,"")</f>
        <v>72.309673189131843</v>
      </c>
      <c r="AB273" s="10">
        <f>IF(A273&lt;&gt;"",RANK(AA273,All_Student_XC),"")</f>
        <v>292</v>
      </c>
      <c r="AC273" s="31" t="str">
        <f>IF(A273&lt;&gt;"",CHOOSE(10-MIN(9,TRUNC((AA273+0.5)/10)),"A","B","C","D","F","F","F","F","F","F"),"")</f>
        <v>C</v>
      </c>
      <c r="AD273" s="31" t="str">
        <f>IF(A273&lt;&gt;"",IF(OR(AA273+0.5&gt;=93,AA273+0.5&lt;60),"",IF(MOD(AA273+0.5,10)&gt;=7,"+",IF(MOD(AA273+0.5,10)&lt;3,"-",""))),"")</f>
        <v>-</v>
      </c>
      <c r="AE273" s="31">
        <f>IF(A273&lt;&gt;"",SUM(W273:X273,$W$8:$X$8)/SUM($W$2:$X$2)*100,"")</f>
        <v>51.219346378263687</v>
      </c>
      <c r="AF273" s="43" t="str">
        <f>IF(A273&lt;&gt;"",CHOOSE(10-MIN(9,TRUNC((AE273+0.5)/10)),"A","B","C","D","F","F","F","F","F","F"),"")</f>
        <v>F</v>
      </c>
      <c r="AG273" s="43" t="str">
        <f>IF(A273&lt;&gt;"",IF(OR(AE273+0.5&gt;=93,AE273+0.5&lt;60),"",IF(MOD(AE273+0.5,10)&gt;=7,"+",IF(MOD(AE273+0.5,10)&lt;3,"-",""))),"")</f>
        <v/>
      </c>
      <c r="AH273" s="35">
        <f>IF(A273&lt;&gt;"",MIN(MAX(AA273,AE273),AA273+$AH$8,AE273+$AH$8),"")</f>
        <v>72.309673189131843</v>
      </c>
      <c r="AI273" s="31" t="str">
        <f>IF(A273&lt;&gt;"",CHOOSE(10-MIN(9,TRUNC((AH273+0.5)/10)),"A","B","C","D","F","F","F","F","F","F"),"")</f>
        <v>C</v>
      </c>
      <c r="AJ273" s="31" t="str">
        <f>IF(A273&lt;&gt;"",IF(OR(AH273+0.5&gt;=93,AH273+0.5&lt;60),"",IF(MOD(AH273+0.5,10)&gt;=7,"+",IF(MOD(AH273+0.5,10)&lt;3,"-",""))),"")</f>
        <v>-</v>
      </c>
      <c r="AK273" s="31" t="b">
        <f>IF(A273&lt;&gt;"",OR(AI273&lt;&gt;AC273,AJ273&lt;&gt;AD273),"")</f>
        <v>0</v>
      </c>
      <c r="AL273" s="81">
        <f>IF(AND(A273&lt;&gt;"",U273&gt;0),SUM(U273,$AL$8)/$AL$2*100,"")</f>
        <v>91.5</v>
      </c>
      <c r="AM273" s="24">
        <f>IF(AND(A273&lt;&gt;"",V273&gt;0),SUM(V273,$AM$8)/$AM$2*100,"")</f>
        <v>93.666666666666671</v>
      </c>
      <c r="AN273" s="24" t="str">
        <f>IF(AND(A273&lt;&gt;"",P273&lt;&gt;0),SUM(P273,$AN$8)/$AN$2*100,"")</f>
        <v/>
      </c>
      <c r="AO273" s="24" t="str">
        <f>IF(AND(A273&lt;&gt;"",Q273&lt;&gt;0),SUM(Q273,$AO$8)/$AO$2*100,"")</f>
        <v/>
      </c>
      <c r="AP273" s="24">
        <f>IF(AND(A273&lt;&gt;"",R273&lt;&gt;0),SUM(R273,$AP$8)/$AP$2*100,"")</f>
        <v>53.502659574468083</v>
      </c>
      <c r="AQ273" s="24" t="str">
        <f>IF(AND(A273&lt;&gt;"",W273&gt;0),SUM(W273,$AQ$8)/$AQ$2*100,"")</f>
        <v/>
      </c>
      <c r="AR273" s="24">
        <f>IF(AND(A273&lt;&gt;"",T273&gt;0),SUM(T273,$AR$8)/$AR$2*100,"")</f>
        <v>49.697137580794084</v>
      </c>
      <c r="AS273" s="24">
        <f>IF(AND(A273&lt;&gt;"",X273&lt;&gt;0),SUM(X273,$AS$8)/$AS$2*100,"")</f>
        <v>51.219346378263687</v>
      </c>
      <c r="AT273" s="86">
        <f>IF(A273&lt;&gt;"",SUM(W273:X273,$AT$8)/$AT$2*100,"")</f>
        <v>51.219346378263687</v>
      </c>
      <c r="AU273" s="24">
        <f>AA273</f>
        <v>72.309673189131843</v>
      </c>
      <c r="AV273" s="24"/>
      <c r="AW273" s="27">
        <f>IF(A273&lt;&gt;"",AE273-AA273,"")</f>
        <v>-21.090326810868156</v>
      </c>
      <c r="AY273" s="27">
        <f>AR273-AP273</f>
        <v>-3.8055219936739988</v>
      </c>
      <c r="AZ273" s="27">
        <f>ABS(AY273)</f>
        <v>3.8055219936739988</v>
      </c>
    </row>
    <row r="274" spans="1:52" s="27" customFormat="1" ht="12.75" customHeight="1" x14ac:dyDescent="0.2">
      <c r="A274" s="10">
        <v>730016</v>
      </c>
      <c r="B274" s="2" t="s">
        <v>69</v>
      </c>
      <c r="C274" s="10">
        <v>16</v>
      </c>
      <c r="D274" s="10">
        <v>23</v>
      </c>
      <c r="E274" s="24">
        <v>12</v>
      </c>
      <c r="F274" s="24" t="s">
        <v>69</v>
      </c>
      <c r="G274" s="10">
        <v>8</v>
      </c>
      <c r="H274" s="10" t="s">
        <v>69</v>
      </c>
      <c r="I274" s="10" t="s">
        <v>69</v>
      </c>
      <c r="J274" s="2"/>
      <c r="K274" s="10">
        <v>55</v>
      </c>
      <c r="L274" s="10">
        <v>62</v>
      </c>
      <c r="M274" s="10" t="s">
        <v>69</v>
      </c>
      <c r="N274" s="51" t="s">
        <v>69</v>
      </c>
      <c r="O274" s="11" t="s">
        <v>69</v>
      </c>
      <c r="P274" s="10"/>
      <c r="Q274" s="40"/>
      <c r="R274" s="2">
        <v>79</v>
      </c>
      <c r="S274" s="10">
        <f>IF(T274="",R274,MAX((R274+$R$8)/$R$2,(T274+$T$8)/$T$2)*$R$2-$R$8)</f>
        <v>79</v>
      </c>
      <c r="T274" s="12" t="s">
        <v>69</v>
      </c>
      <c r="U274" s="68">
        <f>IF(A274&lt;&gt;"",SUM(B274:I274),"")</f>
        <v>59</v>
      </c>
      <c r="V274" s="10">
        <f>IF(A274&lt;&gt;"",SUM(J274:O274),"")</f>
        <v>117</v>
      </c>
      <c r="W274" s="10">
        <f>IF(A274&lt;&gt;"",SUM(P274:Q274),"")</f>
        <v>0</v>
      </c>
      <c r="X274" s="10">
        <f>IF(A274&lt;&gt;"",SUM(S274:T274),"")</f>
        <v>79</v>
      </c>
      <c r="Y274" s="12" t="s">
        <v>69</v>
      </c>
      <c r="Z274" s="12">
        <f>IF(A274&lt;&gt;"",SUM(U274:Y274),"")</f>
        <v>255</v>
      </c>
      <c r="AA274" s="27">
        <f>IF(A274&lt;&gt;"",(Z274+Normalize_To_Add)/(Point_Total_So_Far)*100,"")</f>
        <v>33.009673189131846</v>
      </c>
      <c r="AB274" s="10">
        <f>IF(A274&lt;&gt;"",RANK(AA274,All_Student_XC),"")</f>
        <v>370</v>
      </c>
      <c r="AC274" s="31" t="str">
        <f>IF(A274&lt;&gt;"",CHOOSE(10-MIN(9,TRUNC((AA274+0.5)/10)),"A","B","C","D","F","F","F","F","F","F"),"")</f>
        <v>F</v>
      </c>
      <c r="AD274" s="31" t="str">
        <f>IF(A274&lt;&gt;"",IF(OR(AA274+0.5&gt;=93,AA274+0.5&lt;60),"",IF(MOD(AA274+0.5,10)&gt;=7,"+",IF(MOD(AA274+0.5,10)&lt;3,"-",""))),"")</f>
        <v/>
      </c>
      <c r="AE274" s="31">
        <f>IF(A274&lt;&gt;"",SUM(W274:X274,$W$8:$X$8)/SUM($W$2:$X$2)*100,"")</f>
        <v>30.819346378263685</v>
      </c>
      <c r="AF274" s="31" t="str">
        <f>IF(A274&lt;&gt;"",CHOOSE(10-MIN(9,TRUNC((AE274+0.5)/10)),"A","B","C","D","F","F","F","F","F","F"),"")</f>
        <v>F</v>
      </c>
      <c r="AG274" s="31" t="str">
        <f>IF(A274&lt;&gt;"",IF(OR(AE274+0.5&gt;=93,AE274+0.5&lt;60),"",IF(MOD(AE274+0.5,10)&gt;=7,"+",IF(MOD(AE274+0.5,10)&lt;3,"-",""))),"")</f>
        <v/>
      </c>
      <c r="AH274" s="35">
        <f>IF(A274&lt;&gt;"",MIN(MAX(AA274,AE274),AA274+$AH$8,AE274+$AH$8),"")</f>
        <v>33.009673189131846</v>
      </c>
      <c r="AI274" s="31" t="str">
        <f>IF(A274&lt;&gt;"",CHOOSE(10-MIN(9,TRUNC((AH274+0.5)/10)),"A","B","C","D","F","F","F","F","F","F"),"")</f>
        <v>F</v>
      </c>
      <c r="AJ274" s="31" t="str">
        <f>IF(A274&lt;&gt;"",IF(OR(AH274+0.5&gt;=93,AH274+0.5&lt;60),"",IF(MOD(AH274+0.5,10)&gt;=7,"+",IF(MOD(AH274+0.5,10)&lt;3,"-",""))),"")</f>
        <v/>
      </c>
      <c r="AK274" s="31" t="b">
        <f>IF(A274&lt;&gt;"",OR(AI274&lt;&gt;AC274,AJ274&lt;&gt;AD274),"")</f>
        <v>0</v>
      </c>
      <c r="AL274" s="81">
        <f>IF(AND(A274&lt;&gt;"",U274&gt;0),SUM(U274,$AL$8)/$AL$2*100,"")</f>
        <v>29.5</v>
      </c>
      <c r="AM274" s="24">
        <f>IF(AND(A274&lt;&gt;"",V274&gt;0),SUM(V274,$AM$8)/$AM$2*100,"")</f>
        <v>39</v>
      </c>
      <c r="AN274" s="24" t="str">
        <f>IF(AND(A274&lt;&gt;"",P274&lt;&gt;0),SUM(P274,$AN$8)/$AN$2*100,"")</f>
        <v/>
      </c>
      <c r="AO274" s="24" t="str">
        <f>IF(AND(A274&lt;&gt;"",Q274&lt;&gt;0),SUM(Q274,$AO$8)/$AO$2*100,"")</f>
        <v/>
      </c>
      <c r="AP274" s="24">
        <f>IF(AND(A274&lt;&gt;"",R274&lt;&gt;0),SUM(R274,$AP$8)/$AP$2*100,"")</f>
        <v>54.002659574468083</v>
      </c>
      <c r="AQ274" s="24" t="str">
        <f>IF(AND(A274&lt;&gt;"",W274&gt;0),SUM(W274,$AQ$8)/$AQ$2*100,"")</f>
        <v/>
      </c>
      <c r="AR274" s="24">
        <f>IF(AND(A274&lt;&gt;"",T274&gt;0),SUM(T274,$AR$8)/$AR$2*100,"")</f>
        <v>15.363804247460756</v>
      </c>
      <c r="AS274" s="24">
        <f>IF(AND(A274&lt;&gt;"",X274&lt;&gt;0),SUM(X274,$AS$8)/$AS$2*100,"")</f>
        <v>30.819346378263685</v>
      </c>
      <c r="AT274" s="86">
        <f>IF(A274&lt;&gt;"",SUM(W274:X274,$AT$8)/$AT$2*100,"")</f>
        <v>30.819346378263685</v>
      </c>
      <c r="AU274" s="24">
        <f>AA274</f>
        <v>33.009673189131846</v>
      </c>
      <c r="AV274" s="24"/>
      <c r="AW274" s="27">
        <f>IF(A274&lt;&gt;"",AE274-AA274,"")</f>
        <v>-2.1903268108681608</v>
      </c>
      <c r="AY274" s="27">
        <f>AR274-AP274</f>
        <v>-38.638855327007327</v>
      </c>
      <c r="AZ274" s="27">
        <f>ABS(AY274)</f>
        <v>38.638855327007327</v>
      </c>
    </row>
    <row r="275" spans="1:52" s="27" customFormat="1" ht="12.75" customHeight="1" x14ac:dyDescent="0.2">
      <c r="A275" s="50">
        <v>730190</v>
      </c>
      <c r="B275" s="2">
        <v>25</v>
      </c>
      <c r="C275" s="50">
        <v>25</v>
      </c>
      <c r="D275" s="10">
        <v>24</v>
      </c>
      <c r="E275" s="10">
        <v>23</v>
      </c>
      <c r="F275" s="10">
        <v>24</v>
      </c>
      <c r="G275" s="10">
        <v>25</v>
      </c>
      <c r="H275" s="10">
        <v>24</v>
      </c>
      <c r="I275" s="10">
        <v>25</v>
      </c>
      <c r="J275" s="2"/>
      <c r="K275" s="10">
        <v>57</v>
      </c>
      <c r="L275" s="10">
        <v>62</v>
      </c>
      <c r="M275" s="10">
        <v>58</v>
      </c>
      <c r="N275" s="51">
        <v>56</v>
      </c>
      <c r="O275" s="11">
        <v>61</v>
      </c>
      <c r="P275" s="10"/>
      <c r="Q275" s="40"/>
      <c r="R275" s="2">
        <v>123</v>
      </c>
      <c r="S275" s="10">
        <f>IF(T275="",R275,MAX((R275+$R$8)/$R$2,(T275+$T$8)/$T$2)*$R$2-$R$8)</f>
        <v>123</v>
      </c>
      <c r="T275" s="62">
        <v>179</v>
      </c>
      <c r="U275" s="2">
        <f>IF(A275&lt;&gt;"",SUM(B275:I275),"")</f>
        <v>195</v>
      </c>
      <c r="V275" s="10">
        <f>IF(A275&lt;&gt;"",SUM(J275:O275),"")</f>
        <v>294</v>
      </c>
      <c r="W275" s="10">
        <f>IF(A275&lt;&gt;"",SUM(P275:Q275),"")</f>
        <v>0</v>
      </c>
      <c r="X275" s="10">
        <f>IF(A275&lt;&gt;"",SUM(S275:T275),"")</f>
        <v>302</v>
      </c>
      <c r="Y275" s="12">
        <v>3</v>
      </c>
      <c r="Z275" s="12">
        <f>IF(A275&lt;&gt;"",SUM(U275:Y275),"")</f>
        <v>794</v>
      </c>
      <c r="AA275" s="27">
        <f>IF(A275&lt;&gt;"",(Z275+Normalize_To_Add)/(Point_Total_So_Far)*100,"")</f>
        <v>86.909673189131837</v>
      </c>
      <c r="AB275" s="10">
        <f>IF(A275&lt;&gt;"",RANK(AA275,All_Student_XC),"")</f>
        <v>127</v>
      </c>
      <c r="AC275" s="31" t="str">
        <f>IF(A275&lt;&gt;"",CHOOSE(10-MIN(9,TRUNC((AA275+0.5)/10)),"A","B","C","D","F","F","F","F","F","F"),"")</f>
        <v>B</v>
      </c>
      <c r="AD275" s="31" t="str">
        <f>IF(A275&lt;&gt;"",IF(OR(AA275+0.5&gt;=93,AA275+0.5&lt;60),"",IF(MOD(AA275+0.5,10)&gt;=7,"+",IF(MOD(AA275+0.5,10)&lt;3,"-",""))),"")</f>
        <v>+</v>
      </c>
      <c r="AE275" s="31">
        <f>IF(A275&lt;&gt;"",SUM(W275:X275,$W$8:$X$8)/SUM($W$2:$X$2)*100,"")</f>
        <v>75.419346378263683</v>
      </c>
      <c r="AF275" s="43" t="str">
        <f>IF(A275&lt;&gt;"",CHOOSE(10-MIN(9,TRUNC((AE275+0.5)/10)),"A","B","C","D","F","F","F","F","F","F"),"")</f>
        <v>C</v>
      </c>
      <c r="AG275" s="43" t="str">
        <f>IF(A275&lt;&gt;"",IF(OR(AE275+0.5&gt;=93,AE275+0.5&lt;60),"",IF(MOD(AE275+0.5,10)&gt;=7,"+",IF(MOD(AE275+0.5,10)&lt;3,"-",""))),"")</f>
        <v/>
      </c>
      <c r="AH275" s="35">
        <f>IF(A275&lt;&gt;"",MIN(MAX(AA275,AE275),AA275+$AH$8,AE275+$AH$8),"")</f>
        <v>86.909673189131837</v>
      </c>
      <c r="AI275" s="31" t="str">
        <f>IF(A275&lt;&gt;"",CHOOSE(10-MIN(9,TRUNC((AH275+0.5)/10)),"A","B","C","D","F","F","F","F","F","F"),"")</f>
        <v>B</v>
      </c>
      <c r="AJ275" s="31" t="str">
        <f>IF(A275&lt;&gt;"",IF(OR(AH275+0.5&gt;=93,AH275+0.5&lt;60),"",IF(MOD(AH275+0.5,10)&gt;=7,"+",IF(MOD(AH275+0.5,10)&lt;3,"-",""))),"")</f>
        <v>+</v>
      </c>
      <c r="AK275" s="31" t="b">
        <f>IF(A275&lt;&gt;"",OR(AI275&lt;&gt;AC275,AJ275&lt;&gt;AD275),"")</f>
        <v>0</v>
      </c>
      <c r="AL275" s="81">
        <f>IF(AND(A275&lt;&gt;"",U275&gt;0),SUM(U275,$AL$8)/$AL$2*100,"")</f>
        <v>97.5</v>
      </c>
      <c r="AM275" s="24">
        <f>IF(AND(A275&lt;&gt;"",V275&gt;0),SUM(V275,$AM$8)/$AM$2*100,"")</f>
        <v>98</v>
      </c>
      <c r="AN275" s="24" t="str">
        <f>IF(AND(A275&lt;&gt;"",P275&lt;&gt;0),SUM(P275,$AN$8)/$AN$2*100,"")</f>
        <v/>
      </c>
      <c r="AO275" s="24" t="str">
        <f>IF(AND(A275&lt;&gt;"",Q275&lt;&gt;0),SUM(Q275,$AO$8)/$AO$2*100,"")</f>
        <v/>
      </c>
      <c r="AP275" s="24">
        <f>IF(AND(A275&lt;&gt;"",R275&lt;&gt;0),SUM(R275,$AP$8)/$AP$2*100,"")</f>
        <v>76.002659574468083</v>
      </c>
      <c r="AQ275" s="24" t="str">
        <f>IF(AND(A275&lt;&gt;"",W275&gt;0),SUM(W275,$AQ$8)/$AQ$2*100,"")</f>
        <v/>
      </c>
      <c r="AR275" s="24">
        <f>IF(AND(A275&lt;&gt;"",T275&gt;0),SUM(T275,$AR$8)/$AR$2*100,"")</f>
        <v>75.03047091412742</v>
      </c>
      <c r="AS275" s="24">
        <f>IF(AND(A275&lt;&gt;"",X275&lt;&gt;0),SUM(X275,$AS$8)/$AS$2*100,"")</f>
        <v>75.419346378263683</v>
      </c>
      <c r="AT275" s="86">
        <f>IF(A275&lt;&gt;"",SUM(W275:X275,$AT$8)/$AT$2*100,"")</f>
        <v>75.419346378263683</v>
      </c>
      <c r="AU275" s="24">
        <f>AA275</f>
        <v>86.909673189131837</v>
      </c>
      <c r="AV275" s="24"/>
      <c r="AW275" s="27">
        <f>IF(A275&lt;&gt;"",AE275-AA275,"")</f>
        <v>-11.490326810868154</v>
      </c>
      <c r="AY275" s="27">
        <f>AR275-AP275</f>
        <v>-0.97218866034066309</v>
      </c>
      <c r="AZ275" s="27">
        <f>ABS(AY275)</f>
        <v>0.97218866034066309</v>
      </c>
    </row>
    <row r="276" spans="1:52" s="27" customFormat="1" ht="12.75" customHeight="1" x14ac:dyDescent="0.2">
      <c r="A276" s="10">
        <v>730392</v>
      </c>
      <c r="B276" s="2">
        <v>25</v>
      </c>
      <c r="C276" s="10">
        <v>22</v>
      </c>
      <c r="D276" s="10">
        <v>23</v>
      </c>
      <c r="E276" s="10">
        <v>16</v>
      </c>
      <c r="F276" s="10">
        <v>21</v>
      </c>
      <c r="G276" s="10">
        <v>25</v>
      </c>
      <c r="H276" s="10">
        <v>25</v>
      </c>
      <c r="I276" s="10">
        <v>25</v>
      </c>
      <c r="J276" s="2"/>
      <c r="K276" s="10">
        <v>49</v>
      </c>
      <c r="L276" s="10">
        <v>60</v>
      </c>
      <c r="M276" s="10">
        <v>58</v>
      </c>
      <c r="N276" s="51">
        <v>56</v>
      </c>
      <c r="O276" s="11">
        <v>62</v>
      </c>
      <c r="P276" s="10"/>
      <c r="Q276" s="40"/>
      <c r="R276" s="2">
        <v>160</v>
      </c>
      <c r="S276" s="10">
        <f>IF(T276="",R276,MAX((R276+$R$8)/$R$2,(T276+$T$8)/$T$2)*$R$2-$R$8)</f>
        <v>160</v>
      </c>
      <c r="T276" s="12">
        <v>188</v>
      </c>
      <c r="U276" s="68">
        <f>IF(A276&lt;&gt;"",SUM(B276:I276),"")</f>
        <v>182</v>
      </c>
      <c r="V276" s="10">
        <f>IF(A276&lt;&gt;"",SUM(J276:O276),"")</f>
        <v>285</v>
      </c>
      <c r="W276" s="10">
        <f>IF(A276&lt;&gt;"",SUM(P276:Q276),"")</f>
        <v>0</v>
      </c>
      <c r="X276" s="10">
        <f>IF(A276&lt;&gt;"",SUM(S276:T276),"")</f>
        <v>348</v>
      </c>
      <c r="Y276" s="12">
        <v>3</v>
      </c>
      <c r="Z276" s="12">
        <f>IF(A276&lt;&gt;"",SUM(U276:Y276),"")</f>
        <v>818</v>
      </c>
      <c r="AA276" s="27">
        <f>IF(A276&lt;&gt;"",(Z276+Normalize_To_Add)/(Point_Total_So_Far)*100,"")</f>
        <v>89.309673189131843</v>
      </c>
      <c r="AB276" s="10">
        <f>IF(A276&lt;&gt;"",RANK(AA276,All_Student_XC),"")</f>
        <v>86</v>
      </c>
      <c r="AC276" s="31" t="str">
        <f>IF(A276&lt;&gt;"",CHOOSE(10-MIN(9,TRUNC((AA276+0.5)/10)),"A","B","C","D","F","F","F","F","F","F"),"")</f>
        <v>B</v>
      </c>
      <c r="AD276" s="31" t="str">
        <f>IF(A276&lt;&gt;"",IF(OR(AA276+0.5&gt;=93,AA276+0.5&lt;60),"",IF(MOD(AA276+0.5,10)&gt;=7,"+",IF(MOD(AA276+0.5,10)&lt;3,"-",""))),"")</f>
        <v>+</v>
      </c>
      <c r="AE276" s="31">
        <f>IF(A276&lt;&gt;"",SUM(W276:X276,$W$8:$X$8)/SUM($W$2:$X$2)*100,"")</f>
        <v>84.619346378263685</v>
      </c>
      <c r="AF276" s="31" t="str">
        <f>IF(A276&lt;&gt;"",CHOOSE(10-MIN(9,TRUNC((AE276+0.5)/10)),"A","B","C","D","F","F","F","F","F","F"),"")</f>
        <v>B</v>
      </c>
      <c r="AG276" s="31" t="str">
        <f>IF(A276&lt;&gt;"",IF(OR(AE276+0.5&gt;=93,AE276+0.5&lt;60),"",IF(MOD(AE276+0.5,10)&gt;=7,"+",IF(MOD(AE276+0.5,10)&lt;3,"-",""))),"")</f>
        <v/>
      </c>
      <c r="AH276" s="35">
        <f>IF(A276&lt;&gt;"",MIN(MAX(AA276,AE276),AA276+$AH$8,AE276+$AH$8),"")</f>
        <v>89.309673189131843</v>
      </c>
      <c r="AI276" s="31" t="str">
        <f>IF(A276&lt;&gt;"",CHOOSE(10-MIN(9,TRUNC((AH276+0.5)/10)),"A","B","C","D","F","F","F","F","F","F"),"")</f>
        <v>B</v>
      </c>
      <c r="AJ276" s="31" t="str">
        <f>IF(A276&lt;&gt;"",IF(OR(AH276+0.5&gt;=93,AH276+0.5&lt;60),"",IF(MOD(AH276+0.5,10)&gt;=7,"+",IF(MOD(AH276+0.5,10)&lt;3,"-",""))),"")</f>
        <v>+</v>
      </c>
      <c r="AK276" s="31" t="b">
        <f>IF(A276&lt;&gt;"",OR(AI276&lt;&gt;AC276,AJ276&lt;&gt;AD276),"")</f>
        <v>0</v>
      </c>
      <c r="AL276" s="81">
        <f>IF(AND(A276&lt;&gt;"",U276&gt;0),SUM(U276,$AL$8)/$AL$2*100,"")</f>
        <v>91</v>
      </c>
      <c r="AM276" s="24">
        <f>IF(AND(A276&lt;&gt;"",V276&gt;0),SUM(V276,$AM$8)/$AM$2*100,"")</f>
        <v>95</v>
      </c>
      <c r="AN276" s="24" t="str">
        <f>IF(AND(A276&lt;&gt;"",P276&lt;&gt;0),SUM(P276,$AN$8)/$AN$2*100,"")</f>
        <v/>
      </c>
      <c r="AO276" s="24" t="str">
        <f>IF(AND(A276&lt;&gt;"",Q276&lt;&gt;0),SUM(Q276,$AO$8)/$AO$2*100,"")</f>
        <v/>
      </c>
      <c r="AP276" s="24">
        <f>IF(AND(A276&lt;&gt;"",R276&lt;&gt;0),SUM(R276,$AP$8)/$AP$2*100,"")</f>
        <v>94.502659574468083</v>
      </c>
      <c r="AQ276" s="24" t="str">
        <f>IF(AND(A276&lt;&gt;"",W276&gt;0),SUM(W276,$AQ$8)/$AQ$2*100,"")</f>
        <v/>
      </c>
      <c r="AR276" s="24">
        <f>IF(AND(A276&lt;&gt;"",T276&gt;0),SUM(T276,$AR$8)/$AR$2*100,"")</f>
        <v>78.03047091412742</v>
      </c>
      <c r="AS276" s="24">
        <f>IF(AND(A276&lt;&gt;"",X276&lt;&gt;0),SUM(X276,$AS$8)/$AS$2*100,"")</f>
        <v>84.619346378263685</v>
      </c>
      <c r="AT276" s="86">
        <f>IF(A276&lt;&gt;"",SUM(W276:X276,$AT$8)/$AT$2*100,"")</f>
        <v>84.619346378263685</v>
      </c>
      <c r="AU276" s="24">
        <f>AA276</f>
        <v>89.309673189131843</v>
      </c>
      <c r="AV276" s="24"/>
      <c r="AW276" s="27">
        <f>IF(A276&lt;&gt;"",AE276-AA276,"")</f>
        <v>-4.6903268108681573</v>
      </c>
      <c r="AY276" s="27">
        <f>AR276-AP276</f>
        <v>-16.472188660340663</v>
      </c>
      <c r="AZ276" s="27">
        <f>ABS(AY276)</f>
        <v>16.472188660340663</v>
      </c>
    </row>
    <row r="277" spans="1:52" s="27" customFormat="1" ht="12.75" customHeight="1" x14ac:dyDescent="0.2">
      <c r="A277" s="50">
        <v>732032</v>
      </c>
      <c r="B277" s="2">
        <v>24</v>
      </c>
      <c r="C277" s="50">
        <v>23</v>
      </c>
      <c r="D277" s="10">
        <v>22</v>
      </c>
      <c r="E277" s="10">
        <v>19</v>
      </c>
      <c r="F277" s="10">
        <v>24</v>
      </c>
      <c r="G277" s="10">
        <v>25</v>
      </c>
      <c r="H277" s="10">
        <v>23</v>
      </c>
      <c r="I277" s="10">
        <v>23</v>
      </c>
      <c r="J277" s="2"/>
      <c r="K277" s="10">
        <v>55</v>
      </c>
      <c r="L277" s="10">
        <v>57</v>
      </c>
      <c r="M277" s="10">
        <v>55</v>
      </c>
      <c r="N277" s="51">
        <v>57</v>
      </c>
      <c r="O277" s="11">
        <v>60</v>
      </c>
      <c r="P277" s="10"/>
      <c r="Q277" s="40"/>
      <c r="R277" s="2">
        <v>112</v>
      </c>
      <c r="S277" s="10">
        <f>IF(T277="",R277,MAX((R277+$R$8)/$R$2,(T277+$T$8)/$T$2)*$R$2-$R$8)</f>
        <v>139.05562267931867</v>
      </c>
      <c r="T277" s="62">
        <v>206</v>
      </c>
      <c r="U277" s="2">
        <f>IF(A277&lt;&gt;"",SUM(B277:I277),"")</f>
        <v>183</v>
      </c>
      <c r="V277" s="10">
        <f>IF(A277&lt;&gt;"",SUM(J277:O277),"")</f>
        <v>284</v>
      </c>
      <c r="W277" s="10">
        <f>IF(A277&lt;&gt;"",SUM(P277:Q277),"")</f>
        <v>0</v>
      </c>
      <c r="X277" s="10">
        <f>IF(A277&lt;&gt;"",SUM(S277:T277),"")</f>
        <v>345.05562267931867</v>
      </c>
      <c r="Y277" s="12">
        <v>3</v>
      </c>
      <c r="Z277" s="12">
        <f>IF(A277&lt;&gt;"",SUM(U277:Y277),"")</f>
        <v>815.05562267931873</v>
      </c>
      <c r="AA277" s="27">
        <f>IF(A277&lt;&gt;"",(Z277+Normalize_To_Add)/(Point_Total_So_Far)*100,"")</f>
        <v>89.01523545706371</v>
      </c>
      <c r="AB277" s="10">
        <f>IF(A277&lt;&gt;"",RANK(AA277,All_Student_XC),"")</f>
        <v>94</v>
      </c>
      <c r="AC277" s="31" t="str">
        <f>IF(A277&lt;&gt;"",CHOOSE(10-MIN(9,TRUNC((AA277+0.5)/10)),"A","B","C","D","F","F","F","F","F","F"),"")</f>
        <v>B</v>
      </c>
      <c r="AD277" s="31" t="str">
        <f>IF(A277&lt;&gt;"",IF(OR(AA277+0.5&gt;=93,AA277+0.5&lt;60),"",IF(MOD(AA277+0.5,10)&gt;=7,"+",IF(MOD(AA277+0.5,10)&lt;3,"-",""))),"")</f>
        <v>+</v>
      </c>
      <c r="AE277" s="31">
        <f>IF(A277&lt;&gt;"",SUM(W277:X277,$W$8:$X$8)/SUM($W$2:$X$2)*100,"")</f>
        <v>84.03047091412742</v>
      </c>
      <c r="AF277" s="43" t="str">
        <f>IF(A277&lt;&gt;"",CHOOSE(10-MIN(9,TRUNC((AE277+0.5)/10)),"A","B","C","D","F","F","F","F","F","F"),"")</f>
        <v>B</v>
      </c>
      <c r="AG277" s="43" t="str">
        <f>IF(A277&lt;&gt;"",IF(OR(AE277+0.5&gt;=93,AE277+0.5&lt;60),"",IF(MOD(AE277+0.5,10)&gt;=7,"+",IF(MOD(AE277+0.5,10)&lt;3,"-",""))),"")</f>
        <v/>
      </c>
      <c r="AH277" s="35">
        <f>IF(A277&lt;&gt;"",MIN(MAX(AA277,AE277),AA277+$AH$8,AE277+$AH$8),"")</f>
        <v>89.01523545706371</v>
      </c>
      <c r="AI277" s="31" t="str">
        <f>IF(A277&lt;&gt;"",CHOOSE(10-MIN(9,TRUNC((AH277+0.5)/10)),"A","B","C","D","F","F","F","F","F","F"),"")</f>
        <v>B</v>
      </c>
      <c r="AJ277" s="31" t="str">
        <f>IF(A277&lt;&gt;"",IF(OR(AH277+0.5&gt;=93,AH277+0.5&lt;60),"",IF(MOD(AH277+0.5,10)&gt;=7,"+",IF(MOD(AH277+0.5,10)&lt;3,"-",""))),"")</f>
        <v>+</v>
      </c>
      <c r="AK277" s="31" t="b">
        <f>IF(A277&lt;&gt;"",OR(AI277&lt;&gt;AC277,AJ277&lt;&gt;AD277),"")</f>
        <v>0</v>
      </c>
      <c r="AL277" s="81">
        <f>IF(AND(A277&lt;&gt;"",U277&gt;0),SUM(U277,$AL$8)/$AL$2*100,"")</f>
        <v>91.5</v>
      </c>
      <c r="AM277" s="24">
        <f>IF(AND(A277&lt;&gt;"",V277&gt;0),SUM(V277,$AM$8)/$AM$2*100,"")</f>
        <v>94.666666666666671</v>
      </c>
      <c r="AN277" s="24" t="str">
        <f>IF(AND(A277&lt;&gt;"",P277&lt;&gt;0),SUM(P277,$AN$8)/$AN$2*100,"")</f>
        <v/>
      </c>
      <c r="AO277" s="24" t="str">
        <f>IF(AND(A277&lt;&gt;"",Q277&lt;&gt;0),SUM(Q277,$AO$8)/$AO$2*100,"")</f>
        <v/>
      </c>
      <c r="AP277" s="24">
        <f>IF(AND(A277&lt;&gt;"",R277&lt;&gt;0),SUM(R277,$AP$8)/$AP$2*100,"")</f>
        <v>70.502659574468083</v>
      </c>
      <c r="AQ277" s="24" t="str">
        <f>IF(AND(A277&lt;&gt;"",W277&gt;0),SUM(W277,$AQ$8)/$AQ$2*100,"")</f>
        <v/>
      </c>
      <c r="AR277" s="24">
        <f>IF(AND(A277&lt;&gt;"",T277&gt;0),SUM(T277,$AR$8)/$AR$2*100,"")</f>
        <v>84.03047091412742</v>
      </c>
      <c r="AS277" s="24">
        <f>IF(AND(A277&lt;&gt;"",X277&lt;&gt;0),SUM(X277,$AS$8)/$AS$2*100,"")</f>
        <v>84.03047091412742</v>
      </c>
      <c r="AT277" s="86">
        <f>IF(A277&lt;&gt;"",SUM(W277:X277,$AT$8)/$AT$2*100,"")</f>
        <v>84.03047091412742</v>
      </c>
      <c r="AU277" s="24">
        <f>AA277</f>
        <v>89.01523545706371</v>
      </c>
      <c r="AV277" s="24"/>
      <c r="AW277" s="27">
        <f>IF(A277&lt;&gt;"",AE277-AA277,"")</f>
        <v>-4.9847645429362899</v>
      </c>
      <c r="AY277" s="27">
        <f>AR277-AP277</f>
        <v>13.527811339659337</v>
      </c>
      <c r="AZ277" s="27">
        <f>ABS(AY277)</f>
        <v>13.527811339659337</v>
      </c>
    </row>
    <row r="278" spans="1:52" s="27" customFormat="1" ht="12.75" customHeight="1" x14ac:dyDescent="0.2">
      <c r="A278" s="10">
        <v>739860</v>
      </c>
      <c r="B278" s="2">
        <v>23</v>
      </c>
      <c r="C278" s="10">
        <v>24</v>
      </c>
      <c r="D278" s="10">
        <v>24</v>
      </c>
      <c r="E278" s="10">
        <v>21</v>
      </c>
      <c r="F278" s="10">
        <v>23</v>
      </c>
      <c r="G278" s="10">
        <v>25</v>
      </c>
      <c r="H278" s="10">
        <v>24</v>
      </c>
      <c r="I278" s="10">
        <v>23</v>
      </c>
      <c r="J278" s="2"/>
      <c r="K278" s="10">
        <v>62</v>
      </c>
      <c r="L278" s="10">
        <v>62</v>
      </c>
      <c r="M278" s="10">
        <v>59</v>
      </c>
      <c r="N278" s="51">
        <v>61</v>
      </c>
      <c r="O278" s="11">
        <v>62</v>
      </c>
      <c r="P278" s="10"/>
      <c r="Q278" s="40"/>
      <c r="R278" s="2">
        <v>103</v>
      </c>
      <c r="S278" s="10">
        <f>IF(T278="",R278,MAX((R278+$R$8)/$R$2,(T278+$T$8)/$T$2)*$R$2-$R$8)</f>
        <v>129.05562267931867</v>
      </c>
      <c r="T278" s="12">
        <v>191</v>
      </c>
      <c r="U278" s="68">
        <f>IF(A278&lt;&gt;"",SUM(B278:I278),"")</f>
        <v>187</v>
      </c>
      <c r="V278" s="10">
        <f>IF(A278&lt;&gt;"",SUM(J278:O278),"")</f>
        <v>306</v>
      </c>
      <c r="W278" s="10">
        <f>IF(A278&lt;&gt;"",SUM(P278:Q278),"")</f>
        <v>0</v>
      </c>
      <c r="X278" s="10">
        <f>IF(A278&lt;&gt;"",SUM(S278:T278),"")</f>
        <v>320.05562267931867</v>
      </c>
      <c r="Y278" s="12">
        <v>3</v>
      </c>
      <c r="Z278" s="12">
        <f>IF(A278&lt;&gt;"",SUM(U278:Y278),"")</f>
        <v>816.05562267931873</v>
      </c>
      <c r="AA278" s="27">
        <f>IF(A278&lt;&gt;"",(Z278+Normalize_To_Add)/(Point_Total_So_Far)*100,"")</f>
        <v>89.115235457063719</v>
      </c>
      <c r="AB278" s="10">
        <f>IF(A278&lt;&gt;"",RANK(AA278,All_Student_XC),"")</f>
        <v>91</v>
      </c>
      <c r="AC278" s="31" t="str">
        <f>IF(A278&lt;&gt;"",CHOOSE(10-MIN(9,TRUNC((AA278+0.5)/10)),"A","B","C","D","F","F","F","F","F","F"),"")</f>
        <v>B</v>
      </c>
      <c r="AD278" s="31" t="str">
        <f>IF(A278&lt;&gt;"",IF(OR(AA278+0.5&gt;=93,AA278+0.5&lt;60),"",IF(MOD(AA278+0.5,10)&gt;=7,"+",IF(MOD(AA278+0.5,10)&lt;3,"-",""))),"")</f>
        <v>+</v>
      </c>
      <c r="AE278" s="31">
        <f>IF(A278&lt;&gt;"",SUM(W278:X278,$W$8:$X$8)/SUM($W$2:$X$2)*100,"")</f>
        <v>79.03047091412742</v>
      </c>
      <c r="AF278" s="31" t="str">
        <f>IF(A278&lt;&gt;"",CHOOSE(10-MIN(9,TRUNC((AE278+0.5)/10)),"A","B","C","D","F","F","F","F","F","F"),"")</f>
        <v>C</v>
      </c>
      <c r="AG278" s="31" t="str">
        <f>IF(A278&lt;&gt;"",IF(OR(AE278+0.5&gt;=93,AE278+0.5&lt;60),"",IF(MOD(AE278+0.5,10)&gt;=7,"+",IF(MOD(AE278+0.5,10)&lt;3,"-",""))),"")</f>
        <v>+</v>
      </c>
      <c r="AH278" s="35">
        <f>IF(A278&lt;&gt;"",MIN(MAX(AA278,AE278),AA278+$AH$8,AE278+$AH$8),"")</f>
        <v>89.115235457063719</v>
      </c>
      <c r="AI278" s="31" t="str">
        <f>IF(A278&lt;&gt;"",CHOOSE(10-MIN(9,TRUNC((AH278+0.5)/10)),"A","B","C","D","F","F","F","F","F","F"),"")</f>
        <v>B</v>
      </c>
      <c r="AJ278" s="31" t="str">
        <f>IF(A278&lt;&gt;"",IF(OR(AH278+0.5&gt;=93,AH278+0.5&lt;60),"",IF(MOD(AH278+0.5,10)&gt;=7,"+",IF(MOD(AH278+0.5,10)&lt;3,"-",""))),"")</f>
        <v>+</v>
      </c>
      <c r="AK278" s="31" t="b">
        <f>IF(A278&lt;&gt;"",OR(AI278&lt;&gt;AC278,AJ278&lt;&gt;AD278),"")</f>
        <v>0</v>
      </c>
      <c r="AL278" s="81">
        <f>IF(AND(A278&lt;&gt;"",U278&gt;0),SUM(U278,$AL$8)/$AL$2*100,"")</f>
        <v>93.5</v>
      </c>
      <c r="AM278" s="24">
        <f>IF(AND(A278&lt;&gt;"",V278&gt;0),SUM(V278,$AM$8)/$AM$2*100,"")</f>
        <v>102</v>
      </c>
      <c r="AN278" s="24" t="str">
        <f>IF(AND(A278&lt;&gt;"",P278&lt;&gt;0),SUM(P278,$AN$8)/$AN$2*100,"")</f>
        <v/>
      </c>
      <c r="AO278" s="24" t="str">
        <f>IF(AND(A278&lt;&gt;"",Q278&lt;&gt;0),SUM(Q278,$AO$8)/$AO$2*100,"")</f>
        <v/>
      </c>
      <c r="AP278" s="24">
        <f>IF(AND(A278&lt;&gt;"",R278&lt;&gt;0),SUM(R278,$AP$8)/$AP$2*100,"")</f>
        <v>66.002659574468083</v>
      </c>
      <c r="AQ278" s="24" t="str">
        <f>IF(AND(A278&lt;&gt;"",W278&gt;0),SUM(W278,$AQ$8)/$AQ$2*100,"")</f>
        <v/>
      </c>
      <c r="AR278" s="24">
        <f>IF(AND(A278&lt;&gt;"",T278&gt;0),SUM(T278,$AR$8)/$AR$2*100,"")</f>
        <v>79.03047091412742</v>
      </c>
      <c r="AS278" s="24">
        <f>IF(AND(A278&lt;&gt;"",X278&lt;&gt;0),SUM(X278,$AS$8)/$AS$2*100,"")</f>
        <v>79.03047091412742</v>
      </c>
      <c r="AT278" s="86">
        <f>IF(A278&lt;&gt;"",SUM(W278:X278,$AT$8)/$AT$2*100,"")</f>
        <v>79.03047091412742</v>
      </c>
      <c r="AU278" s="24">
        <f>AA278</f>
        <v>89.115235457063719</v>
      </c>
      <c r="AV278" s="24"/>
      <c r="AW278" s="27">
        <f>IF(A278&lt;&gt;"",AE278-AA278,"")</f>
        <v>-10.084764542936298</v>
      </c>
      <c r="AY278" s="27">
        <f>AR278-AP278</f>
        <v>13.027811339659337</v>
      </c>
      <c r="AZ278" s="27">
        <f>ABS(AY278)</f>
        <v>13.027811339659337</v>
      </c>
    </row>
    <row r="279" spans="1:52" s="27" customFormat="1" ht="12.75" customHeight="1" x14ac:dyDescent="0.2">
      <c r="A279" s="10">
        <v>746470</v>
      </c>
      <c r="B279" s="2">
        <v>25</v>
      </c>
      <c r="C279" s="10">
        <v>25</v>
      </c>
      <c r="D279" s="10">
        <v>25</v>
      </c>
      <c r="E279" s="10">
        <v>24</v>
      </c>
      <c r="F279" s="10">
        <v>25</v>
      </c>
      <c r="G279" s="10">
        <v>25</v>
      </c>
      <c r="H279" s="10">
        <v>25</v>
      </c>
      <c r="I279" s="10">
        <v>25</v>
      </c>
      <c r="J279" s="2"/>
      <c r="K279" s="10">
        <v>62</v>
      </c>
      <c r="L279" s="10">
        <v>60</v>
      </c>
      <c r="M279" s="10">
        <v>59</v>
      </c>
      <c r="N279" s="51">
        <v>61</v>
      </c>
      <c r="O279" s="11">
        <v>62</v>
      </c>
      <c r="P279" s="10"/>
      <c r="Q279" s="40"/>
      <c r="R279" s="2">
        <v>120</v>
      </c>
      <c r="S279" s="10">
        <f>IF(T279="",R279,MAX((R279+$R$8)/$R$2,(T279+$T$8)/$T$2)*$R$2-$R$8)</f>
        <v>133.72228934598536</v>
      </c>
      <c r="T279" s="12">
        <v>198</v>
      </c>
      <c r="U279" s="68">
        <f>IF(A279&lt;&gt;"",SUM(B279:I279),"")</f>
        <v>199</v>
      </c>
      <c r="V279" s="10">
        <f>IF(A279&lt;&gt;"",SUM(J279:O279),"")</f>
        <v>304</v>
      </c>
      <c r="W279" s="10">
        <f>IF(A279&lt;&gt;"",SUM(P279:Q279),"")</f>
        <v>0</v>
      </c>
      <c r="X279" s="10">
        <f>IF(A279&lt;&gt;"",SUM(S279:T279),"")</f>
        <v>331.72228934598536</v>
      </c>
      <c r="Y279" s="12">
        <v>3</v>
      </c>
      <c r="Z279" s="12">
        <f>IF(A279&lt;&gt;"",SUM(U279:Y279),"")</f>
        <v>837.72228934598536</v>
      </c>
      <c r="AA279" s="27">
        <f>IF(A279&lt;&gt;"",(Z279+Normalize_To_Add)/(Point_Total_So_Far)*100,"")</f>
        <v>91.281902123730376</v>
      </c>
      <c r="AB279" s="10">
        <f>IF(A279&lt;&gt;"",RANK(AA279,All_Student_XC),"")</f>
        <v>63</v>
      </c>
      <c r="AC279" s="31" t="str">
        <f>IF(A279&lt;&gt;"",CHOOSE(10-MIN(9,TRUNC((AA279+0.5)/10)),"A","B","C","D","F","F","F","F","F","F"),"")</f>
        <v>A</v>
      </c>
      <c r="AD279" s="31" t="str">
        <f>IF(A279&lt;&gt;"",IF(OR(AA279+0.5&gt;=93,AA279+0.5&lt;60),"",IF(MOD(AA279+0.5,10)&gt;=7,"+",IF(MOD(AA279+0.5,10)&lt;3,"-",""))),"")</f>
        <v>-</v>
      </c>
      <c r="AE279" s="31">
        <f>IF(A279&lt;&gt;"",SUM(W279:X279,$W$8:$X$8)/SUM($W$2:$X$2)*100,"")</f>
        <v>81.363804247460763</v>
      </c>
      <c r="AF279" s="31" t="str">
        <f>IF(A279&lt;&gt;"",CHOOSE(10-MIN(9,TRUNC((AE279+0.5)/10)),"A","B","C","D","F","F","F","F","F","F"),"")</f>
        <v>B</v>
      </c>
      <c r="AG279" s="31" t="str">
        <f>IF(A279&lt;&gt;"",IF(OR(AE279+0.5&gt;=93,AE279+0.5&lt;60),"",IF(MOD(AE279+0.5,10)&gt;=7,"+",IF(MOD(AE279+0.5,10)&lt;3,"-",""))),"")</f>
        <v>-</v>
      </c>
      <c r="AH279" s="35">
        <f>IF(A279&lt;&gt;"",MIN(MAX(AA279,AE279),AA279+$AH$8,AE279+$AH$8),"")</f>
        <v>91.281902123730376</v>
      </c>
      <c r="AI279" s="31" t="str">
        <f>IF(A279&lt;&gt;"",CHOOSE(10-MIN(9,TRUNC((AH279+0.5)/10)),"A","B","C","D","F","F","F","F","F","F"),"")</f>
        <v>A</v>
      </c>
      <c r="AJ279" s="31" t="str">
        <f>IF(A279&lt;&gt;"",IF(OR(AH279+0.5&gt;=93,AH279+0.5&lt;60),"",IF(MOD(AH279+0.5,10)&gt;=7,"+",IF(MOD(AH279+0.5,10)&lt;3,"-",""))),"")</f>
        <v>-</v>
      </c>
      <c r="AK279" s="31" t="b">
        <f>IF(A279&lt;&gt;"",OR(AI279&lt;&gt;AC279,AJ279&lt;&gt;AD279),"")</f>
        <v>0</v>
      </c>
      <c r="AL279" s="81">
        <f>IF(AND(A279&lt;&gt;"",U279&gt;0),SUM(U279,$AL$8)/$AL$2*100,"")</f>
        <v>99.5</v>
      </c>
      <c r="AM279" s="24">
        <f>IF(AND(A279&lt;&gt;"",V279&gt;0),SUM(V279,$AM$8)/$AM$2*100,"")</f>
        <v>101.33333333333334</v>
      </c>
      <c r="AN279" s="24" t="str">
        <f>IF(AND(A279&lt;&gt;"",P279&lt;&gt;0),SUM(P279,$AN$8)/$AN$2*100,"")</f>
        <v/>
      </c>
      <c r="AO279" s="24" t="str">
        <f>IF(AND(A279&lt;&gt;"",Q279&lt;&gt;0),SUM(Q279,$AO$8)/$AO$2*100,"")</f>
        <v/>
      </c>
      <c r="AP279" s="24">
        <f>IF(AND(A279&lt;&gt;"",R279&lt;&gt;0),SUM(R279,$AP$8)/$AP$2*100,"")</f>
        <v>74.502659574468083</v>
      </c>
      <c r="AQ279" s="24" t="str">
        <f>IF(AND(A279&lt;&gt;"",W279&gt;0),SUM(W279,$AQ$8)/$AQ$2*100,"")</f>
        <v/>
      </c>
      <c r="AR279" s="24">
        <f>IF(AND(A279&lt;&gt;"",T279&gt;0),SUM(T279,$AR$8)/$AR$2*100,"")</f>
        <v>81.363804247460763</v>
      </c>
      <c r="AS279" s="24">
        <f>IF(AND(A279&lt;&gt;"",X279&lt;&gt;0),SUM(X279,$AS$8)/$AS$2*100,"")</f>
        <v>81.363804247460763</v>
      </c>
      <c r="AT279" s="86">
        <f>IF(A279&lt;&gt;"",SUM(W279:X279,$AT$8)/$AT$2*100,"")</f>
        <v>81.363804247460763</v>
      </c>
      <c r="AU279" s="24">
        <f>AA279</f>
        <v>91.281902123730376</v>
      </c>
      <c r="AV279" s="24"/>
      <c r="AW279" s="27">
        <f>IF(A279&lt;&gt;"",AE279-AA279,"")</f>
        <v>-9.9180978762696128</v>
      </c>
      <c r="AY279" s="27">
        <f>AR279-AP279</f>
        <v>6.8611446729926797</v>
      </c>
      <c r="AZ279" s="27">
        <f>ABS(AY279)</f>
        <v>6.8611446729926797</v>
      </c>
    </row>
    <row r="280" spans="1:52" s="27" customFormat="1" ht="12.75" customHeight="1" x14ac:dyDescent="0.2">
      <c r="A280" s="10">
        <v>747172</v>
      </c>
      <c r="B280" s="2">
        <v>25</v>
      </c>
      <c r="C280" s="10">
        <v>24</v>
      </c>
      <c r="D280" s="10" t="s">
        <v>69</v>
      </c>
      <c r="E280" s="10">
        <v>18</v>
      </c>
      <c r="F280" s="10">
        <v>23</v>
      </c>
      <c r="G280" s="10">
        <v>25</v>
      </c>
      <c r="H280" s="10">
        <v>19</v>
      </c>
      <c r="I280" s="10">
        <v>25</v>
      </c>
      <c r="J280" s="2"/>
      <c r="K280" s="10">
        <v>61</v>
      </c>
      <c r="L280" s="10">
        <v>49</v>
      </c>
      <c r="M280" s="10">
        <v>60</v>
      </c>
      <c r="N280" s="51">
        <v>57</v>
      </c>
      <c r="O280" s="11">
        <v>57</v>
      </c>
      <c r="P280" s="10"/>
      <c r="Q280" s="40"/>
      <c r="R280" s="2">
        <v>98</v>
      </c>
      <c r="S280" s="10">
        <f>IF(T280="",R280,MAX((R280+$R$8)/$R$2,(T280+$T$8)/$T$2)*$R$2-$R$8)</f>
        <v>133.72228934598536</v>
      </c>
      <c r="T280" s="12">
        <v>198</v>
      </c>
      <c r="U280" s="68">
        <f>IF(A280&lt;&gt;"",SUM(B280:I280),"")</f>
        <v>159</v>
      </c>
      <c r="V280" s="10">
        <f>IF(A280&lt;&gt;"",SUM(J280:O280),"")</f>
        <v>284</v>
      </c>
      <c r="W280" s="10">
        <f>IF(A280&lt;&gt;"",SUM(P280:Q280),"")</f>
        <v>0</v>
      </c>
      <c r="X280" s="10">
        <f>IF(A280&lt;&gt;"",SUM(S280:T280),"")</f>
        <v>331.72228934598536</v>
      </c>
      <c r="Y280" s="12">
        <v>3</v>
      </c>
      <c r="Z280" s="12">
        <f>IF(A280&lt;&gt;"",SUM(U280:Y280),"")</f>
        <v>777.72228934598536</v>
      </c>
      <c r="AA280" s="27">
        <f>IF(A280&lt;&gt;"",(Z280+Normalize_To_Add)/(Point_Total_So_Far)*100,"")</f>
        <v>85.281902123730376</v>
      </c>
      <c r="AB280" s="10">
        <f>IF(A280&lt;&gt;"",RANK(AA280,All_Student_XC),"")</f>
        <v>154</v>
      </c>
      <c r="AC280" s="31" t="str">
        <f>IF(A280&lt;&gt;"",CHOOSE(10-MIN(9,TRUNC((AA280+0.5)/10)),"A","B","C","D","F","F","F","F","F","F"),"")</f>
        <v>B</v>
      </c>
      <c r="AD280" s="31" t="str">
        <f>IF(A280&lt;&gt;"",IF(OR(AA280+0.5&gt;=93,AA280+0.5&lt;60),"",IF(MOD(AA280+0.5,10)&gt;=7,"+",IF(MOD(AA280+0.5,10)&lt;3,"-",""))),"")</f>
        <v/>
      </c>
      <c r="AE280" s="31">
        <f>IF(A280&lt;&gt;"",SUM(W280:X280,$W$8:$X$8)/SUM($W$2:$X$2)*100,"")</f>
        <v>81.363804247460763</v>
      </c>
      <c r="AF280" s="31" t="str">
        <f>IF(A280&lt;&gt;"",CHOOSE(10-MIN(9,TRUNC((AE280+0.5)/10)),"A","B","C","D","F","F","F","F","F","F"),"")</f>
        <v>B</v>
      </c>
      <c r="AG280" s="31" t="str">
        <f>IF(A280&lt;&gt;"",IF(OR(AE280+0.5&gt;=93,AE280+0.5&lt;60),"",IF(MOD(AE280+0.5,10)&gt;=7,"+",IF(MOD(AE280+0.5,10)&lt;3,"-",""))),"")</f>
        <v>-</v>
      </c>
      <c r="AH280" s="35">
        <f>IF(A280&lt;&gt;"",MIN(MAX(AA280,AE280),AA280+$AH$8,AE280+$AH$8),"")</f>
        <v>85.281902123730376</v>
      </c>
      <c r="AI280" s="31" t="str">
        <f>IF(A280&lt;&gt;"",CHOOSE(10-MIN(9,TRUNC((AH280+0.5)/10)),"A","B","C","D","F","F","F","F","F","F"),"")</f>
        <v>B</v>
      </c>
      <c r="AJ280" s="31" t="str">
        <f>IF(A280&lt;&gt;"",IF(OR(AH280+0.5&gt;=93,AH280+0.5&lt;60),"",IF(MOD(AH280+0.5,10)&gt;=7,"+",IF(MOD(AH280+0.5,10)&lt;3,"-",""))),"")</f>
        <v/>
      </c>
      <c r="AK280" s="31" t="b">
        <f>IF(A280&lt;&gt;"",OR(AI280&lt;&gt;AC280,AJ280&lt;&gt;AD280),"")</f>
        <v>0</v>
      </c>
      <c r="AL280" s="81">
        <f>IF(AND(A280&lt;&gt;"",U280&gt;0),SUM(U280,$AL$8)/$AL$2*100,"")</f>
        <v>79.5</v>
      </c>
      <c r="AM280" s="24">
        <f>IF(AND(A280&lt;&gt;"",V280&gt;0),SUM(V280,$AM$8)/$AM$2*100,"")</f>
        <v>94.666666666666671</v>
      </c>
      <c r="AN280" s="24" t="str">
        <f>IF(AND(A280&lt;&gt;"",P280&lt;&gt;0),SUM(P280,$AN$8)/$AN$2*100,"")</f>
        <v/>
      </c>
      <c r="AO280" s="24" t="str">
        <f>IF(AND(A280&lt;&gt;"",Q280&lt;&gt;0),SUM(Q280,$AO$8)/$AO$2*100,"")</f>
        <v/>
      </c>
      <c r="AP280" s="24">
        <f>IF(AND(A280&lt;&gt;"",R280&lt;&gt;0),SUM(R280,$AP$8)/$AP$2*100,"")</f>
        <v>63.502659574468076</v>
      </c>
      <c r="AQ280" s="24" t="str">
        <f>IF(AND(A280&lt;&gt;"",W280&gt;0),SUM(W280,$AQ$8)/$AQ$2*100,"")</f>
        <v/>
      </c>
      <c r="AR280" s="24">
        <f>IF(AND(A280&lt;&gt;"",T280&gt;0),SUM(T280,$AR$8)/$AR$2*100,"")</f>
        <v>81.363804247460763</v>
      </c>
      <c r="AS280" s="24">
        <f>IF(AND(A280&lt;&gt;"",X280&lt;&gt;0),SUM(X280,$AS$8)/$AS$2*100,"")</f>
        <v>81.363804247460763</v>
      </c>
      <c r="AT280" s="86">
        <f>IF(A280&lt;&gt;"",SUM(W280:X280,$AT$8)/$AT$2*100,"")</f>
        <v>81.363804247460763</v>
      </c>
      <c r="AU280" s="24">
        <f>AA280</f>
        <v>85.281902123730376</v>
      </c>
      <c r="AV280" s="24"/>
      <c r="AW280" s="27">
        <f>IF(A280&lt;&gt;"",AE280-AA280,"")</f>
        <v>-3.9180978762696128</v>
      </c>
      <c r="AY280" s="27">
        <f>AR280-AP280</f>
        <v>17.861144672992687</v>
      </c>
      <c r="AZ280" s="27">
        <f>ABS(AY280)</f>
        <v>17.861144672992687</v>
      </c>
    </row>
    <row r="281" spans="1:52" s="27" customFormat="1" ht="12.75" customHeight="1" x14ac:dyDescent="0.2">
      <c r="A281" s="10">
        <v>747832</v>
      </c>
      <c r="B281" s="2">
        <v>23</v>
      </c>
      <c r="C281" s="10">
        <v>23</v>
      </c>
      <c r="D281" s="10">
        <v>22</v>
      </c>
      <c r="E281" s="10">
        <v>24</v>
      </c>
      <c r="F281" s="10">
        <v>24</v>
      </c>
      <c r="G281" s="10">
        <v>16</v>
      </c>
      <c r="H281" s="10">
        <v>24</v>
      </c>
      <c r="I281" s="10">
        <v>25</v>
      </c>
      <c r="J281" s="2"/>
      <c r="K281" s="10">
        <v>59</v>
      </c>
      <c r="L281" s="10">
        <v>59</v>
      </c>
      <c r="M281" s="10">
        <v>59</v>
      </c>
      <c r="N281" s="51">
        <v>47</v>
      </c>
      <c r="O281" s="11">
        <v>60</v>
      </c>
      <c r="P281" s="10"/>
      <c r="Q281" s="40"/>
      <c r="R281" s="2">
        <v>155</v>
      </c>
      <c r="S281" s="10">
        <f>IF(T281="",R281,MAX((R281+$R$8)/$R$2,(T281+$T$8)/$T$2)*$R$2-$R$8)</f>
        <v>155</v>
      </c>
      <c r="T281" s="12">
        <v>201</v>
      </c>
      <c r="U281" s="1">
        <f>IF(A281&lt;&gt;"",SUM(B281:I281),"")</f>
        <v>181</v>
      </c>
      <c r="V281" s="10">
        <f>IF(A281&lt;&gt;"",SUM(J281:O281),"")</f>
        <v>284</v>
      </c>
      <c r="W281" s="10">
        <f>IF(A281&lt;&gt;"",SUM(P281:Q281),"")</f>
        <v>0</v>
      </c>
      <c r="X281" s="10">
        <f>IF(A281&lt;&gt;"",SUM(S281:T281),"")</f>
        <v>356</v>
      </c>
      <c r="Y281" s="12">
        <v>3</v>
      </c>
      <c r="Z281" s="12">
        <f>IF(A281&lt;&gt;"",SUM(U281:Y281),"")</f>
        <v>824</v>
      </c>
      <c r="AA281" s="27">
        <f>IF(A281&lt;&gt;"",(Z281+Normalize_To_Add)/(Point_Total_So_Far)*100,"")</f>
        <v>89.909673189131851</v>
      </c>
      <c r="AB281" s="10">
        <f>IF(A281&lt;&gt;"",RANK(AA281,All_Student_XC),"")</f>
        <v>79</v>
      </c>
      <c r="AC281" s="31" t="str">
        <f>IF(A281&lt;&gt;"",CHOOSE(10-MIN(9,TRUNC((AA281+0.5)/10)),"A","B","C","D","F","F","F","F","F","F"),"")</f>
        <v>A</v>
      </c>
      <c r="AD281" s="31" t="str">
        <f>IF(A281&lt;&gt;"",IF(OR(AA281+0.5&gt;=93,AA281+0.5&lt;60),"",IF(MOD(AA281+0.5,10)&gt;=7,"+",IF(MOD(AA281+0.5,10)&lt;3,"-",""))),"")</f>
        <v>-</v>
      </c>
      <c r="AE281" s="31">
        <f>IF(A281&lt;&gt;"",SUM(W281:X281,$W$8:$X$8)/SUM($W$2:$X$2)*100,"")</f>
        <v>86.21934637826368</v>
      </c>
      <c r="AF281" s="31" t="str">
        <f>IF(A281&lt;&gt;"",CHOOSE(10-MIN(9,TRUNC((AE281+0.5)/10)),"A","B","C","D","F","F","F","F","F","F"),"")</f>
        <v>B</v>
      </c>
      <c r="AG281" s="31" t="str">
        <f>IF(A281&lt;&gt;"",IF(OR(AE281+0.5&gt;=93,AE281+0.5&lt;60),"",IF(MOD(AE281+0.5,10)&gt;=7,"+",IF(MOD(AE281+0.5,10)&lt;3,"-",""))),"")</f>
        <v/>
      </c>
      <c r="AH281" s="35">
        <f>IF(A281&lt;&gt;"",MIN(MAX(AA281,AE281),AA281+$AH$8,AE281+$AH$8),"")</f>
        <v>89.909673189131851</v>
      </c>
      <c r="AI281" s="31" t="str">
        <f>IF(A281&lt;&gt;"",CHOOSE(10-MIN(9,TRUNC((AH281+0.5)/10)),"A","B","C","D","F","F","F","F","F","F"),"")</f>
        <v>A</v>
      </c>
      <c r="AJ281" s="31" t="str">
        <f>IF(A281&lt;&gt;"",IF(OR(AH281+0.5&gt;=93,AH281+0.5&lt;60),"",IF(MOD(AH281+0.5,10)&gt;=7,"+",IF(MOD(AH281+0.5,10)&lt;3,"-",""))),"")</f>
        <v>-</v>
      </c>
      <c r="AK281" s="31" t="b">
        <f>IF(A281&lt;&gt;"",OR(AI281&lt;&gt;AC281,AJ281&lt;&gt;AD281),"")</f>
        <v>0</v>
      </c>
      <c r="AL281" s="81">
        <f>IF(AND(A281&lt;&gt;"",U281&gt;0),SUM(U281,$AL$8)/$AL$2*100,"")</f>
        <v>90.5</v>
      </c>
      <c r="AM281" s="24">
        <f>IF(AND(A281&lt;&gt;"",V281&gt;0),SUM(V281,$AM$8)/$AM$2*100,"")</f>
        <v>94.666666666666671</v>
      </c>
      <c r="AN281" s="24" t="str">
        <f>IF(AND(A281&lt;&gt;"",P281&lt;&gt;0),SUM(P281,$AN$8)/$AN$2*100,"")</f>
        <v/>
      </c>
      <c r="AO281" s="24" t="str">
        <f>IF(AND(A281&lt;&gt;"",Q281&lt;&gt;0),SUM(Q281,$AO$8)/$AO$2*100,"")</f>
        <v/>
      </c>
      <c r="AP281" s="24">
        <f>IF(AND(A281&lt;&gt;"",R281&lt;&gt;0),SUM(R281,$AP$8)/$AP$2*100,"")</f>
        <v>92.002659574468083</v>
      </c>
      <c r="AQ281" s="24" t="str">
        <f>IF(AND(A281&lt;&gt;"",W281&gt;0),SUM(W281,$AQ$8)/$AQ$2*100,"")</f>
        <v/>
      </c>
      <c r="AR281" s="24">
        <f>IF(AND(A281&lt;&gt;"",T281&gt;0),SUM(T281,$AR$8)/$AR$2*100,"")</f>
        <v>82.363804247460763</v>
      </c>
      <c r="AS281" s="24">
        <f>IF(AND(A281&lt;&gt;"",X281&lt;&gt;0),SUM(X281,$AS$8)/$AS$2*100,"")</f>
        <v>86.21934637826368</v>
      </c>
      <c r="AT281" s="86">
        <f>IF(A281&lt;&gt;"",SUM(W281:X281,$AT$8)/$AT$2*100,"")</f>
        <v>86.21934637826368</v>
      </c>
      <c r="AU281" s="24">
        <f>AA281</f>
        <v>89.909673189131851</v>
      </c>
      <c r="AV281" s="24"/>
      <c r="AW281" s="27">
        <f>IF(A281&lt;&gt;"",AE281-AA281,"")</f>
        <v>-3.6903268108681715</v>
      </c>
      <c r="AY281" s="27">
        <f>AR281-AP281</f>
        <v>-9.6388553270073203</v>
      </c>
      <c r="AZ281" s="27">
        <f>ABS(AY281)</f>
        <v>9.6388553270073203</v>
      </c>
    </row>
    <row r="282" spans="1:52" s="27" customFormat="1" ht="12.75" customHeight="1" x14ac:dyDescent="0.2">
      <c r="A282" s="50">
        <v>755550</v>
      </c>
      <c r="B282" s="2">
        <v>25</v>
      </c>
      <c r="C282" s="50">
        <v>23</v>
      </c>
      <c r="D282" s="10">
        <v>25</v>
      </c>
      <c r="E282" s="10">
        <v>22</v>
      </c>
      <c r="F282" s="10">
        <v>14</v>
      </c>
      <c r="G282" s="10">
        <v>25</v>
      </c>
      <c r="H282" s="10">
        <v>15</v>
      </c>
      <c r="I282" s="10">
        <v>25</v>
      </c>
      <c r="J282" s="2"/>
      <c r="K282" s="10">
        <v>60</v>
      </c>
      <c r="L282" s="10">
        <v>60</v>
      </c>
      <c r="M282" s="10">
        <v>59</v>
      </c>
      <c r="N282" s="51">
        <v>55</v>
      </c>
      <c r="O282" s="11">
        <v>60</v>
      </c>
      <c r="P282" s="10"/>
      <c r="Q282" s="40"/>
      <c r="R282" s="2">
        <v>97</v>
      </c>
      <c r="S282" s="10">
        <f>IF(T282="",R282,MAX((R282+$R$8)/$R$2,(T282+$T$8)/$T$2)*$R$2-$R$8)</f>
        <v>128.38895601265202</v>
      </c>
      <c r="T282" s="62">
        <v>190</v>
      </c>
      <c r="U282" s="2">
        <f>IF(A282&lt;&gt;"",SUM(B282:I282),"")</f>
        <v>174</v>
      </c>
      <c r="V282" s="10">
        <f>IF(A282&lt;&gt;"",SUM(J282:O282),"")</f>
        <v>294</v>
      </c>
      <c r="W282" s="10">
        <f>IF(A282&lt;&gt;"",SUM(P282:Q282),"")</f>
        <v>0</v>
      </c>
      <c r="X282" s="10">
        <f>IF(A282&lt;&gt;"",SUM(S282:T282),"")</f>
        <v>318.38895601265199</v>
      </c>
      <c r="Y282" s="12" t="s">
        <v>69</v>
      </c>
      <c r="Z282" s="12">
        <f>IF(A282&lt;&gt;"",SUM(U282:Y282),"")</f>
        <v>786.38895601265199</v>
      </c>
      <c r="AA282" s="27">
        <f>IF(A282&lt;&gt;"",(Z282+Normalize_To_Add)/(Point_Total_So_Far)*100,"")</f>
        <v>86.148568790397036</v>
      </c>
      <c r="AB282" s="10">
        <f>IF(A282&lt;&gt;"",RANK(AA282,All_Student_XC),"")</f>
        <v>134</v>
      </c>
      <c r="AC282" s="31" t="str">
        <f>IF(A282&lt;&gt;"",CHOOSE(10-MIN(9,TRUNC((AA282+0.5)/10)),"A","B","C","D","F","F","F","F","F","F"),"")</f>
        <v>B</v>
      </c>
      <c r="AD282" s="31" t="str">
        <f>IF(A282&lt;&gt;"",IF(OR(AA282+0.5&gt;=93,AA282+0.5&lt;60),"",IF(MOD(AA282+0.5,10)&gt;=7,"+",IF(MOD(AA282+0.5,10)&lt;3,"-",""))),"")</f>
        <v/>
      </c>
      <c r="AE282" s="31">
        <f>IF(A282&lt;&gt;"",SUM(W282:X282,$W$8:$X$8)/SUM($W$2:$X$2)*100,"")</f>
        <v>78.697137580794092</v>
      </c>
      <c r="AF282" s="43" t="str">
        <f>IF(A282&lt;&gt;"",CHOOSE(10-MIN(9,TRUNC((AE282+0.5)/10)),"A","B","C","D","F","F","F","F","F","F"),"")</f>
        <v>C</v>
      </c>
      <c r="AG282" s="43" t="str">
        <f>IF(A282&lt;&gt;"",IF(OR(AE282+0.5&gt;=93,AE282+0.5&lt;60),"",IF(MOD(AE282+0.5,10)&gt;=7,"+",IF(MOD(AE282+0.5,10)&lt;3,"-",""))),"")</f>
        <v>+</v>
      </c>
      <c r="AH282" s="35">
        <f>IF(A282&lt;&gt;"",MIN(MAX(AA282,AE282),AA282+$AH$8,AE282+$AH$8),"")</f>
        <v>86.148568790397036</v>
      </c>
      <c r="AI282" s="31" t="str">
        <f>IF(A282&lt;&gt;"",CHOOSE(10-MIN(9,TRUNC((AH282+0.5)/10)),"A","B","C","D","F","F","F","F","F","F"),"")</f>
        <v>B</v>
      </c>
      <c r="AJ282" s="31" t="str">
        <f>IF(A282&lt;&gt;"",IF(OR(AH282+0.5&gt;=93,AH282+0.5&lt;60),"",IF(MOD(AH282+0.5,10)&gt;=7,"+",IF(MOD(AH282+0.5,10)&lt;3,"-",""))),"")</f>
        <v/>
      </c>
      <c r="AK282" s="31" t="b">
        <f>IF(A282&lt;&gt;"",OR(AI282&lt;&gt;AC282,AJ282&lt;&gt;AD282),"")</f>
        <v>0</v>
      </c>
      <c r="AL282" s="81">
        <f>IF(AND(A282&lt;&gt;"",U282&gt;0),SUM(U282,$AL$8)/$AL$2*100,"")</f>
        <v>87</v>
      </c>
      <c r="AM282" s="24">
        <f>IF(AND(A282&lt;&gt;"",V282&gt;0),SUM(V282,$AM$8)/$AM$2*100,"")</f>
        <v>98</v>
      </c>
      <c r="AN282" s="24" t="str">
        <f>IF(AND(A282&lt;&gt;"",P282&lt;&gt;0),SUM(P282,$AN$8)/$AN$2*100,"")</f>
        <v/>
      </c>
      <c r="AO282" s="24" t="str">
        <f>IF(AND(A282&lt;&gt;"",Q282&lt;&gt;0),SUM(Q282,$AO$8)/$AO$2*100,"")</f>
        <v/>
      </c>
      <c r="AP282" s="24">
        <f>IF(AND(A282&lt;&gt;"",R282&lt;&gt;0),SUM(R282,$AP$8)/$AP$2*100,"")</f>
        <v>63.002659574468076</v>
      </c>
      <c r="AQ282" s="24" t="str">
        <f>IF(AND(A282&lt;&gt;"",W282&gt;0),SUM(W282,$AQ$8)/$AQ$2*100,"")</f>
        <v/>
      </c>
      <c r="AR282" s="24">
        <f>IF(AND(A282&lt;&gt;"",T282&gt;0),SUM(T282,$AR$8)/$AR$2*100,"")</f>
        <v>78.697137580794092</v>
      </c>
      <c r="AS282" s="24">
        <f>IF(AND(A282&lt;&gt;"",X282&lt;&gt;0),SUM(X282,$AS$8)/$AS$2*100,"")</f>
        <v>78.697137580794092</v>
      </c>
      <c r="AT282" s="86">
        <f>IF(A282&lt;&gt;"",SUM(W282:X282,$AT$8)/$AT$2*100,"")</f>
        <v>78.697137580794092</v>
      </c>
      <c r="AU282" s="24">
        <f>AA282</f>
        <v>86.148568790397036</v>
      </c>
      <c r="AV282" s="24"/>
      <c r="AW282" s="27">
        <f>IF(A282&lt;&gt;"",AE282-AA282,"")</f>
        <v>-7.4514312096029443</v>
      </c>
      <c r="AY282" s="27">
        <f>AR282-AP282</f>
        <v>15.694478006326015</v>
      </c>
      <c r="AZ282" s="27">
        <f>ABS(AY282)</f>
        <v>15.694478006326015</v>
      </c>
    </row>
    <row r="283" spans="1:52" s="27" customFormat="1" ht="12.75" customHeight="1" x14ac:dyDescent="0.2">
      <c r="A283" s="10">
        <v>755630</v>
      </c>
      <c r="B283" s="2">
        <v>25</v>
      </c>
      <c r="C283" s="10">
        <v>23</v>
      </c>
      <c r="D283" s="10">
        <v>24</v>
      </c>
      <c r="E283" s="10">
        <v>21</v>
      </c>
      <c r="F283" s="10">
        <v>22</v>
      </c>
      <c r="G283" s="10">
        <v>20</v>
      </c>
      <c r="H283" s="10">
        <v>15</v>
      </c>
      <c r="I283" s="10">
        <v>24</v>
      </c>
      <c r="J283" s="2"/>
      <c r="K283" s="10">
        <v>60</v>
      </c>
      <c r="L283" s="10">
        <v>60</v>
      </c>
      <c r="M283" s="10">
        <v>61</v>
      </c>
      <c r="N283" s="51">
        <v>50</v>
      </c>
      <c r="O283" s="11">
        <v>60</v>
      </c>
      <c r="P283" s="10"/>
      <c r="Q283" s="40"/>
      <c r="R283" s="2">
        <v>112</v>
      </c>
      <c r="S283" s="10">
        <f>IF(T283="",R283,MAX((R283+$R$8)/$R$2,(T283+$T$8)/$T$2)*$R$2-$R$8)</f>
        <v>112</v>
      </c>
      <c r="T283" s="12">
        <v>164</v>
      </c>
      <c r="U283" s="68">
        <f>IF(A283&lt;&gt;"",SUM(B283:I283),"")</f>
        <v>174</v>
      </c>
      <c r="V283" s="10">
        <f>IF(A283&lt;&gt;"",SUM(J283:O283),"")</f>
        <v>291</v>
      </c>
      <c r="W283" s="10">
        <f>IF(A283&lt;&gt;"",SUM(P283:Q283),"")</f>
        <v>0</v>
      </c>
      <c r="X283" s="10">
        <f>IF(A283&lt;&gt;"",SUM(S283:T283),"")</f>
        <v>276</v>
      </c>
      <c r="Y283" s="12">
        <v>3</v>
      </c>
      <c r="Z283" s="12">
        <f>IF(A283&lt;&gt;"",SUM(U283:Y283),"")</f>
        <v>744</v>
      </c>
      <c r="AA283" s="27">
        <f>IF(A283&lt;&gt;"",(Z283+Normalize_To_Add)/(Point_Total_So_Far)*100,"")</f>
        <v>81.909673189131837</v>
      </c>
      <c r="AB283" s="10">
        <f>IF(A283&lt;&gt;"",RANK(AA283,All_Student_XC),"")</f>
        <v>183</v>
      </c>
      <c r="AC283" s="31" t="str">
        <f>IF(A283&lt;&gt;"",CHOOSE(10-MIN(9,TRUNC((AA283+0.5)/10)),"A","B","C","D","F","F","F","F","F","F"),"")</f>
        <v>B</v>
      </c>
      <c r="AD283" s="31" t="str">
        <f>IF(A283&lt;&gt;"",IF(OR(AA283+0.5&gt;=93,AA283+0.5&lt;60),"",IF(MOD(AA283+0.5,10)&gt;=7,"+",IF(MOD(AA283+0.5,10)&lt;3,"-",""))),"")</f>
        <v>-</v>
      </c>
      <c r="AE283" s="31">
        <f>IF(A283&lt;&gt;"",SUM(W283:X283,$W$8:$X$8)/SUM($W$2:$X$2)*100,"")</f>
        <v>70.21934637826368</v>
      </c>
      <c r="AF283" s="31" t="str">
        <f>IF(A283&lt;&gt;"",CHOOSE(10-MIN(9,TRUNC((AE283+0.5)/10)),"A","B","C","D","F","F","F","F","F","F"),"")</f>
        <v>C</v>
      </c>
      <c r="AG283" s="31" t="str">
        <f>IF(A283&lt;&gt;"",IF(OR(AE283+0.5&gt;=93,AE283+0.5&lt;60),"",IF(MOD(AE283+0.5,10)&gt;=7,"+",IF(MOD(AE283+0.5,10)&lt;3,"-",""))),"")</f>
        <v>-</v>
      </c>
      <c r="AH283" s="35">
        <f>IF(A283&lt;&gt;"",MIN(MAX(AA283,AE283),AA283+$AH$8,AE283+$AH$8),"")</f>
        <v>81.909673189131837</v>
      </c>
      <c r="AI283" s="31" t="str">
        <f>IF(A283&lt;&gt;"",CHOOSE(10-MIN(9,TRUNC((AH283+0.5)/10)),"A","B","C","D","F","F","F","F","F","F"),"")</f>
        <v>B</v>
      </c>
      <c r="AJ283" s="31" t="str">
        <f>IF(A283&lt;&gt;"",IF(OR(AH283+0.5&gt;=93,AH283+0.5&lt;60),"",IF(MOD(AH283+0.5,10)&gt;=7,"+",IF(MOD(AH283+0.5,10)&lt;3,"-",""))),"")</f>
        <v>-</v>
      </c>
      <c r="AK283" s="31" t="b">
        <f>IF(A283&lt;&gt;"",OR(AI283&lt;&gt;AC283,AJ283&lt;&gt;AD283),"")</f>
        <v>0</v>
      </c>
      <c r="AL283" s="81">
        <f>IF(AND(A283&lt;&gt;"",U283&gt;0),SUM(U283,$AL$8)/$AL$2*100,"")</f>
        <v>87</v>
      </c>
      <c r="AM283" s="24">
        <f>IF(AND(A283&lt;&gt;"",V283&gt;0),SUM(V283,$AM$8)/$AM$2*100,"")</f>
        <v>97</v>
      </c>
      <c r="AN283" s="24" t="str">
        <f>IF(AND(A283&lt;&gt;"",P283&lt;&gt;0),SUM(P283,$AN$8)/$AN$2*100,"")</f>
        <v/>
      </c>
      <c r="AO283" s="24" t="str">
        <f>IF(AND(A283&lt;&gt;"",Q283&lt;&gt;0),SUM(Q283,$AO$8)/$AO$2*100,"")</f>
        <v/>
      </c>
      <c r="AP283" s="24">
        <f>IF(AND(A283&lt;&gt;"",R283&lt;&gt;0),SUM(R283,$AP$8)/$AP$2*100,"")</f>
        <v>70.502659574468083</v>
      </c>
      <c r="AQ283" s="24" t="str">
        <f>IF(AND(A283&lt;&gt;"",W283&gt;0),SUM(W283,$AQ$8)/$AQ$2*100,"")</f>
        <v/>
      </c>
      <c r="AR283" s="24">
        <f>IF(AND(A283&lt;&gt;"",T283&gt;0),SUM(T283,$AR$8)/$AR$2*100,"")</f>
        <v>70.03047091412742</v>
      </c>
      <c r="AS283" s="24">
        <f>IF(AND(A283&lt;&gt;"",X283&lt;&gt;0),SUM(X283,$AS$8)/$AS$2*100,"")</f>
        <v>70.21934637826368</v>
      </c>
      <c r="AT283" s="86">
        <f>IF(A283&lt;&gt;"",SUM(W283:X283,$AT$8)/$AT$2*100,"")</f>
        <v>70.21934637826368</v>
      </c>
      <c r="AU283" s="24">
        <f>AA283</f>
        <v>81.909673189131837</v>
      </c>
      <c r="AV283" s="24"/>
      <c r="AW283" s="27">
        <f>IF(A283&lt;&gt;"",AE283-AA283,"")</f>
        <v>-11.690326810868157</v>
      </c>
      <c r="AY283" s="27">
        <f>AR283-AP283</f>
        <v>-0.47218866034066309</v>
      </c>
      <c r="AZ283" s="27">
        <f>ABS(AY283)</f>
        <v>0.47218866034066309</v>
      </c>
    </row>
    <row r="284" spans="1:52" s="27" customFormat="1" ht="12.75" customHeight="1" x14ac:dyDescent="0.2">
      <c r="A284" s="10">
        <v>756672</v>
      </c>
      <c r="B284" s="2">
        <v>25</v>
      </c>
      <c r="C284" s="10">
        <v>25</v>
      </c>
      <c r="D284" s="10">
        <v>24</v>
      </c>
      <c r="E284" s="10">
        <v>21</v>
      </c>
      <c r="F284" s="10">
        <v>19</v>
      </c>
      <c r="G284" s="10">
        <v>25</v>
      </c>
      <c r="H284" s="10">
        <v>14</v>
      </c>
      <c r="I284" s="10">
        <v>25</v>
      </c>
      <c r="J284" s="2"/>
      <c r="K284" s="10">
        <v>60</v>
      </c>
      <c r="L284" s="10">
        <v>61</v>
      </c>
      <c r="M284" s="10">
        <v>58</v>
      </c>
      <c r="N284" s="51">
        <v>47</v>
      </c>
      <c r="O284" s="11">
        <v>45</v>
      </c>
      <c r="P284" s="10"/>
      <c r="Q284" s="40"/>
      <c r="R284" s="2">
        <v>116</v>
      </c>
      <c r="S284" s="10">
        <f>IF(T284="",R284,MAX((R284+$R$8)/$R$2,(T284+$T$8)/$T$2)*$R$2-$R$8)</f>
        <v>116</v>
      </c>
      <c r="T284" s="12">
        <v>108</v>
      </c>
      <c r="U284" s="68">
        <f>IF(A284&lt;&gt;"",SUM(B284:I284),"")</f>
        <v>178</v>
      </c>
      <c r="V284" s="10">
        <f>IF(A284&lt;&gt;"",SUM(J284:O284),"")</f>
        <v>271</v>
      </c>
      <c r="W284" s="10">
        <f>IF(A284&lt;&gt;"",SUM(P284:Q284),"")</f>
        <v>0</v>
      </c>
      <c r="X284" s="10">
        <f>IF(A284&lt;&gt;"",SUM(S284:T284),"")</f>
        <v>224</v>
      </c>
      <c r="Y284" s="12">
        <v>3</v>
      </c>
      <c r="Z284" s="12">
        <f>IF(A284&lt;&gt;"",SUM(U284:Y284),"")</f>
        <v>676</v>
      </c>
      <c r="AA284" s="27">
        <f>IF(A284&lt;&gt;"",(Z284+Normalize_To_Add)/(Point_Total_So_Far)*100,"")</f>
        <v>75.10967318913184</v>
      </c>
      <c r="AB284" s="10">
        <f>IF(A284&lt;&gt;"",RANK(AA284,All_Student_XC),"")</f>
        <v>275</v>
      </c>
      <c r="AC284" s="31" t="str">
        <f>IF(A284&lt;&gt;"",CHOOSE(10-MIN(9,TRUNC((AA284+0.5)/10)),"A","B","C","D","F","F","F","F","F","F"),"")</f>
        <v>C</v>
      </c>
      <c r="AD284" s="31" t="str">
        <f>IF(A284&lt;&gt;"",IF(OR(AA284+0.5&gt;=93,AA284+0.5&lt;60),"",IF(MOD(AA284+0.5,10)&gt;=7,"+",IF(MOD(AA284+0.5,10)&lt;3,"-",""))),"")</f>
        <v/>
      </c>
      <c r="AE284" s="31">
        <f>IF(A284&lt;&gt;"",SUM(W284:X284,$W$8:$X$8)/SUM($W$2:$X$2)*100,"")</f>
        <v>59.819346378263681</v>
      </c>
      <c r="AF284" s="31" t="str">
        <f>IF(A284&lt;&gt;"",CHOOSE(10-MIN(9,TRUNC((AE284+0.5)/10)),"A","B","C","D","F","F","F","F","F","F"),"")</f>
        <v>D</v>
      </c>
      <c r="AG284" s="31" t="str">
        <f>IF(A284&lt;&gt;"",IF(OR(AE284+0.5&gt;=93,AE284+0.5&lt;60),"",IF(MOD(AE284+0.5,10)&gt;=7,"+",IF(MOD(AE284+0.5,10)&lt;3,"-",""))),"")</f>
        <v>-</v>
      </c>
      <c r="AH284" s="35">
        <f>IF(A284&lt;&gt;"",MIN(MAX(AA284,AE284),AA284+$AH$8,AE284+$AH$8),"")</f>
        <v>75.10967318913184</v>
      </c>
      <c r="AI284" s="31" t="str">
        <f>IF(A284&lt;&gt;"",CHOOSE(10-MIN(9,TRUNC((AH284+0.5)/10)),"A","B","C","D","F","F","F","F","F","F"),"")</f>
        <v>C</v>
      </c>
      <c r="AJ284" s="31" t="str">
        <f>IF(A284&lt;&gt;"",IF(OR(AH284+0.5&gt;=93,AH284+0.5&lt;60),"",IF(MOD(AH284+0.5,10)&gt;=7,"+",IF(MOD(AH284+0.5,10)&lt;3,"-",""))),"")</f>
        <v/>
      </c>
      <c r="AK284" s="31" t="b">
        <f>IF(A284&lt;&gt;"",OR(AI284&lt;&gt;AC284,AJ284&lt;&gt;AD284),"")</f>
        <v>0</v>
      </c>
      <c r="AL284" s="81">
        <f>IF(AND(A284&lt;&gt;"",U284&gt;0),SUM(U284,$AL$8)/$AL$2*100,"")</f>
        <v>89</v>
      </c>
      <c r="AM284" s="24">
        <f>IF(AND(A284&lt;&gt;"",V284&gt;0),SUM(V284,$AM$8)/$AM$2*100,"")</f>
        <v>90.333333333333329</v>
      </c>
      <c r="AN284" s="24" t="str">
        <f>IF(AND(A284&lt;&gt;"",P284&lt;&gt;0),SUM(P284,$AN$8)/$AN$2*100,"")</f>
        <v/>
      </c>
      <c r="AO284" s="24" t="str">
        <f>IF(AND(A284&lt;&gt;"",Q284&lt;&gt;0),SUM(Q284,$AO$8)/$AO$2*100,"")</f>
        <v/>
      </c>
      <c r="AP284" s="24">
        <f>IF(AND(A284&lt;&gt;"",R284&lt;&gt;0),SUM(R284,$AP$8)/$AP$2*100,"")</f>
        <v>72.502659574468083</v>
      </c>
      <c r="AQ284" s="24" t="str">
        <f>IF(AND(A284&lt;&gt;"",W284&gt;0),SUM(W284,$AQ$8)/$AQ$2*100,"")</f>
        <v/>
      </c>
      <c r="AR284" s="24">
        <f>IF(AND(A284&lt;&gt;"",T284&gt;0),SUM(T284,$AR$8)/$AR$2*100,"")</f>
        <v>51.363804247460756</v>
      </c>
      <c r="AS284" s="24">
        <f>IF(AND(A284&lt;&gt;"",X284&lt;&gt;0),SUM(X284,$AS$8)/$AS$2*100,"")</f>
        <v>59.819346378263681</v>
      </c>
      <c r="AT284" s="86">
        <f>IF(A284&lt;&gt;"",SUM(W284:X284,$AT$8)/$AT$2*100,"")</f>
        <v>59.819346378263681</v>
      </c>
      <c r="AU284" s="24">
        <f>AA284</f>
        <v>75.10967318913184</v>
      </c>
      <c r="AV284" s="24"/>
      <c r="AW284" s="27">
        <f>IF(A284&lt;&gt;"",AE284-AA284,"")</f>
        <v>-15.290326810868159</v>
      </c>
      <c r="AY284" s="27">
        <f>AR284-AP284</f>
        <v>-21.138855327007327</v>
      </c>
      <c r="AZ284" s="27">
        <f>ABS(AY284)</f>
        <v>21.138855327007327</v>
      </c>
    </row>
    <row r="285" spans="1:52" s="27" customFormat="1" ht="12.75" customHeight="1" x14ac:dyDescent="0.2">
      <c r="A285" s="10">
        <v>758070</v>
      </c>
      <c r="B285" s="2">
        <v>22</v>
      </c>
      <c r="C285" s="10">
        <v>25</v>
      </c>
      <c r="D285" s="10">
        <v>20</v>
      </c>
      <c r="E285" s="10" t="s">
        <v>69</v>
      </c>
      <c r="F285" s="10" t="s">
        <v>69</v>
      </c>
      <c r="G285" s="10" t="s">
        <v>69</v>
      </c>
      <c r="H285" s="10" t="s">
        <v>69</v>
      </c>
      <c r="I285" s="10" t="s">
        <v>69</v>
      </c>
      <c r="J285" s="2"/>
      <c r="K285" s="10">
        <v>55</v>
      </c>
      <c r="L285" s="10">
        <v>23</v>
      </c>
      <c r="M285" s="10" t="s">
        <v>69</v>
      </c>
      <c r="N285" s="51" t="s">
        <v>69</v>
      </c>
      <c r="O285" s="11" t="s">
        <v>69</v>
      </c>
      <c r="P285" s="10"/>
      <c r="Q285" s="40"/>
      <c r="R285" s="2">
        <v>82</v>
      </c>
      <c r="S285" s="10">
        <f>IF(T285="",R285,MAX((R285+$R$8)/$R$2,(T285+$T$8)/$T$2)*$R$2-$R$8)</f>
        <v>82</v>
      </c>
      <c r="T285" s="12" t="s">
        <v>69</v>
      </c>
      <c r="U285" s="1">
        <f>IF(A285&lt;&gt;"",SUM(B285:I285),"")</f>
        <v>67</v>
      </c>
      <c r="V285" s="10">
        <f>IF(A285&lt;&gt;"",SUM(J285:O285),"")</f>
        <v>78</v>
      </c>
      <c r="W285" s="10">
        <f>IF(A285&lt;&gt;"",SUM(P285:Q285),"")</f>
        <v>0</v>
      </c>
      <c r="X285" s="10">
        <f>IF(A285&lt;&gt;"",SUM(S285:T285),"")</f>
        <v>82</v>
      </c>
      <c r="Y285" s="12" t="s">
        <v>69</v>
      </c>
      <c r="Z285" s="12">
        <f>IF(A285&lt;&gt;"",SUM(U285:Y285),"")</f>
        <v>227</v>
      </c>
      <c r="AA285" s="27">
        <f>IF(A285&lt;&gt;"",(Z285+Normalize_To_Add)/(Point_Total_So_Far)*100,"")</f>
        <v>30.209673189131841</v>
      </c>
      <c r="AB285" s="10">
        <f>IF(A285&lt;&gt;"",RANK(AA285,All_Student_XC),"")</f>
        <v>371</v>
      </c>
      <c r="AC285" s="31" t="str">
        <f>IF(A285&lt;&gt;"",CHOOSE(10-MIN(9,TRUNC((AA285+0.5)/10)),"A","B","C","D","F","F","F","F","F","F"),"")</f>
        <v>F</v>
      </c>
      <c r="AD285" s="31" t="str">
        <f>IF(A285&lt;&gt;"",IF(OR(AA285+0.5&gt;=93,AA285+0.5&lt;60),"",IF(MOD(AA285+0.5,10)&gt;=7,"+",IF(MOD(AA285+0.5,10)&lt;3,"-",""))),"")</f>
        <v/>
      </c>
      <c r="AE285" s="31">
        <f>IF(A285&lt;&gt;"",SUM(W285:X285,$W$8:$X$8)/SUM($W$2:$X$2)*100,"")</f>
        <v>31.419346378263686</v>
      </c>
      <c r="AF285" s="31" t="str">
        <f>IF(A285&lt;&gt;"",CHOOSE(10-MIN(9,TRUNC((AE285+0.5)/10)),"A","B","C","D","F","F","F","F","F","F"),"")</f>
        <v>F</v>
      </c>
      <c r="AG285" s="31" t="str">
        <f>IF(A285&lt;&gt;"",IF(OR(AE285+0.5&gt;=93,AE285+0.5&lt;60),"",IF(MOD(AE285+0.5,10)&gt;=7,"+",IF(MOD(AE285+0.5,10)&lt;3,"-",""))),"")</f>
        <v/>
      </c>
      <c r="AH285" s="35">
        <f>IF(A285&lt;&gt;"",MIN(MAX(AA285,AE285),AA285+$AH$8,AE285+$AH$8),"")</f>
        <v>31.419346378263686</v>
      </c>
      <c r="AI285" s="31" t="str">
        <f>IF(A285&lt;&gt;"",CHOOSE(10-MIN(9,TRUNC((AH285+0.5)/10)),"A","B","C","D","F","F","F","F","F","F"),"")</f>
        <v>F</v>
      </c>
      <c r="AJ285" s="31" t="str">
        <f>IF(A285&lt;&gt;"",IF(OR(AH285+0.5&gt;=93,AH285+0.5&lt;60),"",IF(MOD(AH285+0.5,10)&gt;=7,"+",IF(MOD(AH285+0.5,10)&lt;3,"-",""))),"")</f>
        <v/>
      </c>
      <c r="AK285" s="31" t="b">
        <f>IF(A285&lt;&gt;"",OR(AI285&lt;&gt;AC285,AJ285&lt;&gt;AD285),"")</f>
        <v>0</v>
      </c>
      <c r="AL285" s="81">
        <f>IF(AND(A285&lt;&gt;"",U285&gt;0),SUM(U285,$AL$8)/$AL$2*100,"")</f>
        <v>33.5</v>
      </c>
      <c r="AM285" s="24">
        <f>IF(AND(A285&lt;&gt;"",V285&gt;0),SUM(V285,$AM$8)/$AM$2*100,"")</f>
        <v>26</v>
      </c>
      <c r="AN285" s="24" t="str">
        <f>IF(AND(A285&lt;&gt;"",P285&lt;&gt;0),SUM(P285,$AN$8)/$AN$2*100,"")</f>
        <v/>
      </c>
      <c r="AO285" s="24" t="str">
        <f>IF(AND(A285&lt;&gt;"",Q285&lt;&gt;0),SUM(Q285,$AO$8)/$AO$2*100,"")</f>
        <v/>
      </c>
      <c r="AP285" s="24">
        <f>IF(AND(A285&lt;&gt;"",R285&lt;&gt;0),SUM(R285,$AP$8)/$AP$2*100,"")</f>
        <v>55.502659574468083</v>
      </c>
      <c r="AQ285" s="24" t="str">
        <f>IF(AND(A285&lt;&gt;"",W285&gt;0),SUM(W285,$AQ$8)/$AQ$2*100,"")</f>
        <v/>
      </c>
      <c r="AR285" s="24">
        <f>IF(AND(A285&lt;&gt;"",T285&gt;0),SUM(T285,$AR$8)/$AR$2*100,"")</f>
        <v>15.363804247460756</v>
      </c>
      <c r="AS285" s="24">
        <f>IF(AND(A285&lt;&gt;"",X285&lt;&gt;0),SUM(X285,$AS$8)/$AS$2*100,"")</f>
        <v>31.419346378263686</v>
      </c>
      <c r="AT285" s="86">
        <f>IF(A285&lt;&gt;"",SUM(W285:X285,$AT$8)/$AT$2*100,"")</f>
        <v>31.419346378263686</v>
      </c>
      <c r="AU285" s="24">
        <f>AA285</f>
        <v>30.209673189131841</v>
      </c>
      <c r="AV285" s="24"/>
      <c r="AW285" s="27">
        <f>IF(A285&lt;&gt;"",AE285-AA285,"")</f>
        <v>1.2096731891318449</v>
      </c>
      <c r="AY285" s="27">
        <f>AR285-AP285</f>
        <v>-40.138855327007327</v>
      </c>
      <c r="AZ285" s="27">
        <f>ABS(AY285)</f>
        <v>40.138855327007327</v>
      </c>
    </row>
    <row r="286" spans="1:52" s="27" customFormat="1" ht="12.75" customHeight="1" x14ac:dyDescent="0.2">
      <c r="A286" s="10">
        <v>758260</v>
      </c>
      <c r="B286" s="2">
        <v>25</v>
      </c>
      <c r="C286" s="10">
        <v>25</v>
      </c>
      <c r="D286" s="10">
        <v>23</v>
      </c>
      <c r="E286" s="10">
        <v>22</v>
      </c>
      <c r="F286" s="10">
        <v>22</v>
      </c>
      <c r="G286" s="10">
        <v>25</v>
      </c>
      <c r="H286" s="10">
        <v>12</v>
      </c>
      <c r="I286" s="10">
        <v>21</v>
      </c>
      <c r="J286" s="2"/>
      <c r="K286" s="10">
        <v>57</v>
      </c>
      <c r="L286" s="10">
        <v>42</v>
      </c>
      <c r="M286" s="10">
        <v>30</v>
      </c>
      <c r="N286" s="51">
        <v>55</v>
      </c>
      <c r="O286" s="11">
        <v>45</v>
      </c>
      <c r="P286" s="10"/>
      <c r="Q286" s="40"/>
      <c r="R286" s="2">
        <v>79</v>
      </c>
      <c r="S286" s="10">
        <f>IF(T286="",R286,MAX((R286+$R$8)/$R$2,(T286+$T$8)/$T$2)*$R$2-$R$8)</f>
        <v>87.055622679318674</v>
      </c>
      <c r="T286" s="12">
        <v>128</v>
      </c>
      <c r="U286" s="68">
        <f>IF(A286&lt;&gt;"",SUM(B286:I286),"")</f>
        <v>175</v>
      </c>
      <c r="V286" s="10">
        <f>IF(A286&lt;&gt;"",SUM(J286:O286),"")</f>
        <v>229</v>
      </c>
      <c r="W286" s="10">
        <f>IF(A286&lt;&gt;"",SUM(P286:Q286),"")</f>
        <v>0</v>
      </c>
      <c r="X286" s="10">
        <f>IF(A286&lt;&gt;"",SUM(S286:T286),"")</f>
        <v>215.05562267931867</v>
      </c>
      <c r="Y286" s="12">
        <v>3</v>
      </c>
      <c r="Z286" s="12">
        <f>IF(A286&lt;&gt;"",SUM(U286:Y286),"")</f>
        <v>622.05562267931873</v>
      </c>
      <c r="AA286" s="27">
        <f>IF(A286&lt;&gt;"",(Z286+Normalize_To_Add)/(Point_Total_So_Far)*100,"")</f>
        <v>69.715235457063713</v>
      </c>
      <c r="AB286" s="10">
        <f>IF(A286&lt;&gt;"",RANK(AA286,All_Student_XC),"")</f>
        <v>314</v>
      </c>
      <c r="AC286" s="31" t="str">
        <f>IF(A286&lt;&gt;"",CHOOSE(10-MIN(9,TRUNC((AA286+0.5)/10)),"A","B","C","D","F","F","F","F","F","F"),"")</f>
        <v>C</v>
      </c>
      <c r="AD286" s="31" t="str">
        <f>IF(A286&lt;&gt;"",IF(OR(AA286+0.5&gt;=93,AA286+0.5&lt;60),"",IF(MOD(AA286+0.5,10)&gt;=7,"+",IF(MOD(AA286+0.5,10)&lt;3,"-",""))),"")</f>
        <v>-</v>
      </c>
      <c r="AE286" s="31">
        <f>IF(A286&lt;&gt;"",SUM(W286:X286,$W$8:$X$8)/SUM($W$2:$X$2)*100,"")</f>
        <v>58.03047091412742</v>
      </c>
      <c r="AF286" s="31" t="str">
        <f>IF(A286&lt;&gt;"",CHOOSE(10-MIN(9,TRUNC((AE286+0.5)/10)),"A","B","C","D","F","F","F","F","F","F"),"")</f>
        <v>F</v>
      </c>
      <c r="AG286" s="31" t="str">
        <f>IF(A286&lt;&gt;"",IF(OR(AE286+0.5&gt;=93,AE286+0.5&lt;60),"",IF(MOD(AE286+0.5,10)&gt;=7,"+",IF(MOD(AE286+0.5,10)&lt;3,"-",""))),"")</f>
        <v/>
      </c>
      <c r="AH286" s="35">
        <f>IF(A286&lt;&gt;"",MIN(MAX(AA286,AE286),AA286+$AH$8,AE286+$AH$8),"")</f>
        <v>69.715235457063713</v>
      </c>
      <c r="AI286" s="31" t="str">
        <f>IF(A286&lt;&gt;"",CHOOSE(10-MIN(9,TRUNC((AH286+0.5)/10)),"A","B","C","D","F","F","F","F","F","F"),"")</f>
        <v>C</v>
      </c>
      <c r="AJ286" s="31" t="str">
        <f>IF(A286&lt;&gt;"",IF(OR(AH286+0.5&gt;=93,AH286+0.5&lt;60),"",IF(MOD(AH286+0.5,10)&gt;=7,"+",IF(MOD(AH286+0.5,10)&lt;3,"-",""))),"")</f>
        <v>-</v>
      </c>
      <c r="AK286" s="31" t="b">
        <f>IF(A286&lt;&gt;"",OR(AI286&lt;&gt;AC286,AJ286&lt;&gt;AD286),"")</f>
        <v>0</v>
      </c>
      <c r="AL286" s="81">
        <f>IF(AND(A286&lt;&gt;"",U286&gt;0),SUM(U286,$AL$8)/$AL$2*100,"")</f>
        <v>87.5</v>
      </c>
      <c r="AM286" s="24">
        <f>IF(AND(A286&lt;&gt;"",V286&gt;0),SUM(V286,$AM$8)/$AM$2*100,"")</f>
        <v>76.333333333333329</v>
      </c>
      <c r="AN286" s="24" t="str">
        <f>IF(AND(A286&lt;&gt;"",P286&lt;&gt;0),SUM(P286,$AN$8)/$AN$2*100,"")</f>
        <v/>
      </c>
      <c r="AO286" s="24" t="str">
        <f>IF(AND(A286&lt;&gt;"",Q286&lt;&gt;0),SUM(Q286,$AO$8)/$AO$2*100,"")</f>
        <v/>
      </c>
      <c r="AP286" s="24">
        <f>IF(AND(A286&lt;&gt;"",R286&lt;&gt;0),SUM(R286,$AP$8)/$AP$2*100,"")</f>
        <v>54.002659574468083</v>
      </c>
      <c r="AQ286" s="24" t="str">
        <f>IF(AND(A286&lt;&gt;"",W286&gt;0),SUM(W286,$AQ$8)/$AQ$2*100,"")</f>
        <v/>
      </c>
      <c r="AR286" s="24">
        <f>IF(AND(A286&lt;&gt;"",T286&gt;0),SUM(T286,$AR$8)/$AR$2*100,"")</f>
        <v>58.03047091412742</v>
      </c>
      <c r="AS286" s="24">
        <f>IF(AND(A286&lt;&gt;"",X286&lt;&gt;0),SUM(X286,$AS$8)/$AS$2*100,"")</f>
        <v>58.03047091412742</v>
      </c>
      <c r="AT286" s="86">
        <f>IF(A286&lt;&gt;"",SUM(W286:X286,$AT$8)/$AT$2*100,"")</f>
        <v>58.03047091412742</v>
      </c>
      <c r="AU286" s="24">
        <f>AA286</f>
        <v>69.715235457063713</v>
      </c>
      <c r="AV286" s="24"/>
      <c r="AW286" s="27">
        <f>IF(A286&lt;&gt;"",AE286-AA286,"")</f>
        <v>-11.684764542936293</v>
      </c>
      <c r="AY286" s="27">
        <f>AR286-AP286</f>
        <v>4.0278113396593369</v>
      </c>
      <c r="AZ286" s="27">
        <f>ABS(AY286)</f>
        <v>4.0278113396593369</v>
      </c>
    </row>
    <row r="287" spans="1:52" s="27" customFormat="1" ht="12.75" customHeight="1" x14ac:dyDescent="0.2">
      <c r="A287" s="50">
        <v>760680</v>
      </c>
      <c r="B287" s="2">
        <v>25</v>
      </c>
      <c r="C287" s="10">
        <v>25</v>
      </c>
      <c r="D287" s="10">
        <v>26</v>
      </c>
      <c r="E287" s="10">
        <v>23</v>
      </c>
      <c r="F287" s="10">
        <v>23</v>
      </c>
      <c r="G287" s="10">
        <v>16</v>
      </c>
      <c r="H287" s="10">
        <v>25</v>
      </c>
      <c r="I287" s="10">
        <v>25</v>
      </c>
      <c r="J287" s="2"/>
      <c r="K287" s="10">
        <v>62</v>
      </c>
      <c r="L287" s="10">
        <v>60</v>
      </c>
      <c r="M287" s="10">
        <v>58</v>
      </c>
      <c r="N287" s="51">
        <v>60</v>
      </c>
      <c r="O287" s="11">
        <v>62</v>
      </c>
      <c r="P287" s="10"/>
      <c r="Q287" s="40"/>
      <c r="R287" s="2">
        <v>94</v>
      </c>
      <c r="S287" s="10">
        <f>IF(T287="",R287,MAX((R287+$R$8)/$R$2,(T287+$T$8)/$T$2)*$R$2-$R$8)</f>
        <v>129.05562267931867</v>
      </c>
      <c r="T287" s="12">
        <v>191</v>
      </c>
      <c r="U287" s="1">
        <f>IF(A287&lt;&gt;"",SUM(B287:I287),"")</f>
        <v>188</v>
      </c>
      <c r="V287" s="10">
        <f>IF(A287&lt;&gt;"",SUM(J287:O287),"")</f>
        <v>302</v>
      </c>
      <c r="W287" s="10">
        <f>IF(A287&lt;&gt;"",SUM(P287:Q287),"")</f>
        <v>0</v>
      </c>
      <c r="X287" s="10">
        <f>IF(A287&lt;&gt;"",SUM(S287:T287),"")</f>
        <v>320.05562267931867</v>
      </c>
      <c r="Y287" s="12">
        <v>3</v>
      </c>
      <c r="Z287" s="12">
        <f>IF(A287&lt;&gt;"",SUM(U287:Y287),"")</f>
        <v>813.05562267931873</v>
      </c>
      <c r="AA287" s="27">
        <f>IF(A287&lt;&gt;"",(Z287+Normalize_To_Add)/(Point_Total_So_Far)*100,"")</f>
        <v>88.815235457063707</v>
      </c>
      <c r="AB287" s="10">
        <f>IF(A287&lt;&gt;"",RANK(AA287,All_Student_XC),"")</f>
        <v>100</v>
      </c>
      <c r="AC287" s="31" t="str">
        <f>IF(A287&lt;&gt;"",CHOOSE(10-MIN(9,TRUNC((AA287+0.5)/10)),"A","B","C","D","F","F","F","F","F","F"),"")</f>
        <v>B</v>
      </c>
      <c r="AD287" s="31" t="str">
        <f>IF(A287&lt;&gt;"",IF(OR(AA287+0.5&gt;=93,AA287+0.5&lt;60),"",IF(MOD(AA287+0.5,10)&gt;=7,"+",IF(MOD(AA287+0.5,10)&lt;3,"-",""))),"")</f>
        <v>+</v>
      </c>
      <c r="AE287" s="31">
        <f>IF(A287&lt;&gt;"",SUM(W287:X287,$W$8:$X$8)/SUM($W$2:$X$2)*100,"")</f>
        <v>79.03047091412742</v>
      </c>
      <c r="AF287" s="31" t="str">
        <f>IF(A287&lt;&gt;"",CHOOSE(10-MIN(9,TRUNC((AE287+0.5)/10)),"A","B","C","D","F","F","F","F","F","F"),"")</f>
        <v>C</v>
      </c>
      <c r="AG287" s="31" t="str">
        <f>IF(A287&lt;&gt;"",IF(OR(AE287+0.5&gt;=93,AE287+0.5&lt;60),"",IF(MOD(AE287+0.5,10)&gt;=7,"+",IF(MOD(AE287+0.5,10)&lt;3,"-",""))),"")</f>
        <v>+</v>
      </c>
      <c r="AH287" s="35">
        <f>IF(A287&lt;&gt;"",MIN(MAX(AA287,AE287),AA287+$AH$8,AE287+$AH$8),"")</f>
        <v>88.815235457063707</v>
      </c>
      <c r="AI287" s="31" t="str">
        <f>IF(A287&lt;&gt;"",CHOOSE(10-MIN(9,TRUNC((AH287+0.5)/10)),"A","B","C","D","F","F","F","F","F","F"),"")</f>
        <v>B</v>
      </c>
      <c r="AJ287" s="31" t="str">
        <f>IF(A287&lt;&gt;"",IF(OR(AH287+0.5&gt;=93,AH287+0.5&lt;60),"",IF(MOD(AH287+0.5,10)&gt;=7,"+",IF(MOD(AH287+0.5,10)&lt;3,"-",""))),"")</f>
        <v>+</v>
      </c>
      <c r="AK287" s="31" t="b">
        <f>IF(A287&lt;&gt;"",OR(AI287&lt;&gt;AC287,AJ287&lt;&gt;AD287),"")</f>
        <v>0</v>
      </c>
      <c r="AL287" s="81">
        <f>IF(AND(A287&lt;&gt;"",U287&gt;0),SUM(U287,$AL$8)/$AL$2*100,"")</f>
        <v>94</v>
      </c>
      <c r="AM287" s="24">
        <f>IF(AND(A287&lt;&gt;"",V287&gt;0),SUM(V287,$AM$8)/$AM$2*100,"")</f>
        <v>100.66666666666666</v>
      </c>
      <c r="AN287" s="24" t="str">
        <f>IF(AND(A287&lt;&gt;"",P287&lt;&gt;0),SUM(P287,$AN$8)/$AN$2*100,"")</f>
        <v/>
      </c>
      <c r="AO287" s="24" t="str">
        <f>IF(AND(A287&lt;&gt;"",Q287&lt;&gt;0),SUM(Q287,$AO$8)/$AO$2*100,"")</f>
        <v/>
      </c>
      <c r="AP287" s="24">
        <f>IF(AND(A287&lt;&gt;"",R287&lt;&gt;0),SUM(R287,$AP$8)/$AP$2*100,"")</f>
        <v>61.50265957446809</v>
      </c>
      <c r="AQ287" s="24" t="str">
        <f>IF(AND(A287&lt;&gt;"",W287&gt;0),SUM(W287,$AQ$8)/$AQ$2*100,"")</f>
        <v/>
      </c>
      <c r="AR287" s="24">
        <f>IF(AND(A287&lt;&gt;"",T287&gt;0),SUM(T287,$AR$8)/$AR$2*100,"")</f>
        <v>79.03047091412742</v>
      </c>
      <c r="AS287" s="24">
        <f>IF(AND(A287&lt;&gt;"",X287&lt;&gt;0),SUM(X287,$AS$8)/$AS$2*100,"")</f>
        <v>79.03047091412742</v>
      </c>
      <c r="AT287" s="86">
        <f>IF(A287&lt;&gt;"",SUM(W287:X287,$AT$8)/$AT$2*100,"")</f>
        <v>79.03047091412742</v>
      </c>
      <c r="AU287" s="24">
        <f>AA287</f>
        <v>88.815235457063707</v>
      </c>
      <c r="AV287" s="24"/>
      <c r="AW287" s="27">
        <f>IF(A287&lt;&gt;"",AE287-AA287,"")</f>
        <v>-9.7847645429362871</v>
      </c>
      <c r="AY287" s="27">
        <f>AR287-AP287</f>
        <v>17.52781133965933</v>
      </c>
      <c r="AZ287" s="27">
        <f>ABS(AY287)</f>
        <v>17.52781133965933</v>
      </c>
    </row>
    <row r="288" spans="1:52" s="27" customFormat="1" ht="12.75" customHeight="1" x14ac:dyDescent="0.2">
      <c r="A288" s="10">
        <v>766628</v>
      </c>
      <c r="B288" s="2">
        <v>14</v>
      </c>
      <c r="C288" s="10">
        <v>23</v>
      </c>
      <c r="D288" s="10">
        <v>21</v>
      </c>
      <c r="E288" s="10">
        <v>23</v>
      </c>
      <c r="F288" s="10">
        <v>20</v>
      </c>
      <c r="G288" s="10">
        <v>25</v>
      </c>
      <c r="H288" s="10">
        <v>22</v>
      </c>
      <c r="I288" s="10">
        <v>25</v>
      </c>
      <c r="J288" s="2"/>
      <c r="K288" s="10">
        <v>47</v>
      </c>
      <c r="L288" s="10">
        <v>24</v>
      </c>
      <c r="M288" s="10">
        <v>53</v>
      </c>
      <c r="N288" s="51">
        <v>61</v>
      </c>
      <c r="O288" s="11">
        <v>60</v>
      </c>
      <c r="P288" s="10"/>
      <c r="Q288" s="40"/>
      <c r="R288" s="2">
        <v>82</v>
      </c>
      <c r="S288" s="10">
        <f>IF(T288="",R288,MAX((R288+$R$8)/$R$2,(T288+$T$8)/$T$2)*$R$2-$R$8)</f>
        <v>96.388956012652002</v>
      </c>
      <c r="T288" s="12">
        <v>142</v>
      </c>
      <c r="U288" s="1">
        <f>IF(A288&lt;&gt;"",SUM(B288:I288),"")</f>
        <v>173</v>
      </c>
      <c r="V288" s="10">
        <f>IF(A288&lt;&gt;"",SUM(J288:O288),"")</f>
        <v>245</v>
      </c>
      <c r="W288" s="10">
        <f>IF(A288&lt;&gt;"",SUM(P288:Q288),"")</f>
        <v>0</v>
      </c>
      <c r="X288" s="10">
        <f>IF(A288&lt;&gt;"",SUM(S288:T288),"")</f>
        <v>238.38895601265199</v>
      </c>
      <c r="Y288" s="12">
        <v>3</v>
      </c>
      <c r="Z288" s="12">
        <f>IF(A288&lt;&gt;"",SUM(U288:Y288),"")</f>
        <v>659.38895601265199</v>
      </c>
      <c r="AA288" s="27">
        <f>IF(A288&lt;&gt;"",(Z288+Normalize_To_Add)/(Point_Total_So_Far)*100,"")</f>
        <v>73.448568790397033</v>
      </c>
      <c r="AB288" s="10">
        <f>IF(A288&lt;&gt;"",RANK(AA288,All_Student_XC),"")</f>
        <v>285</v>
      </c>
      <c r="AC288" s="31" t="str">
        <f>IF(A288&lt;&gt;"",CHOOSE(10-MIN(9,TRUNC((AA288+0.5)/10)),"A","B","C","D","F","F","F","F","F","F"),"")</f>
        <v>C</v>
      </c>
      <c r="AD288" s="31" t="str">
        <f>IF(A288&lt;&gt;"",IF(OR(AA288+0.5&gt;=93,AA288+0.5&lt;60),"",IF(MOD(AA288+0.5,10)&gt;=7,"+",IF(MOD(AA288+0.5,10)&lt;3,"-",""))),"")</f>
        <v/>
      </c>
      <c r="AE288" s="31">
        <f>IF(A288&lt;&gt;"",SUM(W288:X288,$W$8:$X$8)/SUM($W$2:$X$2)*100,"")</f>
        <v>62.697137580794084</v>
      </c>
      <c r="AF288" s="43" t="str">
        <f>IF(A288&lt;&gt;"",CHOOSE(10-MIN(9,TRUNC((AE288+0.5)/10)),"A","B","C","D","F","F","F","F","F","F"),"")</f>
        <v>D</v>
      </c>
      <c r="AG288" s="43" t="str">
        <f>IF(A288&lt;&gt;"",IF(OR(AE288+0.5&gt;=93,AE288+0.5&lt;60),"",IF(MOD(AE288+0.5,10)&gt;=7,"+",IF(MOD(AE288+0.5,10)&lt;3,"-",""))),"")</f>
        <v/>
      </c>
      <c r="AH288" s="35">
        <f>IF(A288&lt;&gt;"",MIN(MAX(AA288,AE288),AA288+$AH$8,AE288+$AH$8),"")</f>
        <v>73.448568790397033</v>
      </c>
      <c r="AI288" s="31" t="str">
        <f>IF(A288&lt;&gt;"",CHOOSE(10-MIN(9,TRUNC((AH288+0.5)/10)),"A","B","C","D","F","F","F","F","F","F"),"")</f>
        <v>C</v>
      </c>
      <c r="AJ288" s="31" t="str">
        <f>IF(A288&lt;&gt;"",IF(OR(AH288+0.5&gt;=93,AH288+0.5&lt;60),"",IF(MOD(AH288+0.5,10)&gt;=7,"+",IF(MOD(AH288+0.5,10)&lt;3,"-",""))),"")</f>
        <v/>
      </c>
      <c r="AK288" s="31" t="b">
        <f>IF(A288&lt;&gt;"",OR(AI288&lt;&gt;AC288,AJ288&lt;&gt;AD288),"")</f>
        <v>0</v>
      </c>
      <c r="AL288" s="81">
        <f>IF(AND(A288&lt;&gt;"",U288&gt;0),SUM(U288,$AL$8)/$AL$2*100,"")</f>
        <v>86.5</v>
      </c>
      <c r="AM288" s="24">
        <f>IF(AND(A288&lt;&gt;"",V288&gt;0),SUM(V288,$AM$8)/$AM$2*100,"")</f>
        <v>81.666666666666671</v>
      </c>
      <c r="AN288" s="24" t="str">
        <f>IF(AND(A288&lt;&gt;"",P288&lt;&gt;0),SUM(P288,$AN$8)/$AN$2*100,"")</f>
        <v/>
      </c>
      <c r="AO288" s="24" t="str">
        <f>IF(AND(A288&lt;&gt;"",Q288&lt;&gt;0),SUM(Q288,$AO$8)/$AO$2*100,"")</f>
        <v/>
      </c>
      <c r="AP288" s="24">
        <f>IF(AND(A288&lt;&gt;"",R288&lt;&gt;0),SUM(R288,$AP$8)/$AP$2*100,"")</f>
        <v>55.502659574468083</v>
      </c>
      <c r="AQ288" s="24" t="str">
        <f>IF(AND(A288&lt;&gt;"",W288&gt;0),SUM(W288,$AQ$8)/$AQ$2*100,"")</f>
        <v/>
      </c>
      <c r="AR288" s="24">
        <f>IF(AND(A288&lt;&gt;"",T288&gt;0),SUM(T288,$AR$8)/$AR$2*100,"")</f>
        <v>62.697137580794084</v>
      </c>
      <c r="AS288" s="24">
        <f>IF(AND(A288&lt;&gt;"",X288&lt;&gt;0),SUM(X288,$AS$8)/$AS$2*100,"")</f>
        <v>62.697137580794084</v>
      </c>
      <c r="AT288" s="86">
        <f>IF(A288&lt;&gt;"",SUM(W288:X288,$AT$8)/$AT$2*100,"")</f>
        <v>62.697137580794084</v>
      </c>
      <c r="AU288" s="24">
        <f>AA288</f>
        <v>73.448568790397033</v>
      </c>
      <c r="AV288" s="24"/>
      <c r="AW288" s="27">
        <f>IF(A288&lt;&gt;"",AE288-AA288,"")</f>
        <v>-10.751431209602949</v>
      </c>
      <c r="AY288" s="27">
        <f>AR288-AP288</f>
        <v>7.1944780063260012</v>
      </c>
      <c r="AZ288" s="27">
        <f>ABS(AY288)</f>
        <v>7.1944780063260012</v>
      </c>
    </row>
    <row r="289" spans="1:52" s="27" customFormat="1" ht="12.75" customHeight="1" x14ac:dyDescent="0.2">
      <c r="A289" s="10">
        <v>769458</v>
      </c>
      <c r="B289" s="2">
        <v>23</v>
      </c>
      <c r="C289" s="10">
        <v>23</v>
      </c>
      <c r="D289" s="10">
        <v>20</v>
      </c>
      <c r="E289" s="10">
        <v>24</v>
      </c>
      <c r="F289" s="10">
        <v>21</v>
      </c>
      <c r="G289" s="10">
        <v>25</v>
      </c>
      <c r="H289" s="10">
        <v>24</v>
      </c>
      <c r="I289" s="10">
        <v>23</v>
      </c>
      <c r="J289" s="2"/>
      <c r="K289" s="10">
        <v>62</v>
      </c>
      <c r="L289" s="10">
        <v>60</v>
      </c>
      <c r="M289" s="10">
        <v>59</v>
      </c>
      <c r="N289" s="51">
        <v>47</v>
      </c>
      <c r="O289" s="11">
        <v>60</v>
      </c>
      <c r="P289" s="10"/>
      <c r="Q289" s="40"/>
      <c r="R289" s="2">
        <v>94</v>
      </c>
      <c r="S289" s="10">
        <f>IF(T289="",R289,MAX((R289+$R$8)/$R$2,(T289+$T$8)/$T$2)*$R$2-$R$8)</f>
        <v>108.38895601265202</v>
      </c>
      <c r="T289" s="12">
        <v>160</v>
      </c>
      <c r="U289" s="68">
        <f>IF(A289&lt;&gt;"",SUM(B289:I289),"")</f>
        <v>183</v>
      </c>
      <c r="V289" s="10">
        <f>IF(A289&lt;&gt;"",SUM(J289:O289),"")</f>
        <v>288</v>
      </c>
      <c r="W289" s="10">
        <f>IF(A289&lt;&gt;"",SUM(P289:Q289),"")</f>
        <v>0</v>
      </c>
      <c r="X289" s="10">
        <f>IF(A289&lt;&gt;"",SUM(S289:T289),"")</f>
        <v>268.38895601265199</v>
      </c>
      <c r="Y289" s="12">
        <v>3</v>
      </c>
      <c r="Z289" s="12">
        <f>IF(A289&lt;&gt;"",SUM(U289:Y289),"")</f>
        <v>742.38895601265199</v>
      </c>
      <c r="AA289" s="27">
        <f>IF(A289&lt;&gt;"",(Z289+Normalize_To_Add)/(Point_Total_So_Far)*100,"")</f>
        <v>81.748568790397044</v>
      </c>
      <c r="AB289" s="10">
        <f>IF(A289&lt;&gt;"",RANK(AA289,All_Student_XC),"")</f>
        <v>186</v>
      </c>
      <c r="AC289" s="31" t="str">
        <f>IF(A289&lt;&gt;"",CHOOSE(10-MIN(9,TRUNC((AA289+0.5)/10)),"A","B","C","D","F","F","F","F","F","F"),"")</f>
        <v>B</v>
      </c>
      <c r="AD289" s="31" t="str">
        <f>IF(A289&lt;&gt;"",IF(OR(AA289+0.5&gt;=93,AA289+0.5&lt;60),"",IF(MOD(AA289+0.5,10)&gt;=7,"+",IF(MOD(AA289+0.5,10)&lt;3,"-",""))),"")</f>
        <v>-</v>
      </c>
      <c r="AE289" s="31">
        <f>IF(A289&lt;&gt;"",SUM(W289:X289,$W$8:$X$8)/SUM($W$2:$X$2)*100,"")</f>
        <v>68.697137580794092</v>
      </c>
      <c r="AF289" s="31" t="str">
        <f>IF(A289&lt;&gt;"",CHOOSE(10-MIN(9,TRUNC((AE289+0.5)/10)),"A","B","C","D","F","F","F","F","F","F"),"")</f>
        <v>D</v>
      </c>
      <c r="AG289" s="31" t="str">
        <f>IF(A289&lt;&gt;"",IF(OR(AE289+0.5&gt;=93,AE289+0.5&lt;60),"",IF(MOD(AE289+0.5,10)&gt;=7,"+",IF(MOD(AE289+0.5,10)&lt;3,"-",""))),"")</f>
        <v>+</v>
      </c>
      <c r="AH289" s="35">
        <f>IF(A289&lt;&gt;"",MIN(MAX(AA289,AE289),AA289+$AH$8,AE289+$AH$8),"")</f>
        <v>81.748568790397044</v>
      </c>
      <c r="AI289" s="31" t="str">
        <f>IF(A289&lt;&gt;"",CHOOSE(10-MIN(9,TRUNC((AH289+0.5)/10)),"A","B","C","D","F","F","F","F","F","F"),"")</f>
        <v>B</v>
      </c>
      <c r="AJ289" s="31" t="str">
        <f>IF(A289&lt;&gt;"",IF(OR(AH289+0.5&gt;=93,AH289+0.5&lt;60),"",IF(MOD(AH289+0.5,10)&gt;=7,"+",IF(MOD(AH289+0.5,10)&lt;3,"-",""))),"")</f>
        <v>-</v>
      </c>
      <c r="AK289" s="31" t="b">
        <f>IF(A289&lt;&gt;"",OR(AI289&lt;&gt;AC289,AJ289&lt;&gt;AD289),"")</f>
        <v>0</v>
      </c>
      <c r="AL289" s="81">
        <f>IF(AND(A289&lt;&gt;"",U289&gt;0),SUM(U289,$AL$8)/$AL$2*100,"")</f>
        <v>91.5</v>
      </c>
      <c r="AM289" s="24">
        <f>IF(AND(A289&lt;&gt;"",V289&gt;0),SUM(V289,$AM$8)/$AM$2*100,"")</f>
        <v>96</v>
      </c>
      <c r="AN289" s="24" t="str">
        <f>IF(AND(A289&lt;&gt;"",P289&lt;&gt;0),SUM(P289,$AN$8)/$AN$2*100,"")</f>
        <v/>
      </c>
      <c r="AO289" s="24" t="str">
        <f>IF(AND(A289&lt;&gt;"",Q289&lt;&gt;0),SUM(Q289,$AO$8)/$AO$2*100,"")</f>
        <v/>
      </c>
      <c r="AP289" s="24">
        <f>IF(AND(A289&lt;&gt;"",R289&lt;&gt;0),SUM(R289,$AP$8)/$AP$2*100,"")</f>
        <v>61.50265957446809</v>
      </c>
      <c r="AQ289" s="24" t="str">
        <f>IF(AND(A289&lt;&gt;"",W289&gt;0),SUM(W289,$AQ$8)/$AQ$2*100,"")</f>
        <v/>
      </c>
      <c r="AR289" s="24">
        <f>IF(AND(A289&lt;&gt;"",T289&gt;0),SUM(T289,$AR$8)/$AR$2*100,"")</f>
        <v>68.697137580794092</v>
      </c>
      <c r="AS289" s="24">
        <f>IF(AND(A289&lt;&gt;"",X289&lt;&gt;0),SUM(X289,$AS$8)/$AS$2*100,"")</f>
        <v>68.697137580794092</v>
      </c>
      <c r="AT289" s="86">
        <f>IF(A289&lt;&gt;"",SUM(W289:X289,$AT$8)/$AT$2*100,"")</f>
        <v>68.697137580794092</v>
      </c>
      <c r="AU289" s="24">
        <f>AA289</f>
        <v>81.748568790397044</v>
      </c>
      <c r="AV289" s="24"/>
      <c r="AW289" s="27">
        <f>IF(A289&lt;&gt;"",AE289-AA289,"")</f>
        <v>-13.051431209602953</v>
      </c>
      <c r="AY289" s="27">
        <f>AR289-AP289</f>
        <v>7.1944780063260012</v>
      </c>
      <c r="AZ289" s="27">
        <f>ABS(AY289)</f>
        <v>7.1944780063260012</v>
      </c>
    </row>
    <row r="290" spans="1:52" s="27" customFormat="1" ht="12.75" customHeight="1" x14ac:dyDescent="0.2">
      <c r="A290" s="10">
        <v>770660</v>
      </c>
      <c r="B290" s="2">
        <v>25</v>
      </c>
      <c r="C290" s="10">
        <v>18</v>
      </c>
      <c r="D290" s="10">
        <v>17</v>
      </c>
      <c r="E290" s="10">
        <v>22</v>
      </c>
      <c r="F290" s="10">
        <v>21</v>
      </c>
      <c r="G290" s="10">
        <v>25</v>
      </c>
      <c r="H290" s="10">
        <v>14</v>
      </c>
      <c r="I290" s="10">
        <v>21</v>
      </c>
      <c r="J290" s="2"/>
      <c r="K290" s="10">
        <v>62</v>
      </c>
      <c r="L290" s="10">
        <v>61</v>
      </c>
      <c r="M290" s="10">
        <v>60</v>
      </c>
      <c r="N290" s="51">
        <v>57</v>
      </c>
      <c r="O290" s="11">
        <v>61</v>
      </c>
      <c r="P290" s="10"/>
      <c r="Q290" s="40"/>
      <c r="R290" s="2">
        <v>140</v>
      </c>
      <c r="S290" s="10">
        <f>IF(T290="",R290,MAX((R290+$R$8)/$R$2,(T290+$T$8)/$T$2)*$R$2-$R$8)</f>
        <v>140</v>
      </c>
      <c r="T290" s="12">
        <v>135</v>
      </c>
      <c r="U290" s="1">
        <f>IF(A290&lt;&gt;"",SUM(B290:I290),"")</f>
        <v>163</v>
      </c>
      <c r="V290" s="10">
        <f>IF(A290&lt;&gt;"",SUM(J290:O290),"")</f>
        <v>301</v>
      </c>
      <c r="W290" s="10">
        <f>IF(A290&lt;&gt;"",SUM(P290:Q290),"")</f>
        <v>0</v>
      </c>
      <c r="X290" s="10">
        <f>IF(A290&lt;&gt;"",SUM(S290:T290),"")</f>
        <v>275</v>
      </c>
      <c r="Y290" s="12">
        <v>3</v>
      </c>
      <c r="Z290" s="12">
        <f>IF(A290&lt;&gt;"",SUM(U290:Y290),"")</f>
        <v>742</v>
      </c>
      <c r="AA290" s="27">
        <f>IF(A290&lt;&gt;"",(Z290+Normalize_To_Add)/(Point_Total_So_Far)*100,"")</f>
        <v>81.709673189131834</v>
      </c>
      <c r="AB290" s="10">
        <f>IF(A290&lt;&gt;"",RANK(AA290,All_Student_XC),"")</f>
        <v>187</v>
      </c>
      <c r="AC290" s="31" t="str">
        <f>IF(A290&lt;&gt;"",CHOOSE(10-MIN(9,TRUNC((AA290+0.5)/10)),"A","B","C","D","F","F","F","F","F","F"),"")</f>
        <v>B</v>
      </c>
      <c r="AD290" s="31" t="str">
        <f>IF(A290&lt;&gt;"",IF(OR(AA290+0.5&gt;=93,AA290+0.5&lt;60),"",IF(MOD(AA290+0.5,10)&gt;=7,"+",IF(MOD(AA290+0.5,10)&lt;3,"-",""))),"")</f>
        <v>-</v>
      </c>
      <c r="AE290" s="31">
        <f>IF(A290&lt;&gt;"",SUM(W290:X290,$W$8:$X$8)/SUM($W$2:$X$2)*100,"")</f>
        <v>70.019346378263677</v>
      </c>
      <c r="AF290" s="31" t="str">
        <f>IF(A290&lt;&gt;"",CHOOSE(10-MIN(9,TRUNC((AE290+0.5)/10)),"A","B","C","D","F","F","F","F","F","F"),"")</f>
        <v>C</v>
      </c>
      <c r="AG290" s="31" t="str">
        <f>IF(A290&lt;&gt;"",IF(OR(AE290+0.5&gt;=93,AE290+0.5&lt;60),"",IF(MOD(AE290+0.5,10)&gt;=7,"+",IF(MOD(AE290+0.5,10)&lt;3,"-",""))),"")</f>
        <v>-</v>
      </c>
      <c r="AH290" s="35">
        <f>IF(A290&lt;&gt;"",MIN(MAX(AA290,AE290),AA290+$AH$8,AE290+$AH$8),"")</f>
        <v>81.709673189131834</v>
      </c>
      <c r="AI290" s="31" t="str">
        <f>IF(A290&lt;&gt;"",CHOOSE(10-MIN(9,TRUNC((AH290+0.5)/10)),"A","B","C","D","F","F","F","F","F","F"),"")</f>
        <v>B</v>
      </c>
      <c r="AJ290" s="31" t="str">
        <f>IF(A290&lt;&gt;"",IF(OR(AH290+0.5&gt;=93,AH290+0.5&lt;60),"",IF(MOD(AH290+0.5,10)&gt;=7,"+",IF(MOD(AH290+0.5,10)&lt;3,"-",""))),"")</f>
        <v>-</v>
      </c>
      <c r="AK290" s="31" t="b">
        <f>IF(A290&lt;&gt;"",OR(AI290&lt;&gt;AC290,AJ290&lt;&gt;AD290),"")</f>
        <v>0</v>
      </c>
      <c r="AL290" s="81">
        <f>IF(AND(A290&lt;&gt;"",U290&gt;0),SUM(U290,$AL$8)/$AL$2*100,"")</f>
        <v>81.5</v>
      </c>
      <c r="AM290" s="24">
        <f>IF(AND(A290&lt;&gt;"",V290&gt;0),SUM(V290,$AM$8)/$AM$2*100,"")</f>
        <v>100.33333333333334</v>
      </c>
      <c r="AN290" s="24" t="str">
        <f>IF(AND(A290&lt;&gt;"",P290&lt;&gt;0),SUM(P290,$AN$8)/$AN$2*100,"")</f>
        <v/>
      </c>
      <c r="AO290" s="24" t="str">
        <f>IF(AND(A290&lt;&gt;"",Q290&lt;&gt;0),SUM(Q290,$AO$8)/$AO$2*100,"")</f>
        <v/>
      </c>
      <c r="AP290" s="24">
        <f>IF(AND(A290&lt;&gt;"",R290&lt;&gt;0),SUM(R290,$AP$8)/$AP$2*100,"")</f>
        <v>84.502659574468083</v>
      </c>
      <c r="AQ290" s="24" t="str">
        <f>IF(AND(A290&lt;&gt;"",W290&gt;0),SUM(W290,$AQ$8)/$AQ$2*100,"")</f>
        <v/>
      </c>
      <c r="AR290" s="24">
        <f>IF(AND(A290&lt;&gt;"",T290&gt;0),SUM(T290,$AR$8)/$AR$2*100,"")</f>
        <v>60.363804247460749</v>
      </c>
      <c r="AS290" s="24">
        <f>IF(AND(A290&lt;&gt;"",X290&lt;&gt;0),SUM(X290,$AS$8)/$AS$2*100,"")</f>
        <v>70.019346378263677</v>
      </c>
      <c r="AT290" s="86">
        <f>IF(A290&lt;&gt;"",SUM(W290:X290,$AT$8)/$AT$2*100,"")</f>
        <v>70.019346378263677</v>
      </c>
      <c r="AU290" s="24">
        <f>AA290</f>
        <v>81.709673189131834</v>
      </c>
      <c r="AV290" s="24"/>
      <c r="AW290" s="27">
        <f>IF(A290&lt;&gt;"",AE290-AA290,"")</f>
        <v>-11.690326810868157</v>
      </c>
      <c r="AY290" s="27">
        <f>AR290-AP290</f>
        <v>-24.138855327007334</v>
      </c>
      <c r="AZ290" s="27">
        <f>ABS(AY290)</f>
        <v>24.138855327007334</v>
      </c>
    </row>
    <row r="291" spans="1:52" s="27" customFormat="1" ht="12.75" customHeight="1" x14ac:dyDescent="0.2">
      <c r="A291" s="50">
        <v>771974</v>
      </c>
      <c r="B291" s="2" t="s">
        <v>69</v>
      </c>
      <c r="C291" s="50">
        <v>22</v>
      </c>
      <c r="D291" s="10">
        <v>19</v>
      </c>
      <c r="E291" s="10">
        <v>21</v>
      </c>
      <c r="F291" s="10">
        <v>21</v>
      </c>
      <c r="G291" s="10">
        <v>25</v>
      </c>
      <c r="H291" s="10">
        <v>12</v>
      </c>
      <c r="I291" s="10">
        <v>18</v>
      </c>
      <c r="J291" s="2"/>
      <c r="K291" s="10">
        <v>60</v>
      </c>
      <c r="L291" s="10">
        <v>45</v>
      </c>
      <c r="M291" s="10">
        <v>9</v>
      </c>
      <c r="N291" s="51">
        <v>19</v>
      </c>
      <c r="O291" s="11">
        <v>43</v>
      </c>
      <c r="P291" s="10"/>
      <c r="Q291" s="40"/>
      <c r="R291" s="2">
        <v>85</v>
      </c>
      <c r="S291" s="10">
        <f>IF(T291="",R291,MAX((R291+$R$8)/$R$2,(T291+$T$8)/$T$2)*$R$2-$R$8)</f>
        <v>109.05562267931867</v>
      </c>
      <c r="T291" s="62">
        <v>161</v>
      </c>
      <c r="U291" s="2">
        <f>IF(A291&lt;&gt;"",SUM(B291:I291),"")</f>
        <v>138</v>
      </c>
      <c r="V291" s="10">
        <f>IF(A291&lt;&gt;"",SUM(J291:O291),"")</f>
        <v>176</v>
      </c>
      <c r="W291" s="10">
        <f>IF(A291&lt;&gt;"",SUM(P291:Q291),"")</f>
        <v>0</v>
      </c>
      <c r="X291" s="10">
        <f>IF(A291&lt;&gt;"",SUM(S291:T291),"")</f>
        <v>270.05562267931867</v>
      </c>
      <c r="Y291" s="12" t="s">
        <v>69</v>
      </c>
      <c r="Z291" s="12">
        <f>IF(A291&lt;&gt;"",SUM(U291:Y291),"")</f>
        <v>584.05562267931873</v>
      </c>
      <c r="AA291" s="27">
        <f>IF(A291&lt;&gt;"",(Z291+Normalize_To_Add)/(Point_Total_So_Far)*100,"")</f>
        <v>65.915235457063716</v>
      </c>
      <c r="AB291" s="10">
        <f>IF(A291&lt;&gt;"",RANK(AA291,All_Student_XC),"")</f>
        <v>334</v>
      </c>
      <c r="AC291" s="31" t="str">
        <f>IF(A291&lt;&gt;"",CHOOSE(10-MIN(9,TRUNC((AA291+0.5)/10)),"A","B","C","D","F","F","F","F","F","F"),"")</f>
        <v>D</v>
      </c>
      <c r="AD291" s="31" t="str">
        <f>IF(A291&lt;&gt;"",IF(OR(AA291+0.5&gt;=93,AA291+0.5&lt;60),"",IF(MOD(AA291+0.5,10)&gt;=7,"+",IF(MOD(AA291+0.5,10)&lt;3,"-",""))),"")</f>
        <v/>
      </c>
      <c r="AE291" s="31">
        <f>IF(A291&lt;&gt;"",SUM(W291:X291,$W$8:$X$8)/SUM($W$2:$X$2)*100,"")</f>
        <v>69.03047091412742</v>
      </c>
      <c r="AF291" s="43" t="str">
        <f>IF(A291&lt;&gt;"",CHOOSE(10-MIN(9,TRUNC((AE291+0.5)/10)),"A","B","C","D","F","F","F","F","F","F"),"")</f>
        <v>D</v>
      </c>
      <c r="AG291" s="43" t="str">
        <f>IF(A291&lt;&gt;"",IF(OR(AE291+0.5&gt;=93,AE291+0.5&lt;60),"",IF(MOD(AE291+0.5,10)&gt;=7,"+",IF(MOD(AE291+0.5,10)&lt;3,"-",""))),"")</f>
        <v>+</v>
      </c>
      <c r="AH291" s="35">
        <f>IF(A291&lt;&gt;"",MIN(MAX(AA291,AE291),AA291+$AH$8,AE291+$AH$8),"")</f>
        <v>69.03047091412742</v>
      </c>
      <c r="AI291" s="31" t="str">
        <f>IF(A291&lt;&gt;"",CHOOSE(10-MIN(9,TRUNC((AH291+0.5)/10)),"A","B","C","D","F","F","F","F","F","F"),"")</f>
        <v>D</v>
      </c>
      <c r="AJ291" s="31" t="str">
        <f>IF(A291&lt;&gt;"",IF(OR(AH291+0.5&gt;=93,AH291+0.5&lt;60),"",IF(MOD(AH291+0.5,10)&gt;=7,"+",IF(MOD(AH291+0.5,10)&lt;3,"-",""))),"")</f>
        <v>+</v>
      </c>
      <c r="AK291" s="31" t="b">
        <f>IF(A291&lt;&gt;"",OR(AI291&lt;&gt;AC291,AJ291&lt;&gt;AD291),"")</f>
        <v>1</v>
      </c>
      <c r="AL291" s="81">
        <f>IF(AND(A291&lt;&gt;"",U291&gt;0),SUM(U291,$AL$8)/$AL$2*100,"")</f>
        <v>69</v>
      </c>
      <c r="AM291" s="24">
        <f>IF(AND(A291&lt;&gt;"",V291&gt;0),SUM(V291,$AM$8)/$AM$2*100,"")</f>
        <v>58.666666666666664</v>
      </c>
      <c r="AN291" s="24" t="str">
        <f>IF(AND(A291&lt;&gt;"",P291&lt;&gt;0),SUM(P291,$AN$8)/$AN$2*100,"")</f>
        <v/>
      </c>
      <c r="AO291" s="24" t="str">
        <f>IF(AND(A291&lt;&gt;"",Q291&lt;&gt;0),SUM(Q291,$AO$8)/$AO$2*100,"")</f>
        <v/>
      </c>
      <c r="AP291" s="24">
        <f>IF(AND(A291&lt;&gt;"",R291&lt;&gt;0),SUM(R291,$AP$8)/$AP$2*100,"")</f>
        <v>57.002659574468083</v>
      </c>
      <c r="AQ291" s="24" t="str">
        <f>IF(AND(A291&lt;&gt;"",W291&gt;0),SUM(W291,$AQ$8)/$AQ$2*100,"")</f>
        <v/>
      </c>
      <c r="AR291" s="24">
        <f>IF(AND(A291&lt;&gt;"",T291&gt;0),SUM(T291,$AR$8)/$AR$2*100,"")</f>
        <v>69.03047091412742</v>
      </c>
      <c r="AS291" s="24">
        <f>IF(AND(A291&lt;&gt;"",X291&lt;&gt;0),SUM(X291,$AS$8)/$AS$2*100,"")</f>
        <v>69.03047091412742</v>
      </c>
      <c r="AT291" s="86">
        <f>IF(A291&lt;&gt;"",SUM(W291:X291,$AT$8)/$AT$2*100,"")</f>
        <v>69.03047091412742</v>
      </c>
      <c r="AU291" s="24">
        <f>AA291</f>
        <v>65.915235457063716</v>
      </c>
      <c r="AV291" s="24"/>
      <c r="AW291" s="27">
        <f>IF(A291&lt;&gt;"",AE291-AA291,"")</f>
        <v>3.1152354570637044</v>
      </c>
      <c r="AY291" s="27">
        <f>AR291-AP291</f>
        <v>12.027811339659337</v>
      </c>
      <c r="AZ291" s="27">
        <f>ABS(AY291)</f>
        <v>12.027811339659337</v>
      </c>
    </row>
    <row r="292" spans="1:52" s="27" customFormat="1" ht="12.75" customHeight="1" x14ac:dyDescent="0.2">
      <c r="A292" s="10">
        <v>771984</v>
      </c>
      <c r="B292" s="2">
        <v>23</v>
      </c>
      <c r="C292" s="10">
        <v>25</v>
      </c>
      <c r="D292" s="10">
        <v>22</v>
      </c>
      <c r="E292" s="10">
        <v>23</v>
      </c>
      <c r="F292" s="10">
        <v>16</v>
      </c>
      <c r="G292" s="10">
        <v>25</v>
      </c>
      <c r="H292" s="10">
        <v>14</v>
      </c>
      <c r="I292" s="10">
        <v>23</v>
      </c>
      <c r="J292" s="2"/>
      <c r="K292" s="10">
        <v>54</v>
      </c>
      <c r="L292" s="10">
        <v>62</v>
      </c>
      <c r="M292" s="10">
        <v>60</v>
      </c>
      <c r="N292" s="10">
        <v>58</v>
      </c>
      <c r="O292" s="11">
        <v>62</v>
      </c>
      <c r="P292" s="40"/>
      <c r="Q292" s="40"/>
      <c r="R292" s="2">
        <v>138</v>
      </c>
      <c r="S292" s="10">
        <f>IF(T292="",R292,MAX((R292+$R$8)/$R$2,(T292+$T$8)/$T$2)*$R$2-$R$8)</f>
        <v>138</v>
      </c>
      <c r="T292" s="12">
        <v>189</v>
      </c>
      <c r="U292" s="1">
        <f>IF(A292&lt;&gt;"",SUM(B292:I292),"")</f>
        <v>171</v>
      </c>
      <c r="V292" s="10">
        <f>IF(A292&lt;&gt;"",SUM(J292:O292),"")</f>
        <v>296</v>
      </c>
      <c r="W292" s="10">
        <f>IF(A292&lt;&gt;"",SUM(P292:Q292),"")</f>
        <v>0</v>
      </c>
      <c r="X292" s="10">
        <f>IF(A292&lt;&gt;"",SUM(S292:T292),"")</f>
        <v>327</v>
      </c>
      <c r="Y292" s="12">
        <v>3</v>
      </c>
      <c r="Z292" s="12">
        <f>IF(A292&lt;&gt;"",SUM(U292:Y292),"")</f>
        <v>797</v>
      </c>
      <c r="AA292" s="27">
        <f>IF(A292&lt;&gt;"",(Z292+Normalize_To_Add)/(Point_Total_So_Far)*100,"")</f>
        <v>87.209673189131848</v>
      </c>
      <c r="AB292" s="10">
        <f>IF(A292&lt;&gt;"",RANK(AA292,All_Student_XC),"")</f>
        <v>125</v>
      </c>
      <c r="AC292" s="31" t="str">
        <f>IF(A292&lt;&gt;"",CHOOSE(10-MIN(9,TRUNC((AA292+0.5)/10)),"A","B","C","D","F","F","F","F","F","F"),"")</f>
        <v>B</v>
      </c>
      <c r="AD292" s="31" t="str">
        <f>IF(A292&lt;&gt;"",IF(OR(AA292+0.5&gt;=93,AA292+0.5&lt;60),"",IF(MOD(AA292+0.5,10)&gt;=7,"+",IF(MOD(AA292+0.5,10)&lt;3,"-",""))),"")</f>
        <v>+</v>
      </c>
      <c r="AE292" s="31">
        <f>IF(A292&lt;&gt;"",SUM(W292:X292,$W$8:$X$8)/SUM($W$2:$X$2)*100,"")</f>
        <v>80.419346378263697</v>
      </c>
      <c r="AF292" s="31" t="str">
        <f>IF(A292&lt;&gt;"",CHOOSE(10-MIN(9,TRUNC((AE292+0.5)/10)),"A","B","C","D","F","F","F","F","F","F"),"")</f>
        <v>B</v>
      </c>
      <c r="AG292" s="31" t="str">
        <f>IF(A292&lt;&gt;"",IF(OR(AE292+0.5&gt;=93,AE292+0.5&lt;60),"",IF(MOD(AE292+0.5,10)&gt;=7,"+",IF(MOD(AE292+0.5,10)&lt;3,"-",""))),"")</f>
        <v>-</v>
      </c>
      <c r="AH292" s="35">
        <f>IF(A292&lt;&gt;"",MIN(MAX(AA292,AE292),AA292+$AH$8,AE292+$AH$8),"")</f>
        <v>87.209673189131848</v>
      </c>
      <c r="AI292" s="31" t="str">
        <f>IF(A292&lt;&gt;"",CHOOSE(10-MIN(9,TRUNC((AH292+0.5)/10)),"A","B","C","D","F","F","F","F","F","F"),"")</f>
        <v>B</v>
      </c>
      <c r="AJ292" s="31" t="str">
        <f>IF(A292&lt;&gt;"",IF(OR(AH292+0.5&gt;=93,AH292+0.5&lt;60),"",IF(MOD(AH292+0.5,10)&gt;=7,"+",IF(MOD(AH292+0.5,10)&lt;3,"-",""))),"")</f>
        <v>+</v>
      </c>
      <c r="AK292" s="31" t="b">
        <f>IF(A292&lt;&gt;"",OR(AI292&lt;&gt;AC292,AJ292&lt;&gt;AD292),"")</f>
        <v>0</v>
      </c>
      <c r="AL292" s="81">
        <f>IF(AND(A292&lt;&gt;"",U292&gt;0),SUM(U292,$AL$8)/$AL$2*100,"")</f>
        <v>85.5</v>
      </c>
      <c r="AM292" s="24">
        <f>IF(AND(A292&lt;&gt;"",V292&gt;0),SUM(V292,$AM$8)/$AM$2*100,"")</f>
        <v>98.666666666666671</v>
      </c>
      <c r="AN292" s="24" t="str">
        <f>IF(AND(A292&lt;&gt;"",P292&lt;&gt;0),SUM(P292,$AN$8)/$AN$2*100,"")</f>
        <v/>
      </c>
      <c r="AO292" s="24" t="str">
        <f>IF(AND(A292&lt;&gt;"",Q292&lt;&gt;0),SUM(Q292,$AO$8)/$AO$2*100,"")</f>
        <v/>
      </c>
      <c r="AP292" s="24">
        <f>IF(AND(A292&lt;&gt;"",R292&lt;&gt;0),SUM(R292,$AP$8)/$AP$2*100,"")</f>
        <v>83.502659574468083</v>
      </c>
      <c r="AQ292" s="24" t="str">
        <f>IF(AND(A292&lt;&gt;"",W292&gt;0),SUM(W292,$AQ$8)/$AQ$2*100,"")</f>
        <v/>
      </c>
      <c r="AR292" s="24">
        <f>IF(AND(A292&lt;&gt;"",T292&gt;0),SUM(T292,$AR$8)/$AR$2*100,"")</f>
        <v>78.363804247460749</v>
      </c>
      <c r="AS292" s="24">
        <f>IF(AND(A292&lt;&gt;"",X292&lt;&gt;0),SUM(X292,$AS$8)/$AS$2*100,"")</f>
        <v>80.419346378263697</v>
      </c>
      <c r="AT292" s="86">
        <f>IF(A292&lt;&gt;"",SUM(W292:X292,$AT$8)/$AT$2*100,"")</f>
        <v>80.419346378263697</v>
      </c>
      <c r="AU292" s="24">
        <f>AA292</f>
        <v>87.209673189131848</v>
      </c>
      <c r="AV292" s="24"/>
      <c r="AW292" s="27">
        <f>IF(A292&lt;&gt;"",AE292-AA292,"")</f>
        <v>-6.7903268108681516</v>
      </c>
      <c r="AY292" s="27">
        <f>AR292-AP292</f>
        <v>-5.1388553270073345</v>
      </c>
      <c r="AZ292" s="27">
        <f>ABS(AY292)</f>
        <v>5.1388553270073345</v>
      </c>
    </row>
    <row r="293" spans="1:52" s="27" customFormat="1" ht="12.75" customHeight="1" x14ac:dyDescent="0.2">
      <c r="A293" s="10">
        <v>776624</v>
      </c>
      <c r="B293" s="2">
        <v>25</v>
      </c>
      <c r="C293" s="10">
        <v>25</v>
      </c>
      <c r="D293" s="10">
        <v>22</v>
      </c>
      <c r="E293" s="10">
        <v>23</v>
      </c>
      <c r="F293" s="10">
        <v>22</v>
      </c>
      <c r="G293" s="10">
        <v>25</v>
      </c>
      <c r="H293" s="10">
        <v>19</v>
      </c>
      <c r="I293" s="10">
        <v>25</v>
      </c>
      <c r="J293" s="2"/>
      <c r="K293" s="10">
        <v>63</v>
      </c>
      <c r="L293" s="10">
        <v>57</v>
      </c>
      <c r="M293" s="10">
        <v>56</v>
      </c>
      <c r="N293" s="51">
        <v>53</v>
      </c>
      <c r="O293" s="11">
        <v>61</v>
      </c>
      <c r="P293" s="10"/>
      <c r="Q293" s="40"/>
      <c r="R293" s="2">
        <v>139</v>
      </c>
      <c r="S293" s="10">
        <f>IF(T293="",R293,MAX((R293+$R$8)/$R$2,(T293+$T$8)/$T$2)*$R$2-$R$8)</f>
        <v>139</v>
      </c>
      <c r="T293" s="12">
        <v>93</v>
      </c>
      <c r="U293" s="68">
        <f>IF(A293&lt;&gt;"",SUM(B293:I293),"")</f>
        <v>186</v>
      </c>
      <c r="V293" s="10">
        <f>IF(A293&lt;&gt;"",SUM(J293:O293),"")</f>
        <v>290</v>
      </c>
      <c r="W293" s="10">
        <f>IF(A293&lt;&gt;"",SUM(P293:Q293),"")</f>
        <v>0</v>
      </c>
      <c r="X293" s="10">
        <f>IF(A293&lt;&gt;"",SUM(S293:T293),"")</f>
        <v>232</v>
      </c>
      <c r="Y293" s="12">
        <v>3</v>
      </c>
      <c r="Z293" s="12">
        <f>IF(A293&lt;&gt;"",SUM(U293:Y293),"")</f>
        <v>711</v>
      </c>
      <c r="AA293" s="27">
        <f>IF(A293&lt;&gt;"",(Z293+Normalize_To_Add)/(Point_Total_So_Far)*100,"")</f>
        <v>78.60967318913184</v>
      </c>
      <c r="AB293" s="10">
        <f>IF(A293&lt;&gt;"",RANK(AA293,All_Student_XC),"")</f>
        <v>231</v>
      </c>
      <c r="AC293" s="31" t="str">
        <f>IF(A293&lt;&gt;"",CHOOSE(10-MIN(9,TRUNC((AA293+0.5)/10)),"A","B","C","D","F","F","F","F","F","F"),"")</f>
        <v>C</v>
      </c>
      <c r="AD293" s="31" t="str">
        <f>IF(A293&lt;&gt;"",IF(OR(AA293+0.5&gt;=93,AA293+0.5&lt;60),"",IF(MOD(AA293+0.5,10)&gt;=7,"+",IF(MOD(AA293+0.5,10)&lt;3,"-",""))),"")</f>
        <v>+</v>
      </c>
      <c r="AE293" s="31">
        <f>IF(A293&lt;&gt;"",SUM(W293:X293,$W$8:$X$8)/SUM($W$2:$X$2)*100,"")</f>
        <v>61.419346378263683</v>
      </c>
      <c r="AF293" s="31" t="str">
        <f>IF(A293&lt;&gt;"",CHOOSE(10-MIN(9,TRUNC((AE293+0.5)/10)),"A","B","C","D","F","F","F","F","F","F"),"")</f>
        <v>D</v>
      </c>
      <c r="AG293" s="31" t="str">
        <f>IF(A293&lt;&gt;"",IF(OR(AE293+0.5&gt;=93,AE293+0.5&lt;60),"",IF(MOD(AE293+0.5,10)&gt;=7,"+",IF(MOD(AE293+0.5,10)&lt;3,"-",""))),"")</f>
        <v>-</v>
      </c>
      <c r="AH293" s="35">
        <f>IF(A293&lt;&gt;"",MIN(MAX(AA293,AE293),AA293+$AH$8,AE293+$AH$8),"")</f>
        <v>78.60967318913184</v>
      </c>
      <c r="AI293" s="31" t="str">
        <f>IF(A293&lt;&gt;"",CHOOSE(10-MIN(9,TRUNC((AH293+0.5)/10)),"A","B","C","D","F","F","F","F","F","F"),"")</f>
        <v>C</v>
      </c>
      <c r="AJ293" s="31" t="str">
        <f>IF(A293&lt;&gt;"",IF(OR(AH293+0.5&gt;=93,AH293+0.5&lt;60),"",IF(MOD(AH293+0.5,10)&gt;=7,"+",IF(MOD(AH293+0.5,10)&lt;3,"-",""))),"")</f>
        <v>+</v>
      </c>
      <c r="AK293" s="31" t="b">
        <f>IF(A293&lt;&gt;"",OR(AI293&lt;&gt;AC293,AJ293&lt;&gt;AD293),"")</f>
        <v>0</v>
      </c>
      <c r="AL293" s="81">
        <f>IF(AND(A293&lt;&gt;"",U293&gt;0),SUM(U293,$AL$8)/$AL$2*100,"")</f>
        <v>93</v>
      </c>
      <c r="AM293" s="24">
        <f>IF(AND(A293&lt;&gt;"",V293&gt;0),SUM(V293,$AM$8)/$AM$2*100,"")</f>
        <v>96.666666666666671</v>
      </c>
      <c r="AN293" s="24" t="str">
        <f>IF(AND(A293&lt;&gt;"",P293&lt;&gt;0),SUM(P293,$AN$8)/$AN$2*100,"")</f>
        <v/>
      </c>
      <c r="AO293" s="24" t="str">
        <f>IF(AND(A293&lt;&gt;"",Q293&lt;&gt;0),SUM(Q293,$AO$8)/$AO$2*100,"")</f>
        <v/>
      </c>
      <c r="AP293" s="24">
        <f>IF(AND(A293&lt;&gt;"",R293&lt;&gt;0),SUM(R293,$AP$8)/$AP$2*100,"")</f>
        <v>84.002659574468083</v>
      </c>
      <c r="AQ293" s="24" t="str">
        <f>IF(AND(A293&lt;&gt;"",W293&gt;0),SUM(W293,$AQ$8)/$AQ$2*100,"")</f>
        <v/>
      </c>
      <c r="AR293" s="24">
        <f>IF(AND(A293&lt;&gt;"",T293&gt;0),SUM(T293,$AR$8)/$AR$2*100,"")</f>
        <v>46.363804247460756</v>
      </c>
      <c r="AS293" s="24">
        <f>IF(AND(A293&lt;&gt;"",X293&lt;&gt;0),SUM(X293,$AS$8)/$AS$2*100,"")</f>
        <v>61.419346378263683</v>
      </c>
      <c r="AT293" s="86">
        <f>IF(A293&lt;&gt;"",SUM(W293:X293,$AT$8)/$AT$2*100,"")</f>
        <v>61.419346378263683</v>
      </c>
      <c r="AU293" s="24">
        <f>AA293</f>
        <v>78.60967318913184</v>
      </c>
      <c r="AV293" s="24"/>
      <c r="AW293" s="27">
        <f>IF(A293&lt;&gt;"",AE293-AA293,"")</f>
        <v>-17.190326810868157</v>
      </c>
      <c r="AY293" s="27">
        <f>AR293-AP293</f>
        <v>-37.638855327007327</v>
      </c>
      <c r="AZ293" s="27">
        <f>ABS(AY293)</f>
        <v>37.638855327007327</v>
      </c>
    </row>
    <row r="294" spans="1:52" s="27" customFormat="1" ht="12.75" customHeight="1" x14ac:dyDescent="0.2">
      <c r="A294" s="10">
        <v>777632</v>
      </c>
      <c r="B294" s="2">
        <v>25</v>
      </c>
      <c r="C294" s="10">
        <v>23</v>
      </c>
      <c r="D294" s="10">
        <v>23</v>
      </c>
      <c r="E294" s="10">
        <v>20</v>
      </c>
      <c r="F294" s="10">
        <v>21</v>
      </c>
      <c r="G294" s="10">
        <v>25</v>
      </c>
      <c r="H294" s="10">
        <v>14</v>
      </c>
      <c r="I294" s="10">
        <v>25</v>
      </c>
      <c r="J294" s="2"/>
      <c r="K294" s="10">
        <v>62</v>
      </c>
      <c r="L294" s="10">
        <v>60</v>
      </c>
      <c r="M294" s="10">
        <v>60</v>
      </c>
      <c r="N294" s="51">
        <v>62</v>
      </c>
      <c r="O294" s="11">
        <v>62</v>
      </c>
      <c r="P294" s="10"/>
      <c r="Q294" s="40"/>
      <c r="R294" s="2">
        <v>91</v>
      </c>
      <c r="S294" s="10">
        <f>IF(T294="",R294,MAX((R294+$R$8)/$R$2,(T294+$T$8)/$T$2)*$R$2-$R$8)</f>
        <v>131.05562267931867</v>
      </c>
      <c r="T294" s="12">
        <v>194</v>
      </c>
      <c r="U294" s="68">
        <f>IF(A294&lt;&gt;"",SUM(B294:I294),"")</f>
        <v>176</v>
      </c>
      <c r="V294" s="10">
        <f>IF(A294&lt;&gt;"",SUM(J294:O294),"")</f>
        <v>306</v>
      </c>
      <c r="W294" s="10">
        <f>IF(A294&lt;&gt;"",SUM(P294:Q294),"")</f>
        <v>0</v>
      </c>
      <c r="X294" s="10">
        <f>IF(A294&lt;&gt;"",SUM(S294:T294),"")</f>
        <v>325.05562267931867</v>
      </c>
      <c r="Y294" s="12" t="s">
        <v>69</v>
      </c>
      <c r="Z294" s="12">
        <f>IF(A294&lt;&gt;"",SUM(U294:Y294),"")</f>
        <v>807.05562267931873</v>
      </c>
      <c r="AA294" s="27">
        <f>IF(A294&lt;&gt;"",(Z294+Normalize_To_Add)/(Point_Total_So_Far)*100,"")</f>
        <v>88.215235457063713</v>
      </c>
      <c r="AB294" s="10">
        <f>IF(A294&lt;&gt;"",RANK(AA294,All_Student_XC),"")</f>
        <v>108</v>
      </c>
      <c r="AC294" s="31" t="str">
        <f>IF(A294&lt;&gt;"",CHOOSE(10-MIN(9,TRUNC((AA294+0.5)/10)),"A","B","C","D","F","F","F","F","F","F"),"")</f>
        <v>B</v>
      </c>
      <c r="AD294" s="31" t="str">
        <f>IF(A294&lt;&gt;"",IF(OR(AA294+0.5&gt;=93,AA294+0.5&lt;60),"",IF(MOD(AA294+0.5,10)&gt;=7,"+",IF(MOD(AA294+0.5,10)&lt;3,"-",""))),"")</f>
        <v>+</v>
      </c>
      <c r="AE294" s="31">
        <f>IF(A294&lt;&gt;"",SUM(W294:X294,$W$8:$X$8)/SUM($W$2:$X$2)*100,"")</f>
        <v>80.03047091412742</v>
      </c>
      <c r="AF294" s="31" t="str">
        <f>IF(A294&lt;&gt;"",CHOOSE(10-MIN(9,TRUNC((AE294+0.5)/10)),"A","B","C","D","F","F","F","F","F","F"),"")</f>
        <v>B</v>
      </c>
      <c r="AG294" s="31" t="str">
        <f>IF(A294&lt;&gt;"",IF(OR(AE294+0.5&gt;=93,AE294+0.5&lt;60),"",IF(MOD(AE294+0.5,10)&gt;=7,"+",IF(MOD(AE294+0.5,10)&lt;3,"-",""))),"")</f>
        <v>-</v>
      </c>
      <c r="AH294" s="35">
        <f>IF(A294&lt;&gt;"",MIN(MAX(AA294,AE294),AA294+$AH$8,AE294+$AH$8),"")</f>
        <v>88.215235457063713</v>
      </c>
      <c r="AI294" s="31" t="str">
        <f>IF(A294&lt;&gt;"",CHOOSE(10-MIN(9,TRUNC((AH294+0.5)/10)),"A","B","C","D","F","F","F","F","F","F"),"")</f>
        <v>B</v>
      </c>
      <c r="AJ294" s="31" t="str">
        <f>IF(A294&lt;&gt;"",IF(OR(AH294+0.5&gt;=93,AH294+0.5&lt;60),"",IF(MOD(AH294+0.5,10)&gt;=7,"+",IF(MOD(AH294+0.5,10)&lt;3,"-",""))),"")</f>
        <v>+</v>
      </c>
      <c r="AK294" s="31" t="b">
        <f>IF(A294&lt;&gt;"",OR(AI294&lt;&gt;AC294,AJ294&lt;&gt;AD294),"")</f>
        <v>0</v>
      </c>
      <c r="AL294" s="81">
        <f>IF(AND(A294&lt;&gt;"",U294&gt;0),SUM(U294,$AL$8)/$AL$2*100,"")</f>
        <v>88</v>
      </c>
      <c r="AM294" s="24">
        <f>IF(AND(A294&lt;&gt;"",V294&gt;0),SUM(V294,$AM$8)/$AM$2*100,"")</f>
        <v>102</v>
      </c>
      <c r="AN294" s="24" t="str">
        <f>IF(AND(A294&lt;&gt;"",P294&lt;&gt;0),SUM(P294,$AN$8)/$AN$2*100,"")</f>
        <v/>
      </c>
      <c r="AO294" s="24" t="str">
        <f>IF(AND(A294&lt;&gt;"",Q294&lt;&gt;0),SUM(Q294,$AO$8)/$AO$2*100,"")</f>
        <v/>
      </c>
      <c r="AP294" s="24">
        <f>IF(AND(A294&lt;&gt;"",R294&lt;&gt;0),SUM(R294,$AP$8)/$AP$2*100,"")</f>
        <v>60.002659574468083</v>
      </c>
      <c r="AQ294" s="24" t="str">
        <f>IF(AND(A294&lt;&gt;"",W294&gt;0),SUM(W294,$AQ$8)/$AQ$2*100,"")</f>
        <v/>
      </c>
      <c r="AR294" s="24">
        <f>IF(AND(A294&lt;&gt;"",T294&gt;0),SUM(T294,$AR$8)/$AR$2*100,"")</f>
        <v>80.03047091412742</v>
      </c>
      <c r="AS294" s="24">
        <f>IF(AND(A294&lt;&gt;"",X294&lt;&gt;0),SUM(X294,$AS$8)/$AS$2*100,"")</f>
        <v>80.03047091412742</v>
      </c>
      <c r="AT294" s="86">
        <f>IF(A294&lt;&gt;"",SUM(W294:X294,$AT$8)/$AT$2*100,"")</f>
        <v>80.03047091412742</v>
      </c>
      <c r="AU294" s="24">
        <f>AA294</f>
        <v>88.215235457063713</v>
      </c>
      <c r="AV294" s="24"/>
      <c r="AW294" s="27">
        <f>IF(A294&lt;&gt;"",AE294-AA294,"")</f>
        <v>-8.1847645429362927</v>
      </c>
      <c r="AY294" s="27">
        <f>AR294-AP294</f>
        <v>20.027811339659337</v>
      </c>
      <c r="AZ294" s="27">
        <f>ABS(AY294)</f>
        <v>20.027811339659337</v>
      </c>
    </row>
    <row r="295" spans="1:52" s="27" customFormat="1" ht="12.75" customHeight="1" x14ac:dyDescent="0.2">
      <c r="A295" s="10">
        <v>779650</v>
      </c>
      <c r="B295" s="2">
        <v>20</v>
      </c>
      <c r="C295" s="10">
        <v>25</v>
      </c>
      <c r="D295" s="10">
        <v>24</v>
      </c>
      <c r="E295" s="10">
        <v>25</v>
      </c>
      <c r="F295" s="10">
        <v>25</v>
      </c>
      <c r="G295" s="10">
        <v>25</v>
      </c>
      <c r="H295" s="10">
        <v>24</v>
      </c>
      <c r="I295" s="10">
        <v>25</v>
      </c>
      <c r="J295" s="2"/>
      <c r="K295" s="10">
        <v>56</v>
      </c>
      <c r="L295" s="10">
        <v>47</v>
      </c>
      <c r="M295" s="10">
        <v>56</v>
      </c>
      <c r="N295" s="51">
        <v>43</v>
      </c>
      <c r="O295" s="11">
        <v>60</v>
      </c>
      <c r="P295" s="10"/>
      <c r="Q295" s="40"/>
      <c r="R295" s="2">
        <v>156</v>
      </c>
      <c r="S295" s="10">
        <f>IF(T295="",R295,MAX((R295+$R$8)/$R$2,(T295+$T$8)/$T$2)*$R$2-$R$8)</f>
        <v>156</v>
      </c>
      <c r="T295" s="12">
        <v>171</v>
      </c>
      <c r="U295" s="68">
        <f>IF(A295&lt;&gt;"",SUM(B295:I295),"")</f>
        <v>193</v>
      </c>
      <c r="V295" s="10">
        <f>IF(A295&lt;&gt;"",SUM(J295:O295),"")</f>
        <v>262</v>
      </c>
      <c r="W295" s="10">
        <f>IF(A295&lt;&gt;"",SUM(P295:Q295),"")</f>
        <v>0</v>
      </c>
      <c r="X295" s="10">
        <f>IF(A295&lt;&gt;"",SUM(S295:T295),"")</f>
        <v>327</v>
      </c>
      <c r="Y295" s="12">
        <v>3</v>
      </c>
      <c r="Z295" s="12">
        <f>IF(A295&lt;&gt;"",SUM(U295:Y295),"")</f>
        <v>785</v>
      </c>
      <c r="AA295" s="27">
        <f>IF(A295&lt;&gt;"",(Z295+Normalize_To_Add)/(Point_Total_So_Far)*100,"")</f>
        <v>86.009673189131846</v>
      </c>
      <c r="AB295" s="10">
        <f>IF(A295&lt;&gt;"",RANK(AA295,All_Student_XC),"")</f>
        <v>137</v>
      </c>
      <c r="AC295" s="31" t="str">
        <f>IF(A295&lt;&gt;"",CHOOSE(10-MIN(9,TRUNC((AA295+0.5)/10)),"A","B","C","D","F","F","F","F","F","F"),"")</f>
        <v>B</v>
      </c>
      <c r="AD295" s="31" t="str">
        <f>IF(A295&lt;&gt;"",IF(OR(AA295+0.5&gt;=93,AA295+0.5&lt;60),"",IF(MOD(AA295+0.5,10)&gt;=7,"+",IF(MOD(AA295+0.5,10)&lt;3,"-",""))),"")</f>
        <v/>
      </c>
      <c r="AE295" s="31">
        <f>IF(A295&lt;&gt;"",SUM(W295:X295,$W$8:$X$8)/SUM($W$2:$X$2)*100,"")</f>
        <v>80.419346378263697</v>
      </c>
      <c r="AF295" s="31" t="str">
        <f>IF(A295&lt;&gt;"",CHOOSE(10-MIN(9,TRUNC((AE295+0.5)/10)),"A","B","C","D","F","F","F","F","F","F"),"")</f>
        <v>B</v>
      </c>
      <c r="AG295" s="31" t="str">
        <f>IF(A295&lt;&gt;"",IF(OR(AE295+0.5&gt;=93,AE295+0.5&lt;60),"",IF(MOD(AE295+0.5,10)&gt;=7,"+",IF(MOD(AE295+0.5,10)&lt;3,"-",""))),"")</f>
        <v>-</v>
      </c>
      <c r="AH295" s="35">
        <f>IF(A295&lt;&gt;"",MIN(MAX(AA295,AE295),AA295+$AH$8,AE295+$AH$8),"")</f>
        <v>86.009673189131846</v>
      </c>
      <c r="AI295" s="31" t="str">
        <f>IF(A295&lt;&gt;"",CHOOSE(10-MIN(9,TRUNC((AH295+0.5)/10)),"A","B","C","D","F","F","F","F","F","F"),"")</f>
        <v>B</v>
      </c>
      <c r="AJ295" s="31" t="str">
        <f>IF(A295&lt;&gt;"",IF(OR(AH295+0.5&gt;=93,AH295+0.5&lt;60),"",IF(MOD(AH295+0.5,10)&gt;=7,"+",IF(MOD(AH295+0.5,10)&lt;3,"-",""))),"")</f>
        <v/>
      </c>
      <c r="AK295" s="31" t="b">
        <f>IF(A295&lt;&gt;"",OR(AI295&lt;&gt;AC295,AJ295&lt;&gt;AD295),"")</f>
        <v>0</v>
      </c>
      <c r="AL295" s="81">
        <f>IF(AND(A295&lt;&gt;"",U295&gt;0),SUM(U295,$AL$8)/$AL$2*100,"")</f>
        <v>96.5</v>
      </c>
      <c r="AM295" s="24">
        <f>IF(AND(A295&lt;&gt;"",V295&gt;0),SUM(V295,$AM$8)/$AM$2*100,"")</f>
        <v>87.333333333333329</v>
      </c>
      <c r="AN295" s="24" t="str">
        <f>IF(AND(A295&lt;&gt;"",P295&lt;&gt;0),SUM(P295,$AN$8)/$AN$2*100,"")</f>
        <v/>
      </c>
      <c r="AO295" s="24" t="str">
        <f>IF(AND(A295&lt;&gt;"",Q295&lt;&gt;0),SUM(Q295,$AO$8)/$AO$2*100,"")</f>
        <v/>
      </c>
      <c r="AP295" s="24">
        <f>IF(AND(A295&lt;&gt;"",R295&lt;&gt;0),SUM(R295,$AP$8)/$AP$2*100,"")</f>
        <v>92.502659574468083</v>
      </c>
      <c r="AQ295" s="24" t="str">
        <f>IF(AND(A295&lt;&gt;"",W295&gt;0),SUM(W295,$AQ$8)/$AQ$2*100,"")</f>
        <v/>
      </c>
      <c r="AR295" s="24">
        <f>IF(AND(A295&lt;&gt;"",T295&gt;0),SUM(T295,$AR$8)/$AR$2*100,"")</f>
        <v>72.363804247460749</v>
      </c>
      <c r="AS295" s="24">
        <f>IF(AND(A295&lt;&gt;"",X295&lt;&gt;0),SUM(X295,$AS$8)/$AS$2*100,"")</f>
        <v>80.419346378263697</v>
      </c>
      <c r="AT295" s="86">
        <f>IF(A295&lt;&gt;"",SUM(W295:X295,$AT$8)/$AT$2*100,"")</f>
        <v>80.419346378263697</v>
      </c>
      <c r="AU295" s="24">
        <f>AA295</f>
        <v>86.009673189131846</v>
      </c>
      <c r="AV295" s="24"/>
      <c r="AW295" s="27">
        <f>IF(A295&lt;&gt;"",AE295-AA295,"")</f>
        <v>-5.5903268108681488</v>
      </c>
      <c r="AY295" s="27">
        <f>AR295-AP295</f>
        <v>-20.138855327007334</v>
      </c>
      <c r="AZ295" s="27">
        <f>ABS(AY295)</f>
        <v>20.138855327007334</v>
      </c>
    </row>
    <row r="296" spans="1:52" s="27" customFormat="1" ht="12.75" customHeight="1" x14ac:dyDescent="0.2">
      <c r="A296" s="10">
        <v>782660</v>
      </c>
      <c r="B296" s="2">
        <v>13</v>
      </c>
      <c r="C296" s="10">
        <v>25</v>
      </c>
      <c r="D296" s="10">
        <v>24</v>
      </c>
      <c r="E296" s="10">
        <v>20</v>
      </c>
      <c r="F296" s="10">
        <v>10</v>
      </c>
      <c r="G296" s="10">
        <v>25</v>
      </c>
      <c r="H296" s="10">
        <v>24</v>
      </c>
      <c r="I296" s="10">
        <v>25</v>
      </c>
      <c r="J296" s="2"/>
      <c r="K296" s="10">
        <v>56</v>
      </c>
      <c r="L296" s="10">
        <v>47</v>
      </c>
      <c r="M296" s="10">
        <v>56</v>
      </c>
      <c r="N296" s="51">
        <v>43</v>
      </c>
      <c r="O296" s="11">
        <v>60</v>
      </c>
      <c r="P296" s="10"/>
      <c r="Q296" s="40"/>
      <c r="R296" s="2">
        <v>158</v>
      </c>
      <c r="S296" s="10">
        <f>IF(T296="",R296,MAX((R296+$R$8)/$R$2,(T296+$T$8)/$T$2)*$R$2-$R$8)</f>
        <v>158</v>
      </c>
      <c r="T296" s="12">
        <v>224</v>
      </c>
      <c r="U296" s="68">
        <f>IF(A296&lt;&gt;"",SUM(B296:I296),"")</f>
        <v>166</v>
      </c>
      <c r="V296" s="10">
        <f>IF(A296&lt;&gt;"",SUM(J296:O296),"")</f>
        <v>262</v>
      </c>
      <c r="W296" s="10">
        <f>IF(A296&lt;&gt;"",SUM(P296:Q296),"")</f>
        <v>0</v>
      </c>
      <c r="X296" s="10">
        <f>IF(A296&lt;&gt;"",SUM(S296:T296),"")</f>
        <v>382</v>
      </c>
      <c r="Y296" s="12">
        <v>3</v>
      </c>
      <c r="Z296" s="12">
        <f>IF(A296&lt;&gt;"",SUM(U296:Y296),"")</f>
        <v>813</v>
      </c>
      <c r="AA296" s="27">
        <f>IF(A296&lt;&gt;"",(Z296+Normalize_To_Add)/(Point_Total_So_Far)*100,"")</f>
        <v>88.809673189131843</v>
      </c>
      <c r="AB296" s="10">
        <f>IF(A296&lt;&gt;"",RANK(AA296,All_Student_XC),"")</f>
        <v>101</v>
      </c>
      <c r="AC296" s="31" t="str">
        <f>IF(A296&lt;&gt;"",CHOOSE(10-MIN(9,TRUNC((AA296+0.5)/10)),"A","B","C","D","F","F","F","F","F","F"),"")</f>
        <v>B</v>
      </c>
      <c r="AD296" s="31" t="str">
        <f>IF(A296&lt;&gt;"",IF(OR(AA296+0.5&gt;=93,AA296+0.5&lt;60),"",IF(MOD(AA296+0.5,10)&gt;=7,"+",IF(MOD(AA296+0.5,10)&lt;3,"-",""))),"")</f>
        <v>+</v>
      </c>
      <c r="AE296" s="31">
        <f>IF(A296&lt;&gt;"",SUM(W296:X296,$W$8:$X$8)/SUM($W$2:$X$2)*100,"")</f>
        <v>91.419346378263683</v>
      </c>
      <c r="AF296" s="31" t="str">
        <f>IF(A296&lt;&gt;"",CHOOSE(10-MIN(9,TRUNC((AE296+0.5)/10)),"A","B","C","D","F","F","F","F","F","F"),"")</f>
        <v>A</v>
      </c>
      <c r="AG296" s="31" t="str">
        <f>IF(A296&lt;&gt;"",IF(OR(AE296+0.5&gt;=93,AE296+0.5&lt;60),"",IF(MOD(AE296+0.5,10)&gt;=7,"+",IF(MOD(AE296+0.5,10)&lt;3,"-",""))),"")</f>
        <v>-</v>
      </c>
      <c r="AH296" s="35">
        <f>IF(A296&lt;&gt;"",MIN(MAX(AA296,AE296),AA296+$AH$8,AE296+$AH$8),"")</f>
        <v>91.419346378263683</v>
      </c>
      <c r="AI296" s="31" t="str">
        <f>IF(A296&lt;&gt;"",CHOOSE(10-MIN(9,TRUNC((AH296+0.5)/10)),"A","B","C","D","F","F","F","F","F","F"),"")</f>
        <v>A</v>
      </c>
      <c r="AJ296" s="31" t="str">
        <f>IF(A296&lt;&gt;"",IF(OR(AH296+0.5&gt;=93,AH296+0.5&lt;60),"",IF(MOD(AH296+0.5,10)&gt;=7,"+",IF(MOD(AH296+0.5,10)&lt;3,"-",""))),"")</f>
        <v>-</v>
      </c>
      <c r="AK296" s="31" t="b">
        <f>IF(A296&lt;&gt;"",OR(AI296&lt;&gt;AC296,AJ296&lt;&gt;AD296),"")</f>
        <v>1</v>
      </c>
      <c r="AL296" s="81">
        <f>IF(AND(A296&lt;&gt;"",U296&gt;0),SUM(U296,$AL$8)/$AL$2*100,"")</f>
        <v>83</v>
      </c>
      <c r="AM296" s="24">
        <f>IF(AND(A296&lt;&gt;"",V296&gt;0),SUM(V296,$AM$8)/$AM$2*100,"")</f>
        <v>87.333333333333329</v>
      </c>
      <c r="AN296" s="24" t="str">
        <f>IF(AND(A296&lt;&gt;"",P296&lt;&gt;0),SUM(P296,$AN$8)/$AN$2*100,"")</f>
        <v/>
      </c>
      <c r="AO296" s="24" t="str">
        <f>IF(AND(A296&lt;&gt;"",Q296&lt;&gt;0),SUM(Q296,$AO$8)/$AO$2*100,"")</f>
        <v/>
      </c>
      <c r="AP296" s="24">
        <f>IF(AND(A296&lt;&gt;"",R296&lt;&gt;0),SUM(R296,$AP$8)/$AP$2*100,"")</f>
        <v>93.502659574468083</v>
      </c>
      <c r="AQ296" s="24" t="str">
        <f>IF(AND(A296&lt;&gt;"",W296&gt;0),SUM(W296,$AQ$8)/$AQ$2*100,"")</f>
        <v/>
      </c>
      <c r="AR296" s="24">
        <f>IF(AND(A296&lt;&gt;"",T296&gt;0),SUM(T296,$AR$8)/$AR$2*100,"")</f>
        <v>90.03047091412742</v>
      </c>
      <c r="AS296" s="24">
        <f>IF(AND(A296&lt;&gt;"",X296&lt;&gt;0),SUM(X296,$AS$8)/$AS$2*100,"")</f>
        <v>91.419346378263683</v>
      </c>
      <c r="AT296" s="86">
        <f>IF(A296&lt;&gt;"",SUM(W296:X296,$AT$8)/$AT$2*100,"")</f>
        <v>91.419346378263683</v>
      </c>
      <c r="AU296" s="24">
        <f>AA296</f>
        <v>88.809673189131843</v>
      </c>
      <c r="AV296" s="24"/>
      <c r="AW296" s="27">
        <f>IF(A296&lt;&gt;"",AE296-AA296,"")</f>
        <v>2.6096731891318399</v>
      </c>
      <c r="AY296" s="27">
        <f>AR296-AP296</f>
        <v>-3.4721886603406631</v>
      </c>
      <c r="AZ296" s="27">
        <f>ABS(AY296)</f>
        <v>3.4721886603406631</v>
      </c>
    </row>
    <row r="297" spans="1:52" s="27" customFormat="1" ht="12.75" customHeight="1" x14ac:dyDescent="0.2">
      <c r="A297" s="10">
        <v>786714</v>
      </c>
      <c r="B297" s="2">
        <v>24</v>
      </c>
      <c r="C297" s="10">
        <v>25</v>
      </c>
      <c r="D297" s="10">
        <v>19</v>
      </c>
      <c r="E297" s="10">
        <v>24</v>
      </c>
      <c r="F297" s="10">
        <v>19</v>
      </c>
      <c r="G297" s="10">
        <v>25</v>
      </c>
      <c r="H297" s="10">
        <v>24</v>
      </c>
      <c r="I297" s="10">
        <v>23</v>
      </c>
      <c r="J297" s="2"/>
      <c r="K297" s="10">
        <v>54</v>
      </c>
      <c r="L297" s="10">
        <v>62</v>
      </c>
      <c r="M297" s="10">
        <v>57</v>
      </c>
      <c r="N297" s="51">
        <v>59</v>
      </c>
      <c r="O297" s="11">
        <v>47</v>
      </c>
      <c r="P297" s="10"/>
      <c r="Q297" s="40"/>
      <c r="R297" s="2">
        <v>149</v>
      </c>
      <c r="S297" s="10">
        <f>IF(T297="",R297,MAX((R297+$R$8)/$R$2,(T297+$T$8)/$T$2)*$R$2-$R$8)</f>
        <v>149</v>
      </c>
      <c r="T297" s="12">
        <v>194</v>
      </c>
      <c r="U297" s="68">
        <f>IF(A297&lt;&gt;"",SUM(B297:I297),"")</f>
        <v>183</v>
      </c>
      <c r="V297" s="10">
        <f>IF(A297&lt;&gt;"",SUM(J297:O297),"")</f>
        <v>279</v>
      </c>
      <c r="W297" s="10">
        <f>IF(A297&lt;&gt;"",SUM(P297:Q297),"")</f>
        <v>0</v>
      </c>
      <c r="X297" s="10">
        <f>IF(A297&lt;&gt;"",SUM(S297:T297),"")</f>
        <v>343</v>
      </c>
      <c r="Y297" s="12" t="s">
        <v>69</v>
      </c>
      <c r="Z297" s="12">
        <f>IF(A297&lt;&gt;"",SUM(U297:Y297),"")</f>
        <v>805</v>
      </c>
      <c r="AA297" s="27">
        <f>IF(A297&lt;&gt;"",(Z297+Normalize_To_Add)/(Point_Total_So_Far)*100,"")</f>
        <v>88.009673189131846</v>
      </c>
      <c r="AB297" s="10">
        <f>IF(A297&lt;&gt;"",RANK(AA297,All_Student_XC),"")</f>
        <v>111</v>
      </c>
      <c r="AC297" s="31" t="str">
        <f>IF(A297&lt;&gt;"",CHOOSE(10-MIN(9,TRUNC((AA297+0.5)/10)),"A","B","C","D","F","F","F","F","F","F"),"")</f>
        <v>B</v>
      </c>
      <c r="AD297" s="31" t="str">
        <f>IF(A297&lt;&gt;"",IF(OR(AA297+0.5&gt;=93,AA297+0.5&lt;60),"",IF(MOD(AA297+0.5,10)&gt;=7,"+",IF(MOD(AA297+0.5,10)&lt;3,"-",""))),"")</f>
        <v>+</v>
      </c>
      <c r="AE297" s="31">
        <f>IF(A297&lt;&gt;"",SUM(W297:X297,$W$8:$X$8)/SUM($W$2:$X$2)*100,"")</f>
        <v>83.619346378263685</v>
      </c>
      <c r="AF297" s="31" t="str">
        <f>IF(A297&lt;&gt;"",CHOOSE(10-MIN(9,TRUNC((AE297+0.5)/10)),"A","B","C","D","F","F","F","F","F","F"),"")</f>
        <v>B</v>
      </c>
      <c r="AG297" s="31" t="str">
        <f>IF(A297&lt;&gt;"",IF(OR(AE297+0.5&gt;=93,AE297+0.5&lt;60),"",IF(MOD(AE297+0.5,10)&gt;=7,"+",IF(MOD(AE297+0.5,10)&lt;3,"-",""))),"")</f>
        <v/>
      </c>
      <c r="AH297" s="35">
        <f>IF(A297&lt;&gt;"",MIN(MAX(AA297,AE297),AA297+$AH$8,AE297+$AH$8),"")</f>
        <v>88.009673189131846</v>
      </c>
      <c r="AI297" s="31" t="str">
        <f>IF(A297&lt;&gt;"",CHOOSE(10-MIN(9,TRUNC((AH297+0.5)/10)),"A","B","C","D","F","F","F","F","F","F"),"")</f>
        <v>B</v>
      </c>
      <c r="AJ297" s="31" t="str">
        <f>IF(A297&lt;&gt;"",IF(OR(AH297+0.5&gt;=93,AH297+0.5&lt;60),"",IF(MOD(AH297+0.5,10)&gt;=7,"+",IF(MOD(AH297+0.5,10)&lt;3,"-",""))),"")</f>
        <v>+</v>
      </c>
      <c r="AK297" s="31" t="b">
        <f>IF(A297&lt;&gt;"",OR(AI297&lt;&gt;AC297,AJ297&lt;&gt;AD297),"")</f>
        <v>0</v>
      </c>
      <c r="AL297" s="81">
        <f>IF(AND(A297&lt;&gt;"",U297&gt;0),SUM(U297,$AL$8)/$AL$2*100,"")</f>
        <v>91.5</v>
      </c>
      <c r="AM297" s="24">
        <f>IF(AND(A297&lt;&gt;"",V297&gt;0),SUM(V297,$AM$8)/$AM$2*100,"")</f>
        <v>93</v>
      </c>
      <c r="AN297" s="24" t="str">
        <f>IF(AND(A297&lt;&gt;"",P297&lt;&gt;0),SUM(P297,$AN$8)/$AN$2*100,"")</f>
        <v/>
      </c>
      <c r="AO297" s="24" t="str">
        <f>IF(AND(A297&lt;&gt;"",Q297&lt;&gt;0),SUM(Q297,$AO$8)/$AO$2*100,"")</f>
        <v/>
      </c>
      <c r="AP297" s="24">
        <f>IF(AND(A297&lt;&gt;"",R297&lt;&gt;0),SUM(R297,$AP$8)/$AP$2*100,"")</f>
        <v>89.002659574468083</v>
      </c>
      <c r="AQ297" s="24" t="str">
        <f>IF(AND(A297&lt;&gt;"",W297&gt;0),SUM(W297,$AQ$8)/$AQ$2*100,"")</f>
        <v/>
      </c>
      <c r="AR297" s="24">
        <f>IF(AND(A297&lt;&gt;"",T297&gt;0),SUM(T297,$AR$8)/$AR$2*100,"")</f>
        <v>80.03047091412742</v>
      </c>
      <c r="AS297" s="24">
        <f>IF(AND(A297&lt;&gt;"",X297&lt;&gt;0),SUM(X297,$AS$8)/$AS$2*100,"")</f>
        <v>83.619346378263685</v>
      </c>
      <c r="AT297" s="86">
        <f>IF(A297&lt;&gt;"",SUM(W297:X297,$AT$8)/$AT$2*100,"")</f>
        <v>83.619346378263685</v>
      </c>
      <c r="AU297" s="24">
        <f>AA297</f>
        <v>88.009673189131846</v>
      </c>
      <c r="AV297" s="24"/>
      <c r="AW297" s="27">
        <f>IF(A297&lt;&gt;"",AE297-AA297,"")</f>
        <v>-4.3903268108681601</v>
      </c>
      <c r="AY297" s="27">
        <f>AR297-AP297</f>
        <v>-8.9721886603406631</v>
      </c>
      <c r="AZ297" s="27">
        <f>ABS(AY297)</f>
        <v>8.9721886603406631</v>
      </c>
    </row>
    <row r="298" spans="1:52" s="27" customFormat="1" ht="12.75" customHeight="1" x14ac:dyDescent="0.2">
      <c r="A298" s="10">
        <v>786884</v>
      </c>
      <c r="B298" s="2" t="s">
        <v>69</v>
      </c>
      <c r="C298" s="10">
        <v>25</v>
      </c>
      <c r="D298" s="10">
        <v>15</v>
      </c>
      <c r="E298" s="10">
        <v>25</v>
      </c>
      <c r="F298" s="10">
        <v>19</v>
      </c>
      <c r="G298" s="10">
        <v>25</v>
      </c>
      <c r="H298" s="10">
        <v>12</v>
      </c>
      <c r="I298" s="10">
        <v>12</v>
      </c>
      <c r="J298" s="2"/>
      <c r="K298" s="10">
        <v>62</v>
      </c>
      <c r="L298" s="10">
        <v>60</v>
      </c>
      <c r="M298" s="10">
        <v>55</v>
      </c>
      <c r="N298" s="51">
        <v>50</v>
      </c>
      <c r="O298" s="11">
        <v>60</v>
      </c>
      <c r="P298" s="10"/>
      <c r="Q298" s="40"/>
      <c r="R298" s="2">
        <v>139</v>
      </c>
      <c r="S298" s="10">
        <f>IF(T298="",R298,MAX((R298+$R$8)/$R$2,(T298+$T$8)/$T$2)*$R$2-$R$8)</f>
        <v>159.05562267931867</v>
      </c>
      <c r="T298" s="12">
        <v>236</v>
      </c>
      <c r="U298" s="1">
        <f>IF(A298&lt;&gt;"",SUM(B298:I298),"")</f>
        <v>133</v>
      </c>
      <c r="V298" s="10">
        <f>IF(A298&lt;&gt;"",SUM(J298:O298),"")</f>
        <v>287</v>
      </c>
      <c r="W298" s="10">
        <f>IF(A298&lt;&gt;"",SUM(P298:Q298),"")</f>
        <v>0</v>
      </c>
      <c r="X298" s="10">
        <f>IF(A298&lt;&gt;"",SUM(S298:T298),"")</f>
        <v>395.05562267931867</v>
      </c>
      <c r="Y298" s="12">
        <v>3</v>
      </c>
      <c r="Z298" s="12">
        <f>IF(A298&lt;&gt;"",SUM(U298:Y298),"")</f>
        <v>818.05562267931873</v>
      </c>
      <c r="AA298" s="27">
        <f>IF(A298&lt;&gt;"",(Z298+Normalize_To_Add)/(Point_Total_So_Far)*100,"")</f>
        <v>89.315235457063707</v>
      </c>
      <c r="AB298" s="10">
        <f>IF(A298&lt;&gt;"",RANK(AA298,All_Student_XC),"")</f>
        <v>85</v>
      </c>
      <c r="AC298" s="31" t="str">
        <f>IF(A298&lt;&gt;"",CHOOSE(10-MIN(9,TRUNC((AA298+0.5)/10)),"A","B","C","D","F","F","F","F","F","F"),"")</f>
        <v>B</v>
      </c>
      <c r="AD298" s="31" t="str">
        <f>IF(A298&lt;&gt;"",IF(OR(AA298+0.5&gt;=93,AA298+0.5&lt;60),"",IF(MOD(AA298+0.5,10)&gt;=7,"+",IF(MOD(AA298+0.5,10)&lt;3,"-",""))),"")</f>
        <v>+</v>
      </c>
      <c r="AE298" s="31">
        <f>IF(A298&lt;&gt;"",SUM(W298:X298,$W$8:$X$8)/SUM($W$2:$X$2)*100,"")</f>
        <v>94.03047091412742</v>
      </c>
      <c r="AF298" s="43" t="str">
        <f>IF(A298&lt;&gt;"",CHOOSE(10-MIN(9,TRUNC((AE298+0.5)/10)),"A","B","C","D","F","F","F","F","F","F"),"")</f>
        <v>A</v>
      </c>
      <c r="AG298" s="43" t="str">
        <f>IF(A298&lt;&gt;"",IF(OR(AE298+0.5&gt;=93,AE298+0.5&lt;60),"",IF(MOD(AE298+0.5,10)&gt;=7,"+",IF(MOD(AE298+0.5,10)&lt;3,"-",""))),"")</f>
        <v/>
      </c>
      <c r="AH298" s="35">
        <f>IF(A298&lt;&gt;"",MIN(MAX(AA298,AE298),AA298+$AH$8,AE298+$AH$8),"")</f>
        <v>94.03047091412742</v>
      </c>
      <c r="AI298" s="31" t="str">
        <f>IF(A298&lt;&gt;"",CHOOSE(10-MIN(9,TRUNC((AH298+0.5)/10)),"A","B","C","D","F","F","F","F","F","F"),"")</f>
        <v>A</v>
      </c>
      <c r="AJ298" s="31" t="str">
        <f>IF(A298&lt;&gt;"",IF(OR(AH298+0.5&gt;=93,AH298+0.5&lt;60),"",IF(MOD(AH298+0.5,10)&gt;=7,"+",IF(MOD(AH298+0.5,10)&lt;3,"-",""))),"")</f>
        <v/>
      </c>
      <c r="AK298" s="31" t="b">
        <f>IF(A298&lt;&gt;"",OR(AI298&lt;&gt;AC298,AJ298&lt;&gt;AD298),"")</f>
        <v>1</v>
      </c>
      <c r="AL298" s="81">
        <f>IF(AND(A298&lt;&gt;"",U298&gt;0),SUM(U298,$AL$8)/$AL$2*100,"")</f>
        <v>66.5</v>
      </c>
      <c r="AM298" s="24">
        <f>IF(AND(A298&lt;&gt;"",V298&gt;0),SUM(V298,$AM$8)/$AM$2*100,"")</f>
        <v>95.666666666666671</v>
      </c>
      <c r="AN298" s="24" t="str">
        <f>IF(AND(A298&lt;&gt;"",P298&lt;&gt;0),SUM(P298,$AN$8)/$AN$2*100,"")</f>
        <v/>
      </c>
      <c r="AO298" s="24" t="str">
        <f>IF(AND(A298&lt;&gt;"",Q298&lt;&gt;0),SUM(Q298,$AO$8)/$AO$2*100,"")</f>
        <v/>
      </c>
      <c r="AP298" s="24">
        <f>IF(AND(A298&lt;&gt;"",R298&lt;&gt;0),SUM(R298,$AP$8)/$AP$2*100,"")</f>
        <v>84.002659574468083</v>
      </c>
      <c r="AQ298" s="24" t="str">
        <f>IF(AND(A298&lt;&gt;"",W298&gt;0),SUM(W298,$AQ$8)/$AQ$2*100,"")</f>
        <v/>
      </c>
      <c r="AR298" s="24">
        <f>IF(AND(A298&lt;&gt;"",T298&gt;0),SUM(T298,$AR$8)/$AR$2*100,"")</f>
        <v>94.03047091412742</v>
      </c>
      <c r="AS298" s="24">
        <f>IF(AND(A298&lt;&gt;"",X298&lt;&gt;0),SUM(X298,$AS$8)/$AS$2*100,"")</f>
        <v>94.03047091412742</v>
      </c>
      <c r="AT298" s="86">
        <f>IF(A298&lt;&gt;"",SUM(W298:X298,$AT$8)/$AT$2*100,"")</f>
        <v>94.03047091412742</v>
      </c>
      <c r="AU298" s="24">
        <f>AA298</f>
        <v>89.315235457063707</v>
      </c>
      <c r="AV298" s="24"/>
      <c r="AW298" s="27">
        <f>IF(A298&lt;&gt;"",AE298-AA298,"")</f>
        <v>4.7152354570637129</v>
      </c>
      <c r="AY298" s="27">
        <f>AR298-AP298</f>
        <v>10.027811339659337</v>
      </c>
      <c r="AZ298" s="27">
        <f>ABS(AY298)</f>
        <v>10.027811339659337</v>
      </c>
    </row>
    <row r="299" spans="1:52" s="27" customFormat="1" ht="12.75" customHeight="1" x14ac:dyDescent="0.2">
      <c r="A299" s="10">
        <v>789336</v>
      </c>
      <c r="B299" s="2">
        <v>24</v>
      </c>
      <c r="C299" s="10">
        <v>24</v>
      </c>
      <c r="D299" s="10">
        <v>21</v>
      </c>
      <c r="E299" s="10">
        <v>20</v>
      </c>
      <c r="F299" s="10">
        <v>19</v>
      </c>
      <c r="G299" s="10">
        <v>25</v>
      </c>
      <c r="H299" s="10">
        <v>24</v>
      </c>
      <c r="I299" s="10">
        <v>25</v>
      </c>
      <c r="J299" s="2"/>
      <c r="K299" s="10">
        <v>62</v>
      </c>
      <c r="L299" s="10">
        <v>58</v>
      </c>
      <c r="M299" s="10">
        <v>60</v>
      </c>
      <c r="N299" s="51">
        <v>45</v>
      </c>
      <c r="O299" s="11">
        <v>61</v>
      </c>
      <c r="P299" s="10"/>
      <c r="Q299" s="40"/>
      <c r="R299" s="2">
        <v>106</v>
      </c>
      <c r="S299" s="10">
        <f>IF(T299="",R299,MAX((R299+$R$8)/$R$2,(T299+$T$8)/$T$2)*$R$2-$R$8)</f>
        <v>109.05562267931867</v>
      </c>
      <c r="T299" s="12">
        <v>161</v>
      </c>
      <c r="U299" s="68">
        <f>IF(A299&lt;&gt;"",SUM(B299:I299),"")</f>
        <v>182</v>
      </c>
      <c r="V299" s="10">
        <f>IF(A299&lt;&gt;"",SUM(J299:O299),"")</f>
        <v>286</v>
      </c>
      <c r="W299" s="10">
        <f>IF(A299&lt;&gt;"",SUM(P299:Q299),"")</f>
        <v>0</v>
      </c>
      <c r="X299" s="10">
        <f>IF(A299&lt;&gt;"",SUM(S299:T299),"")</f>
        <v>270.05562267931867</v>
      </c>
      <c r="Y299" s="12">
        <v>3</v>
      </c>
      <c r="Z299" s="12">
        <f>IF(A299&lt;&gt;"",SUM(U299:Y299),"")</f>
        <v>741.05562267931873</v>
      </c>
      <c r="AA299" s="27">
        <f>IF(A299&lt;&gt;"",(Z299+Normalize_To_Add)/(Point_Total_So_Far)*100,"")</f>
        <v>81.615235457063719</v>
      </c>
      <c r="AB299" s="10">
        <f>IF(A299&lt;&gt;"",RANK(AA299,All_Student_XC),"")</f>
        <v>188</v>
      </c>
      <c r="AC299" s="31" t="str">
        <f>IF(A299&lt;&gt;"",CHOOSE(10-MIN(9,TRUNC((AA299+0.5)/10)),"A","B","C","D","F","F","F","F","F","F"),"")</f>
        <v>B</v>
      </c>
      <c r="AD299" s="31" t="str">
        <f>IF(A299&lt;&gt;"",IF(OR(AA299+0.5&gt;=93,AA299+0.5&lt;60),"",IF(MOD(AA299+0.5,10)&gt;=7,"+",IF(MOD(AA299+0.5,10)&lt;3,"-",""))),"")</f>
        <v>-</v>
      </c>
      <c r="AE299" s="31">
        <f>IF(A299&lt;&gt;"",SUM(W299:X299,$W$8:$X$8)/SUM($W$2:$X$2)*100,"")</f>
        <v>69.03047091412742</v>
      </c>
      <c r="AF299" s="31" t="str">
        <f>IF(A299&lt;&gt;"",CHOOSE(10-MIN(9,TRUNC((AE299+0.5)/10)),"A","B","C","D","F","F","F","F","F","F"),"")</f>
        <v>D</v>
      </c>
      <c r="AG299" s="31" t="str">
        <f>IF(A299&lt;&gt;"",IF(OR(AE299+0.5&gt;=93,AE299+0.5&lt;60),"",IF(MOD(AE299+0.5,10)&gt;=7,"+",IF(MOD(AE299+0.5,10)&lt;3,"-",""))),"")</f>
        <v>+</v>
      </c>
      <c r="AH299" s="35">
        <f>IF(A299&lt;&gt;"",MIN(MAX(AA299,AE299),AA299+$AH$8,AE299+$AH$8),"")</f>
        <v>81.615235457063719</v>
      </c>
      <c r="AI299" s="31" t="str">
        <f>IF(A299&lt;&gt;"",CHOOSE(10-MIN(9,TRUNC((AH299+0.5)/10)),"A","B","C","D","F","F","F","F","F","F"),"")</f>
        <v>B</v>
      </c>
      <c r="AJ299" s="31" t="str">
        <f>IF(A299&lt;&gt;"",IF(OR(AH299+0.5&gt;=93,AH299+0.5&lt;60),"",IF(MOD(AH299+0.5,10)&gt;=7,"+",IF(MOD(AH299+0.5,10)&lt;3,"-",""))),"")</f>
        <v>-</v>
      </c>
      <c r="AK299" s="31" t="b">
        <f>IF(A299&lt;&gt;"",OR(AI299&lt;&gt;AC299,AJ299&lt;&gt;AD299),"")</f>
        <v>0</v>
      </c>
      <c r="AL299" s="81">
        <f>IF(AND(A299&lt;&gt;"",U299&gt;0),SUM(U299,$AL$8)/$AL$2*100,"")</f>
        <v>91</v>
      </c>
      <c r="AM299" s="24">
        <f>IF(AND(A299&lt;&gt;"",V299&gt;0),SUM(V299,$AM$8)/$AM$2*100,"")</f>
        <v>95.333333333333343</v>
      </c>
      <c r="AN299" s="24" t="str">
        <f>IF(AND(A299&lt;&gt;"",P299&lt;&gt;0),SUM(P299,$AN$8)/$AN$2*100,"")</f>
        <v/>
      </c>
      <c r="AO299" s="24" t="str">
        <f>IF(AND(A299&lt;&gt;"",Q299&lt;&gt;0),SUM(Q299,$AO$8)/$AO$2*100,"")</f>
        <v/>
      </c>
      <c r="AP299" s="24">
        <f>IF(AND(A299&lt;&gt;"",R299&lt;&gt;0),SUM(R299,$AP$8)/$AP$2*100,"")</f>
        <v>67.502659574468083</v>
      </c>
      <c r="AQ299" s="24" t="str">
        <f>IF(AND(A299&lt;&gt;"",W299&gt;0),SUM(W299,$AQ$8)/$AQ$2*100,"")</f>
        <v/>
      </c>
      <c r="AR299" s="24">
        <f>IF(AND(A299&lt;&gt;"",T299&gt;0),SUM(T299,$AR$8)/$AR$2*100,"")</f>
        <v>69.03047091412742</v>
      </c>
      <c r="AS299" s="24">
        <f>IF(AND(A299&lt;&gt;"",X299&lt;&gt;0),SUM(X299,$AS$8)/$AS$2*100,"")</f>
        <v>69.03047091412742</v>
      </c>
      <c r="AT299" s="86">
        <f>IF(A299&lt;&gt;"",SUM(W299:X299,$AT$8)/$AT$2*100,"")</f>
        <v>69.03047091412742</v>
      </c>
      <c r="AU299" s="24">
        <f>AA299</f>
        <v>81.615235457063719</v>
      </c>
      <c r="AV299" s="24"/>
      <c r="AW299" s="27">
        <f>IF(A299&lt;&gt;"",AE299-AA299,"")</f>
        <v>-12.584764542936298</v>
      </c>
      <c r="AY299" s="27">
        <f>AR299-AP299</f>
        <v>1.5278113396593369</v>
      </c>
      <c r="AZ299" s="27">
        <f>ABS(AY299)</f>
        <v>1.5278113396593369</v>
      </c>
    </row>
    <row r="300" spans="1:52" s="27" customFormat="1" ht="12.75" customHeight="1" x14ac:dyDescent="0.2">
      <c r="A300" s="50">
        <v>793740</v>
      </c>
      <c r="B300" s="2">
        <v>25</v>
      </c>
      <c r="C300" s="50">
        <v>22</v>
      </c>
      <c r="D300" s="10">
        <v>18</v>
      </c>
      <c r="E300" s="10">
        <v>25</v>
      </c>
      <c r="F300" s="10">
        <v>16</v>
      </c>
      <c r="G300" s="10">
        <v>25</v>
      </c>
      <c r="H300" s="10">
        <v>20</v>
      </c>
      <c r="I300" s="10">
        <v>23</v>
      </c>
      <c r="J300" s="2"/>
      <c r="K300" s="10">
        <v>47</v>
      </c>
      <c r="L300" s="10">
        <v>16</v>
      </c>
      <c r="M300" s="10">
        <v>13</v>
      </c>
      <c r="N300" s="51">
        <v>8</v>
      </c>
      <c r="O300" s="11">
        <v>55</v>
      </c>
      <c r="P300" s="10"/>
      <c r="Q300" s="40"/>
      <c r="R300" s="2">
        <v>120</v>
      </c>
      <c r="S300" s="10">
        <f>IF(T300="",R300,MAX((R300+$R$8)/$R$2,(T300+$T$8)/$T$2)*$R$2-$R$8)</f>
        <v>120</v>
      </c>
      <c r="T300" s="62">
        <v>137</v>
      </c>
      <c r="U300" s="2">
        <f>IF(A300&lt;&gt;"",SUM(B300:I300),"")</f>
        <v>174</v>
      </c>
      <c r="V300" s="10">
        <f>IF(A300&lt;&gt;"",SUM(J300:O300),"")</f>
        <v>139</v>
      </c>
      <c r="W300" s="10">
        <f>IF(A300&lt;&gt;"",SUM(P300:Q300),"")</f>
        <v>0</v>
      </c>
      <c r="X300" s="10">
        <f>IF(A300&lt;&gt;"",SUM(S300:T300),"")</f>
        <v>257</v>
      </c>
      <c r="Y300" s="12" t="s">
        <v>69</v>
      </c>
      <c r="Z300" s="12">
        <f>IF(A300&lt;&gt;"",SUM(U300:Y300),"")</f>
        <v>570</v>
      </c>
      <c r="AA300" s="27">
        <f>IF(A300&lt;&gt;"",(Z300+Normalize_To_Add)/(Point_Total_So_Far)*100,"")</f>
        <v>64.509673189131846</v>
      </c>
      <c r="AB300" s="10">
        <f>IF(A300&lt;&gt;"",RANK(AA300,All_Student_XC),"")</f>
        <v>337</v>
      </c>
      <c r="AC300" s="31" t="str">
        <f>IF(A300&lt;&gt;"",CHOOSE(10-MIN(9,TRUNC((AA300+0.5)/10)),"A","B","C","D","F","F","F","F","F","F"),"")</f>
        <v>D</v>
      </c>
      <c r="AD300" s="31" t="str">
        <f>IF(A300&lt;&gt;"",IF(OR(AA300+0.5&gt;=93,AA300+0.5&lt;60),"",IF(MOD(AA300+0.5,10)&gt;=7,"+",IF(MOD(AA300+0.5,10)&lt;3,"-",""))),"")</f>
        <v/>
      </c>
      <c r="AE300" s="31">
        <f>IF(A300&lt;&gt;"",SUM(W300:X300,$W$8:$X$8)/SUM($W$2:$X$2)*100,"")</f>
        <v>66.419346378263683</v>
      </c>
      <c r="AF300" s="43" t="str">
        <f>IF(A300&lt;&gt;"",CHOOSE(10-MIN(9,TRUNC((AE300+0.5)/10)),"A","B","C","D","F","F","F","F","F","F"),"")</f>
        <v>D</v>
      </c>
      <c r="AG300" s="43" t="str">
        <f>IF(A300&lt;&gt;"",IF(OR(AE300+0.5&gt;=93,AE300+0.5&lt;60),"",IF(MOD(AE300+0.5,10)&gt;=7,"+",IF(MOD(AE300+0.5,10)&lt;3,"-",""))),"")</f>
        <v/>
      </c>
      <c r="AH300" s="35">
        <f>IF(A300&lt;&gt;"",MIN(MAX(AA300,AE300),AA300+$AH$8,AE300+$AH$8),"")</f>
        <v>66.419346378263683</v>
      </c>
      <c r="AI300" s="31" t="str">
        <f>IF(A300&lt;&gt;"",CHOOSE(10-MIN(9,TRUNC((AH300+0.5)/10)),"A","B","C","D","F","F","F","F","F","F"),"")</f>
        <v>D</v>
      </c>
      <c r="AJ300" s="31" t="str">
        <f>IF(A300&lt;&gt;"",IF(OR(AH300+0.5&gt;=93,AH300+0.5&lt;60),"",IF(MOD(AH300+0.5,10)&gt;=7,"+",IF(MOD(AH300+0.5,10)&lt;3,"-",""))),"")</f>
        <v/>
      </c>
      <c r="AK300" s="31" t="b">
        <f>IF(A300&lt;&gt;"",OR(AI300&lt;&gt;AC300,AJ300&lt;&gt;AD300),"")</f>
        <v>0</v>
      </c>
      <c r="AL300" s="81">
        <f>IF(AND(A300&lt;&gt;"",U300&gt;0),SUM(U300,$AL$8)/$AL$2*100,"")</f>
        <v>87</v>
      </c>
      <c r="AM300" s="24">
        <f>IF(AND(A300&lt;&gt;"",V300&gt;0),SUM(V300,$AM$8)/$AM$2*100,"")</f>
        <v>46.333333333333329</v>
      </c>
      <c r="AN300" s="24" t="str">
        <f>IF(AND(A300&lt;&gt;"",P300&lt;&gt;0),SUM(P300,$AN$8)/$AN$2*100,"")</f>
        <v/>
      </c>
      <c r="AO300" s="24" t="str">
        <f>IF(AND(A300&lt;&gt;"",Q300&lt;&gt;0),SUM(Q300,$AO$8)/$AO$2*100,"")</f>
        <v/>
      </c>
      <c r="AP300" s="24">
        <f>IF(AND(A300&lt;&gt;"",R300&lt;&gt;0),SUM(R300,$AP$8)/$AP$2*100,"")</f>
        <v>74.502659574468083</v>
      </c>
      <c r="AQ300" s="24" t="str">
        <f>IF(AND(A300&lt;&gt;"",W300&gt;0),SUM(W300,$AQ$8)/$AQ$2*100,"")</f>
        <v/>
      </c>
      <c r="AR300" s="24">
        <f>IF(AND(A300&lt;&gt;"",T300&gt;0),SUM(T300,$AR$8)/$AR$2*100,"")</f>
        <v>61.03047091412742</v>
      </c>
      <c r="AS300" s="24">
        <f>IF(AND(A300&lt;&gt;"",X300&lt;&gt;0),SUM(X300,$AS$8)/$AS$2*100,"")</f>
        <v>66.419346378263683</v>
      </c>
      <c r="AT300" s="86">
        <f>IF(A300&lt;&gt;"",SUM(W300:X300,$AT$8)/$AT$2*100,"")</f>
        <v>66.419346378263683</v>
      </c>
      <c r="AU300" s="24">
        <f>AA300</f>
        <v>64.509673189131846</v>
      </c>
      <c r="AV300" s="24"/>
      <c r="AW300" s="27">
        <f>IF(A300&lt;&gt;"",AE300-AA300,"")</f>
        <v>1.909673189131837</v>
      </c>
      <c r="AY300" s="27">
        <f>AR300-AP300</f>
        <v>-13.472188660340663</v>
      </c>
      <c r="AZ300" s="27">
        <f>ABS(AY300)</f>
        <v>13.472188660340663</v>
      </c>
    </row>
    <row r="301" spans="1:52" s="27" customFormat="1" ht="12.75" customHeight="1" x14ac:dyDescent="0.2">
      <c r="A301" s="50">
        <v>794416</v>
      </c>
      <c r="B301" s="2">
        <v>23</v>
      </c>
      <c r="C301" s="50">
        <v>24</v>
      </c>
      <c r="D301" s="10">
        <v>21</v>
      </c>
      <c r="E301" s="10">
        <v>22</v>
      </c>
      <c r="F301" s="10">
        <v>22</v>
      </c>
      <c r="G301" s="10">
        <v>25</v>
      </c>
      <c r="H301" s="10">
        <v>14</v>
      </c>
      <c r="I301" s="10">
        <v>24</v>
      </c>
      <c r="J301" s="2"/>
      <c r="K301" s="10">
        <v>47</v>
      </c>
      <c r="L301" s="10">
        <v>62</v>
      </c>
      <c r="M301" s="10">
        <v>59</v>
      </c>
      <c r="N301" s="51">
        <v>52</v>
      </c>
      <c r="O301" s="11">
        <v>61</v>
      </c>
      <c r="P301" s="10"/>
      <c r="Q301" s="40"/>
      <c r="R301" s="2">
        <v>117</v>
      </c>
      <c r="S301" s="10">
        <f>IF(T301="",R301,MAX((R301+$R$8)/$R$2,(T301+$T$8)/$T$2)*$R$2-$R$8)</f>
        <v>137.05562267931867</v>
      </c>
      <c r="T301" s="62">
        <v>203</v>
      </c>
      <c r="U301" s="2">
        <f>IF(A301&lt;&gt;"",SUM(B301:I301),"")</f>
        <v>175</v>
      </c>
      <c r="V301" s="10">
        <f>IF(A301&lt;&gt;"",SUM(J301:O301),"")</f>
        <v>281</v>
      </c>
      <c r="W301" s="10">
        <f>IF(A301&lt;&gt;"",SUM(P301:Q301),"")</f>
        <v>0</v>
      </c>
      <c r="X301" s="10">
        <f>IF(A301&lt;&gt;"",SUM(S301:T301),"")</f>
        <v>340.05562267931867</v>
      </c>
      <c r="Y301" s="12">
        <v>3</v>
      </c>
      <c r="Z301" s="12">
        <f>IF(A301&lt;&gt;"",SUM(U301:Y301),"")</f>
        <v>799.05562267931873</v>
      </c>
      <c r="AA301" s="27">
        <f>IF(A301&lt;&gt;"",(Z301+Normalize_To_Add)/(Point_Total_So_Far)*100,"")</f>
        <v>87.415235457063716</v>
      </c>
      <c r="AB301" s="10">
        <f>IF(A301&lt;&gt;"",RANK(AA301,All_Student_XC),"")</f>
        <v>118</v>
      </c>
      <c r="AC301" s="31" t="str">
        <f>IF(A301&lt;&gt;"",CHOOSE(10-MIN(9,TRUNC((AA301+0.5)/10)),"A","B","C","D","F","F","F","F","F","F"),"")</f>
        <v>B</v>
      </c>
      <c r="AD301" s="31" t="str">
        <f>IF(A301&lt;&gt;"",IF(OR(AA301+0.5&gt;=93,AA301+0.5&lt;60),"",IF(MOD(AA301+0.5,10)&gt;=7,"+",IF(MOD(AA301+0.5,10)&lt;3,"-",""))),"")</f>
        <v>+</v>
      </c>
      <c r="AE301" s="31">
        <f>IF(A301&lt;&gt;"",SUM(W301:X301,$W$8:$X$8)/SUM($W$2:$X$2)*100,"")</f>
        <v>83.03047091412742</v>
      </c>
      <c r="AF301" s="43" t="str">
        <f>IF(A301&lt;&gt;"",CHOOSE(10-MIN(9,TRUNC((AE301+0.5)/10)),"A","B","C","D","F","F","F","F","F","F"),"")</f>
        <v>B</v>
      </c>
      <c r="AG301" s="43" t="str">
        <f>IF(A301&lt;&gt;"",IF(OR(AE301+0.5&gt;=93,AE301+0.5&lt;60),"",IF(MOD(AE301+0.5,10)&gt;=7,"+",IF(MOD(AE301+0.5,10)&lt;3,"-",""))),"")</f>
        <v/>
      </c>
      <c r="AH301" s="35">
        <f>IF(A301&lt;&gt;"",MIN(MAX(AA301,AE301),AA301+$AH$8,AE301+$AH$8),"")</f>
        <v>87.415235457063716</v>
      </c>
      <c r="AI301" s="31" t="str">
        <f>IF(A301&lt;&gt;"",CHOOSE(10-MIN(9,TRUNC((AH301+0.5)/10)),"A","B","C","D","F","F","F","F","F","F"),"")</f>
        <v>B</v>
      </c>
      <c r="AJ301" s="31" t="str">
        <f>IF(A301&lt;&gt;"",IF(OR(AH301+0.5&gt;=93,AH301+0.5&lt;60),"",IF(MOD(AH301+0.5,10)&gt;=7,"+",IF(MOD(AH301+0.5,10)&lt;3,"-",""))),"")</f>
        <v>+</v>
      </c>
      <c r="AK301" s="31" t="b">
        <f>IF(A301&lt;&gt;"",OR(AI301&lt;&gt;AC301,AJ301&lt;&gt;AD301),"")</f>
        <v>0</v>
      </c>
      <c r="AL301" s="81">
        <f>IF(AND(A301&lt;&gt;"",U301&gt;0),SUM(U301,$AL$8)/$AL$2*100,"")</f>
        <v>87.5</v>
      </c>
      <c r="AM301" s="24">
        <f>IF(AND(A301&lt;&gt;"",V301&gt;0),SUM(V301,$AM$8)/$AM$2*100,"")</f>
        <v>93.666666666666671</v>
      </c>
      <c r="AN301" s="24" t="str">
        <f>IF(AND(A301&lt;&gt;"",P301&lt;&gt;0),SUM(P301,$AN$8)/$AN$2*100,"")</f>
        <v/>
      </c>
      <c r="AO301" s="24" t="str">
        <f>IF(AND(A301&lt;&gt;"",Q301&lt;&gt;0),SUM(Q301,$AO$8)/$AO$2*100,"")</f>
        <v/>
      </c>
      <c r="AP301" s="24">
        <f>IF(AND(A301&lt;&gt;"",R301&lt;&gt;0),SUM(R301,$AP$8)/$AP$2*100,"")</f>
        <v>73.002659574468083</v>
      </c>
      <c r="AQ301" s="24" t="str">
        <f>IF(AND(A301&lt;&gt;"",W301&gt;0),SUM(W301,$AQ$8)/$AQ$2*100,"")</f>
        <v/>
      </c>
      <c r="AR301" s="24">
        <f>IF(AND(A301&lt;&gt;"",T301&gt;0),SUM(T301,$AR$8)/$AR$2*100,"")</f>
        <v>83.03047091412742</v>
      </c>
      <c r="AS301" s="24">
        <f>IF(AND(A301&lt;&gt;"",X301&lt;&gt;0),SUM(X301,$AS$8)/$AS$2*100,"")</f>
        <v>83.03047091412742</v>
      </c>
      <c r="AT301" s="86">
        <f>IF(A301&lt;&gt;"",SUM(W301:X301,$AT$8)/$AT$2*100,"")</f>
        <v>83.03047091412742</v>
      </c>
      <c r="AU301" s="24">
        <f>AA301</f>
        <v>87.415235457063716</v>
      </c>
      <c r="AV301" s="24"/>
      <c r="AW301" s="27">
        <f>IF(A301&lt;&gt;"",AE301-AA301,"")</f>
        <v>-4.3847645429362956</v>
      </c>
      <c r="AY301" s="27">
        <f>AR301-AP301</f>
        <v>10.027811339659337</v>
      </c>
      <c r="AZ301" s="27">
        <f>ABS(AY301)</f>
        <v>10.027811339659337</v>
      </c>
    </row>
    <row r="302" spans="1:52" s="27" customFormat="1" ht="12.75" customHeight="1" x14ac:dyDescent="0.2">
      <c r="A302" s="10">
        <v>799660</v>
      </c>
      <c r="B302" s="2">
        <v>25</v>
      </c>
      <c r="C302" s="10">
        <v>25</v>
      </c>
      <c r="D302" s="10">
        <v>24</v>
      </c>
      <c r="E302" s="10">
        <v>22</v>
      </c>
      <c r="F302" s="10">
        <v>16</v>
      </c>
      <c r="G302" s="10">
        <v>25</v>
      </c>
      <c r="H302" s="10">
        <v>24</v>
      </c>
      <c r="I302" s="10">
        <v>24</v>
      </c>
      <c r="J302" s="2"/>
      <c r="K302" s="10">
        <v>60</v>
      </c>
      <c r="L302" s="10">
        <v>60</v>
      </c>
      <c r="M302" s="10">
        <v>59</v>
      </c>
      <c r="N302" s="51">
        <v>55</v>
      </c>
      <c r="O302" s="11">
        <v>61</v>
      </c>
      <c r="P302" s="10"/>
      <c r="Q302" s="40"/>
      <c r="R302" s="2">
        <v>143</v>
      </c>
      <c r="S302" s="10">
        <f>IF(T302="",R302,MAX((R302+$R$8)/$R$2,(T302+$T$8)/$T$2)*$R$2-$R$8)</f>
        <v>155.05562267931867</v>
      </c>
      <c r="T302" s="12">
        <v>230</v>
      </c>
      <c r="U302" s="1">
        <f>IF(A302&lt;&gt;"",SUM(B302:I302),"")</f>
        <v>185</v>
      </c>
      <c r="V302" s="10">
        <f>IF(A302&lt;&gt;"",SUM(J302:O302),"")</f>
        <v>295</v>
      </c>
      <c r="W302" s="10">
        <f>IF(A302&lt;&gt;"",SUM(P302:Q302),"")</f>
        <v>0</v>
      </c>
      <c r="X302" s="10">
        <f>IF(A302&lt;&gt;"",SUM(S302:T302),"")</f>
        <v>385.05562267931867</v>
      </c>
      <c r="Y302" s="12">
        <v>3</v>
      </c>
      <c r="Z302" s="12">
        <f>IF(A302&lt;&gt;"",SUM(U302:Y302),"")</f>
        <v>868.05562267931873</v>
      </c>
      <c r="AA302" s="27">
        <f>IF(A302&lt;&gt;"",(Z302+Normalize_To_Add)/(Point_Total_So_Far)*100,"")</f>
        <v>94.315235457063721</v>
      </c>
      <c r="AB302" s="10">
        <f>IF(A302&lt;&gt;"",RANK(AA302,All_Student_XC),"")</f>
        <v>38</v>
      </c>
      <c r="AC302" s="31" t="str">
        <f>IF(A302&lt;&gt;"",CHOOSE(10-MIN(9,TRUNC((AA302+0.5)/10)),"A","B","C","D","F","F","F","F","F","F"),"")</f>
        <v>A</v>
      </c>
      <c r="AD302" s="31" t="str">
        <f>IF(A302&lt;&gt;"",IF(OR(AA302+0.5&gt;=93,AA302+0.5&lt;60),"",IF(MOD(AA302+0.5,10)&gt;=7,"+",IF(MOD(AA302+0.5,10)&lt;3,"-",""))),"")</f>
        <v/>
      </c>
      <c r="AE302" s="31">
        <f>IF(A302&lt;&gt;"",SUM(W302:X302,$W$8:$X$8)/SUM($W$2:$X$2)*100,"")</f>
        <v>92.03047091412742</v>
      </c>
      <c r="AF302" s="31" t="str">
        <f>IF(A302&lt;&gt;"",CHOOSE(10-MIN(9,TRUNC((AE302+0.5)/10)),"A","B","C","D","F","F","F","F","F","F"),"")</f>
        <v>A</v>
      </c>
      <c r="AG302" s="31" t="str">
        <f>IF(A302&lt;&gt;"",IF(OR(AE302+0.5&gt;=93,AE302+0.5&lt;60),"",IF(MOD(AE302+0.5,10)&gt;=7,"+",IF(MOD(AE302+0.5,10)&lt;3,"-",""))),"")</f>
        <v>-</v>
      </c>
      <c r="AH302" s="35">
        <f>IF(A302&lt;&gt;"",MIN(MAX(AA302,AE302),AA302+$AH$8,AE302+$AH$8),"")</f>
        <v>94.315235457063721</v>
      </c>
      <c r="AI302" s="31" t="str">
        <f>IF(A302&lt;&gt;"",CHOOSE(10-MIN(9,TRUNC((AH302+0.5)/10)),"A","B","C","D","F","F","F","F","F","F"),"")</f>
        <v>A</v>
      </c>
      <c r="AJ302" s="31" t="str">
        <f>IF(A302&lt;&gt;"",IF(OR(AH302+0.5&gt;=93,AH302+0.5&lt;60),"",IF(MOD(AH302+0.5,10)&gt;=7,"+",IF(MOD(AH302+0.5,10)&lt;3,"-",""))),"")</f>
        <v/>
      </c>
      <c r="AK302" s="31" t="b">
        <f>IF(A302&lt;&gt;"",OR(AI302&lt;&gt;AC302,AJ302&lt;&gt;AD302),"")</f>
        <v>0</v>
      </c>
      <c r="AL302" s="81">
        <f>IF(AND(A302&lt;&gt;"",U302&gt;0),SUM(U302,$AL$8)/$AL$2*100,"")</f>
        <v>92.5</v>
      </c>
      <c r="AM302" s="24">
        <f>IF(AND(A302&lt;&gt;"",V302&gt;0),SUM(V302,$AM$8)/$AM$2*100,"")</f>
        <v>98.333333333333329</v>
      </c>
      <c r="AN302" s="24" t="str">
        <f>IF(AND(A302&lt;&gt;"",P302&lt;&gt;0),SUM(P302,$AN$8)/$AN$2*100,"")</f>
        <v/>
      </c>
      <c r="AO302" s="24" t="str">
        <f>IF(AND(A302&lt;&gt;"",Q302&lt;&gt;0),SUM(Q302,$AO$8)/$AO$2*100,"")</f>
        <v/>
      </c>
      <c r="AP302" s="24">
        <f>IF(AND(A302&lt;&gt;"",R302&lt;&gt;0),SUM(R302,$AP$8)/$AP$2*100,"")</f>
        <v>86.002659574468083</v>
      </c>
      <c r="AQ302" s="24" t="str">
        <f>IF(AND(A302&lt;&gt;"",W302&gt;0),SUM(W302,$AQ$8)/$AQ$2*100,"")</f>
        <v/>
      </c>
      <c r="AR302" s="24">
        <f>IF(AND(A302&lt;&gt;"",T302&gt;0),SUM(T302,$AR$8)/$AR$2*100,"")</f>
        <v>92.03047091412742</v>
      </c>
      <c r="AS302" s="24">
        <f>IF(AND(A302&lt;&gt;"",X302&lt;&gt;0),SUM(X302,$AS$8)/$AS$2*100,"")</f>
        <v>92.03047091412742</v>
      </c>
      <c r="AT302" s="86">
        <f>IF(A302&lt;&gt;"",SUM(W302:X302,$AT$8)/$AT$2*100,"")</f>
        <v>92.03047091412742</v>
      </c>
      <c r="AU302" s="24">
        <f>AA302</f>
        <v>94.315235457063721</v>
      </c>
      <c r="AV302" s="24"/>
      <c r="AW302" s="27">
        <f>IF(A302&lt;&gt;"",AE302-AA302,"")</f>
        <v>-2.2847645429363013</v>
      </c>
      <c r="AY302" s="27">
        <f>AR302-AP302</f>
        <v>6.0278113396593369</v>
      </c>
      <c r="AZ302" s="27">
        <f>ABS(AY302)</f>
        <v>6.0278113396593369</v>
      </c>
    </row>
    <row r="303" spans="1:52" s="27" customFormat="1" ht="12.75" customHeight="1" x14ac:dyDescent="0.2">
      <c r="A303" s="10">
        <v>801122</v>
      </c>
      <c r="B303" s="2">
        <v>25</v>
      </c>
      <c r="C303" s="10">
        <v>23</v>
      </c>
      <c r="D303" s="10">
        <v>21</v>
      </c>
      <c r="E303" s="10">
        <v>14</v>
      </c>
      <c r="F303" s="10">
        <v>21</v>
      </c>
      <c r="G303" s="10">
        <v>25</v>
      </c>
      <c r="H303" s="10">
        <v>15</v>
      </c>
      <c r="I303" s="10">
        <v>21</v>
      </c>
      <c r="J303" s="2"/>
      <c r="K303" s="10">
        <v>62</v>
      </c>
      <c r="L303" s="10">
        <v>48</v>
      </c>
      <c r="M303" s="10">
        <v>58</v>
      </c>
      <c r="N303" s="51">
        <v>54</v>
      </c>
      <c r="O303" s="11">
        <v>57</v>
      </c>
      <c r="P303" s="10"/>
      <c r="Q303" s="40"/>
      <c r="R303" s="2">
        <v>95</v>
      </c>
      <c r="S303" s="10">
        <f>IF(T303="",R303,MAX((R303+$R$8)/$R$2,(T303+$T$8)/$T$2)*$R$2-$R$8)</f>
        <v>131.05562267931867</v>
      </c>
      <c r="T303" s="12">
        <v>194</v>
      </c>
      <c r="U303" s="68">
        <f>IF(A303&lt;&gt;"",SUM(B303:I303),"")</f>
        <v>165</v>
      </c>
      <c r="V303" s="10">
        <f>IF(A303&lt;&gt;"",SUM(J303:O303),"")</f>
        <v>279</v>
      </c>
      <c r="W303" s="10">
        <f>IF(A303&lt;&gt;"",SUM(P303:Q303),"")</f>
        <v>0</v>
      </c>
      <c r="X303" s="10">
        <f>IF(A303&lt;&gt;"",SUM(S303:T303),"")</f>
        <v>325.05562267931867</v>
      </c>
      <c r="Y303" s="12">
        <v>3</v>
      </c>
      <c r="Z303" s="12">
        <f>IF(A303&lt;&gt;"",SUM(U303:Y303),"")</f>
        <v>772.05562267931873</v>
      </c>
      <c r="AA303" s="27">
        <f>IF(A303&lt;&gt;"",(Z303+Normalize_To_Add)/(Point_Total_So_Far)*100,"")</f>
        <v>84.715235457063727</v>
      </c>
      <c r="AB303" s="10">
        <f>IF(A303&lt;&gt;"",RANK(AA303,All_Student_XC),"")</f>
        <v>163</v>
      </c>
      <c r="AC303" s="31" t="str">
        <f>IF(A303&lt;&gt;"",CHOOSE(10-MIN(9,TRUNC((AA303+0.5)/10)),"A","B","C","D","F","F","F","F","F","F"),"")</f>
        <v>B</v>
      </c>
      <c r="AD303" s="31" t="str">
        <f>IF(A303&lt;&gt;"",IF(OR(AA303+0.5&gt;=93,AA303+0.5&lt;60),"",IF(MOD(AA303+0.5,10)&gt;=7,"+",IF(MOD(AA303+0.5,10)&lt;3,"-",""))),"")</f>
        <v/>
      </c>
      <c r="AE303" s="31">
        <f>IF(A303&lt;&gt;"",SUM(W303:X303,$W$8:$X$8)/SUM($W$2:$X$2)*100,"")</f>
        <v>80.03047091412742</v>
      </c>
      <c r="AF303" s="31" t="str">
        <f>IF(A303&lt;&gt;"",CHOOSE(10-MIN(9,TRUNC((AE303+0.5)/10)),"A","B","C","D","F","F","F","F","F","F"),"")</f>
        <v>B</v>
      </c>
      <c r="AG303" s="31" t="str">
        <f>IF(A303&lt;&gt;"",IF(OR(AE303+0.5&gt;=93,AE303+0.5&lt;60),"",IF(MOD(AE303+0.5,10)&gt;=7,"+",IF(MOD(AE303+0.5,10)&lt;3,"-",""))),"")</f>
        <v>-</v>
      </c>
      <c r="AH303" s="35">
        <f>IF(A303&lt;&gt;"",MIN(MAX(AA303,AE303),AA303+$AH$8,AE303+$AH$8),"")</f>
        <v>84.715235457063727</v>
      </c>
      <c r="AI303" s="31" t="str">
        <f>IF(A303&lt;&gt;"",CHOOSE(10-MIN(9,TRUNC((AH303+0.5)/10)),"A","B","C","D","F","F","F","F","F","F"),"")</f>
        <v>B</v>
      </c>
      <c r="AJ303" s="31" t="str">
        <f>IF(A303&lt;&gt;"",IF(OR(AH303+0.5&gt;=93,AH303+0.5&lt;60),"",IF(MOD(AH303+0.5,10)&gt;=7,"+",IF(MOD(AH303+0.5,10)&lt;3,"-",""))),"")</f>
        <v/>
      </c>
      <c r="AK303" s="31" t="b">
        <f>IF(A303&lt;&gt;"",OR(AI303&lt;&gt;AC303,AJ303&lt;&gt;AD303),"")</f>
        <v>0</v>
      </c>
      <c r="AL303" s="81">
        <f>IF(AND(A303&lt;&gt;"",U303&gt;0),SUM(U303,$AL$8)/$AL$2*100,"")</f>
        <v>82.5</v>
      </c>
      <c r="AM303" s="24">
        <f>IF(AND(A303&lt;&gt;"",V303&gt;0),SUM(V303,$AM$8)/$AM$2*100,"")</f>
        <v>93</v>
      </c>
      <c r="AN303" s="24" t="str">
        <f>IF(AND(A303&lt;&gt;"",P303&lt;&gt;0),SUM(P303,$AN$8)/$AN$2*100,"")</f>
        <v/>
      </c>
      <c r="AO303" s="24" t="str">
        <f>IF(AND(A303&lt;&gt;"",Q303&lt;&gt;0),SUM(Q303,$AO$8)/$AO$2*100,"")</f>
        <v/>
      </c>
      <c r="AP303" s="24">
        <f>IF(AND(A303&lt;&gt;"",R303&lt;&gt;0),SUM(R303,$AP$8)/$AP$2*100,"")</f>
        <v>62.00265957446809</v>
      </c>
      <c r="AQ303" s="24" t="str">
        <f>IF(AND(A303&lt;&gt;"",W303&gt;0),SUM(W303,$AQ$8)/$AQ$2*100,"")</f>
        <v/>
      </c>
      <c r="AR303" s="24">
        <f>IF(AND(A303&lt;&gt;"",T303&gt;0),SUM(T303,$AR$8)/$AR$2*100,"")</f>
        <v>80.03047091412742</v>
      </c>
      <c r="AS303" s="24">
        <f>IF(AND(A303&lt;&gt;"",X303&lt;&gt;0),SUM(X303,$AS$8)/$AS$2*100,"")</f>
        <v>80.03047091412742</v>
      </c>
      <c r="AT303" s="86">
        <f>IF(A303&lt;&gt;"",SUM(W303:X303,$AT$8)/$AT$2*100,"")</f>
        <v>80.03047091412742</v>
      </c>
      <c r="AU303" s="24">
        <f>AA303</f>
        <v>84.715235457063727</v>
      </c>
      <c r="AV303" s="24"/>
      <c r="AW303" s="27">
        <f>IF(A303&lt;&gt;"",AE303-AA303,"")</f>
        <v>-4.684764542936307</v>
      </c>
      <c r="AY303" s="27">
        <f>AR303-AP303</f>
        <v>18.02781133965933</v>
      </c>
      <c r="AZ303" s="27">
        <f>ABS(AY303)</f>
        <v>18.02781133965933</v>
      </c>
    </row>
    <row r="304" spans="1:52" s="27" customFormat="1" ht="12.75" customHeight="1" x14ac:dyDescent="0.2">
      <c r="A304" s="10">
        <v>803504</v>
      </c>
      <c r="B304" s="2">
        <v>5</v>
      </c>
      <c r="C304" s="10">
        <v>24</v>
      </c>
      <c r="D304" s="10">
        <v>24</v>
      </c>
      <c r="E304" s="10">
        <v>22</v>
      </c>
      <c r="F304" s="10">
        <v>16</v>
      </c>
      <c r="G304" s="10">
        <v>25</v>
      </c>
      <c r="H304" s="10">
        <v>22</v>
      </c>
      <c r="I304" s="10">
        <v>17</v>
      </c>
      <c r="J304" s="2"/>
      <c r="K304" s="10">
        <v>45</v>
      </c>
      <c r="L304" s="10">
        <v>60</v>
      </c>
      <c r="M304" s="10">
        <v>58</v>
      </c>
      <c r="N304" s="10">
        <v>60</v>
      </c>
      <c r="O304" s="11">
        <v>37</v>
      </c>
      <c r="P304" s="34"/>
      <c r="Q304" s="40"/>
      <c r="R304" s="2">
        <v>111</v>
      </c>
      <c r="S304" s="10">
        <f>IF(T304="",R304,MAX((R304+$R$8)/$R$2,(T304+$T$8)/$T$2)*$R$2-$R$8)</f>
        <v>111</v>
      </c>
      <c r="T304" s="12">
        <v>118</v>
      </c>
      <c r="U304" s="1">
        <f>IF(A304&lt;&gt;"",SUM(B304:I304),"")</f>
        <v>155</v>
      </c>
      <c r="V304" s="10">
        <f>IF(A304&lt;&gt;"",SUM(J304:O304),"")</f>
        <v>260</v>
      </c>
      <c r="W304" s="10">
        <f>IF(A304&lt;&gt;"",SUM(P304:Q304),"")</f>
        <v>0</v>
      </c>
      <c r="X304" s="10">
        <f>IF(A304&lt;&gt;"",SUM(S304:T304),"")</f>
        <v>229</v>
      </c>
      <c r="Y304" s="12">
        <v>3</v>
      </c>
      <c r="Z304" s="12">
        <f>IF(A304&lt;&gt;"",SUM(U304:Y304),"")</f>
        <v>647</v>
      </c>
      <c r="AA304" s="27">
        <f>IF(A304&lt;&gt;"",(Z304+Normalize_To_Add)/(Point_Total_So_Far)*100,"")</f>
        <v>72.209673189131834</v>
      </c>
      <c r="AB304" s="10">
        <f>IF(A304&lt;&gt;"",RANK(AA304,All_Student_XC),"")</f>
        <v>293</v>
      </c>
      <c r="AC304" s="31" t="str">
        <f>IF(A304&lt;&gt;"",CHOOSE(10-MIN(9,TRUNC((AA304+0.5)/10)),"A","B","C","D","F","F","F","F","F","F"),"")</f>
        <v>C</v>
      </c>
      <c r="AD304" s="31" t="str">
        <f>IF(A304&lt;&gt;"",IF(OR(AA304+0.5&gt;=93,AA304+0.5&lt;60),"",IF(MOD(AA304+0.5,10)&gt;=7,"+",IF(MOD(AA304+0.5,10)&lt;3,"-",""))),"")</f>
        <v>-</v>
      </c>
      <c r="AE304" s="31">
        <f>IF(A304&lt;&gt;"",SUM(W304:X304,$W$8:$X$8)/SUM($W$2:$X$2)*100,"")</f>
        <v>60.819346378263681</v>
      </c>
      <c r="AF304" s="43" t="str">
        <f>IF(A304&lt;&gt;"",CHOOSE(10-MIN(9,TRUNC((AE304+0.5)/10)),"A","B","C","D","F","F","F","F","F","F"),"")</f>
        <v>D</v>
      </c>
      <c r="AG304" s="43" t="str">
        <f>IF(A304&lt;&gt;"",IF(OR(AE304+0.5&gt;=93,AE304+0.5&lt;60),"",IF(MOD(AE304+0.5,10)&gt;=7,"+",IF(MOD(AE304+0.5,10)&lt;3,"-",""))),"")</f>
        <v>-</v>
      </c>
      <c r="AH304" s="35">
        <f>IF(A304&lt;&gt;"",MIN(MAX(AA304,AE304),AA304+$AH$8,AE304+$AH$8),"")</f>
        <v>72.209673189131834</v>
      </c>
      <c r="AI304" s="31" t="str">
        <f>IF(A304&lt;&gt;"",CHOOSE(10-MIN(9,TRUNC((AH304+0.5)/10)),"A","B","C","D","F","F","F","F","F","F"),"")</f>
        <v>C</v>
      </c>
      <c r="AJ304" s="31" t="str">
        <f>IF(A304&lt;&gt;"",IF(OR(AH304+0.5&gt;=93,AH304+0.5&lt;60),"",IF(MOD(AH304+0.5,10)&gt;=7,"+",IF(MOD(AH304+0.5,10)&lt;3,"-",""))),"")</f>
        <v>-</v>
      </c>
      <c r="AK304" s="31" t="b">
        <f>IF(A304&lt;&gt;"",OR(AI304&lt;&gt;AC304,AJ304&lt;&gt;AD304),"")</f>
        <v>0</v>
      </c>
      <c r="AL304" s="81">
        <f>IF(AND(A304&lt;&gt;"",U304&gt;0),SUM(U304,$AL$8)/$AL$2*100,"")</f>
        <v>77.5</v>
      </c>
      <c r="AM304" s="24">
        <f>IF(AND(A304&lt;&gt;"",V304&gt;0),SUM(V304,$AM$8)/$AM$2*100,"")</f>
        <v>86.666666666666671</v>
      </c>
      <c r="AN304" s="24" t="str">
        <f>IF(AND(A304&lt;&gt;"",P304&lt;&gt;0),SUM(P304,$AN$8)/$AN$2*100,"")</f>
        <v/>
      </c>
      <c r="AO304" s="24" t="str">
        <f>IF(AND(A304&lt;&gt;"",Q304&lt;&gt;0),SUM(Q304,$AO$8)/$AO$2*100,"")</f>
        <v/>
      </c>
      <c r="AP304" s="24">
        <f>IF(AND(A304&lt;&gt;"",R304&lt;&gt;0),SUM(R304,$AP$8)/$AP$2*100,"")</f>
        <v>70.002659574468083</v>
      </c>
      <c r="AQ304" s="24" t="str">
        <f>IF(AND(A304&lt;&gt;"",W304&gt;0),SUM(W304,$AQ$8)/$AQ$2*100,"")</f>
        <v/>
      </c>
      <c r="AR304" s="24">
        <f>IF(AND(A304&lt;&gt;"",T304&gt;0),SUM(T304,$AR$8)/$AR$2*100,"")</f>
        <v>54.697137580794084</v>
      </c>
      <c r="AS304" s="24">
        <f>IF(AND(A304&lt;&gt;"",X304&lt;&gt;0),SUM(X304,$AS$8)/$AS$2*100,"")</f>
        <v>60.819346378263681</v>
      </c>
      <c r="AT304" s="86">
        <f>IF(A304&lt;&gt;"",SUM(W304:X304,$AT$8)/$AT$2*100,"")</f>
        <v>60.819346378263681</v>
      </c>
      <c r="AU304" s="24">
        <f>AA304</f>
        <v>72.209673189131834</v>
      </c>
      <c r="AV304" s="24"/>
      <c r="AW304" s="27">
        <f>IF(A304&lt;&gt;"",AE304-AA304,"")</f>
        <v>-11.390326810868153</v>
      </c>
      <c r="AY304" s="27">
        <f>AR304-AP304</f>
        <v>-15.305521993673999</v>
      </c>
      <c r="AZ304" s="27">
        <f>ABS(AY304)</f>
        <v>15.305521993673999</v>
      </c>
    </row>
    <row r="305" spans="1:52" s="27" customFormat="1" ht="12.75" customHeight="1" x14ac:dyDescent="0.2">
      <c r="A305" s="10">
        <v>804468</v>
      </c>
      <c r="B305" s="2">
        <v>25</v>
      </c>
      <c r="C305" s="10">
        <v>22</v>
      </c>
      <c r="D305" s="10">
        <v>22</v>
      </c>
      <c r="E305" s="10">
        <v>23</v>
      </c>
      <c r="F305" s="10">
        <v>13</v>
      </c>
      <c r="G305" s="10">
        <v>25</v>
      </c>
      <c r="H305" s="10">
        <v>25</v>
      </c>
      <c r="I305" s="10">
        <v>25</v>
      </c>
      <c r="J305" s="2"/>
      <c r="K305" s="10">
        <v>61</v>
      </c>
      <c r="L305" s="10">
        <v>60</v>
      </c>
      <c r="M305" s="10">
        <v>58</v>
      </c>
      <c r="N305" s="10">
        <v>60</v>
      </c>
      <c r="O305" s="11">
        <v>60</v>
      </c>
      <c r="P305" s="40"/>
      <c r="Q305" s="40"/>
      <c r="R305" s="2">
        <v>147</v>
      </c>
      <c r="S305" s="10">
        <f>IF(T305="",R305,MAX((R305+$R$8)/$R$2,(T305+$T$8)/$T$2)*$R$2-$R$8)</f>
        <v>147</v>
      </c>
      <c r="T305" s="12">
        <v>176</v>
      </c>
      <c r="U305" s="1">
        <f>IF(A305&lt;&gt;"",SUM(B305:I305),"")</f>
        <v>180</v>
      </c>
      <c r="V305" s="10">
        <f>IF(A305&lt;&gt;"",SUM(J305:O305),"")</f>
        <v>299</v>
      </c>
      <c r="W305" s="10">
        <f>IF(A305&lt;&gt;"",SUM(P305:Q305),"")</f>
        <v>0</v>
      </c>
      <c r="X305" s="10">
        <f>IF(A305&lt;&gt;"",SUM(S305:T305),"")</f>
        <v>323</v>
      </c>
      <c r="Y305" s="12">
        <v>3</v>
      </c>
      <c r="Z305" s="12">
        <f>IF(A305&lt;&gt;"",SUM(U305:Y305),"")</f>
        <v>805</v>
      </c>
      <c r="AA305" s="27">
        <f>IF(A305&lt;&gt;"",(Z305+Normalize_To_Add)/(Point_Total_So_Far)*100,"")</f>
        <v>88.009673189131846</v>
      </c>
      <c r="AB305" s="10">
        <f>IF(A305&lt;&gt;"",RANK(AA305,All_Student_XC),"")</f>
        <v>111</v>
      </c>
      <c r="AC305" s="31" t="str">
        <f>IF(A305&lt;&gt;"",CHOOSE(10-MIN(9,TRUNC((AA305+0.5)/10)),"A","B","C","D","F","F","F","F","F","F"),"")</f>
        <v>B</v>
      </c>
      <c r="AD305" s="31" t="str">
        <f>IF(A305&lt;&gt;"",IF(OR(AA305+0.5&gt;=93,AA305+0.5&lt;60),"",IF(MOD(AA305+0.5,10)&gt;=7,"+",IF(MOD(AA305+0.5,10)&lt;3,"-",""))),"")</f>
        <v>+</v>
      </c>
      <c r="AE305" s="31">
        <f>IF(A305&lt;&gt;"",SUM(W305:X305,$W$8:$X$8)/SUM($W$2:$X$2)*100,"")</f>
        <v>79.619346378263685</v>
      </c>
      <c r="AF305" s="31" t="str">
        <f>IF(A305&lt;&gt;"",CHOOSE(10-MIN(9,TRUNC((AE305+0.5)/10)),"A","B","C","D","F","F","F","F","F","F"),"")</f>
        <v>B</v>
      </c>
      <c r="AG305" s="31" t="str">
        <f>IF(A305&lt;&gt;"",IF(OR(AE305+0.5&gt;=93,AE305+0.5&lt;60),"",IF(MOD(AE305+0.5,10)&gt;=7,"+",IF(MOD(AE305+0.5,10)&lt;3,"-",""))),"")</f>
        <v>-</v>
      </c>
      <c r="AH305" s="35">
        <f>IF(A305&lt;&gt;"",MIN(MAX(AA305,AE305),AA305+$AH$8,AE305+$AH$8),"")</f>
        <v>88.009673189131846</v>
      </c>
      <c r="AI305" s="31" t="str">
        <f>IF(A305&lt;&gt;"",CHOOSE(10-MIN(9,TRUNC((AH305+0.5)/10)),"A","B","C","D","F","F","F","F","F","F"),"")</f>
        <v>B</v>
      </c>
      <c r="AJ305" s="31" t="str">
        <f>IF(A305&lt;&gt;"",IF(OR(AH305+0.5&gt;=93,AH305+0.5&lt;60),"",IF(MOD(AH305+0.5,10)&gt;=7,"+",IF(MOD(AH305+0.5,10)&lt;3,"-",""))),"")</f>
        <v>+</v>
      </c>
      <c r="AK305" s="31" t="b">
        <f>IF(A305&lt;&gt;"",OR(AI305&lt;&gt;AC305,AJ305&lt;&gt;AD305),"")</f>
        <v>0</v>
      </c>
      <c r="AL305" s="81">
        <f>IF(AND(A305&lt;&gt;"",U305&gt;0),SUM(U305,$AL$8)/$AL$2*100,"")</f>
        <v>90</v>
      </c>
      <c r="AM305" s="24">
        <f>IF(AND(A305&lt;&gt;"",V305&gt;0),SUM(V305,$AM$8)/$AM$2*100,"")</f>
        <v>99.666666666666671</v>
      </c>
      <c r="AN305" s="24" t="str">
        <f>IF(AND(A305&lt;&gt;"",P305&lt;&gt;0),SUM(P305,$AN$8)/$AN$2*100,"")</f>
        <v/>
      </c>
      <c r="AO305" s="24" t="str">
        <f>IF(AND(A305&lt;&gt;"",Q305&lt;&gt;0),SUM(Q305,$AO$8)/$AO$2*100,"")</f>
        <v/>
      </c>
      <c r="AP305" s="24">
        <f>IF(AND(A305&lt;&gt;"",R305&lt;&gt;0),SUM(R305,$AP$8)/$AP$2*100,"")</f>
        <v>88.002659574468083</v>
      </c>
      <c r="AQ305" s="24" t="str">
        <f>IF(AND(A305&lt;&gt;"",W305&gt;0),SUM(W305,$AQ$8)/$AQ$2*100,"")</f>
        <v/>
      </c>
      <c r="AR305" s="24">
        <f>IF(AND(A305&lt;&gt;"",T305&gt;0),SUM(T305,$AR$8)/$AR$2*100,"")</f>
        <v>74.03047091412742</v>
      </c>
      <c r="AS305" s="24">
        <f>IF(AND(A305&lt;&gt;"",X305&lt;&gt;0),SUM(X305,$AS$8)/$AS$2*100,"")</f>
        <v>79.619346378263685</v>
      </c>
      <c r="AT305" s="86">
        <f>IF(A305&lt;&gt;"",SUM(W305:X305,$AT$8)/$AT$2*100,"")</f>
        <v>79.619346378263685</v>
      </c>
      <c r="AU305" s="24">
        <f>AA305</f>
        <v>88.009673189131846</v>
      </c>
      <c r="AV305" s="24"/>
      <c r="AW305" s="27">
        <f>IF(A305&lt;&gt;"",AE305-AA305,"")</f>
        <v>-8.3903268108681601</v>
      </c>
      <c r="AY305" s="27">
        <f>AR305-AP305</f>
        <v>-13.972188660340663</v>
      </c>
      <c r="AZ305" s="27">
        <f>ABS(AY305)</f>
        <v>13.972188660340663</v>
      </c>
    </row>
    <row r="306" spans="1:52" s="27" customFormat="1" ht="12.75" customHeight="1" x14ac:dyDescent="0.2">
      <c r="A306" s="10">
        <v>804662</v>
      </c>
      <c r="B306" s="2">
        <v>8</v>
      </c>
      <c r="C306" s="10">
        <v>18</v>
      </c>
      <c r="D306" s="10">
        <v>17</v>
      </c>
      <c r="E306" s="10">
        <v>20</v>
      </c>
      <c r="F306" s="10">
        <v>16</v>
      </c>
      <c r="G306" s="10">
        <v>0</v>
      </c>
      <c r="H306" s="10">
        <v>10</v>
      </c>
      <c r="I306" s="10">
        <v>22</v>
      </c>
      <c r="J306" s="2"/>
      <c r="K306" s="10">
        <v>52</v>
      </c>
      <c r="L306" s="10" t="s">
        <v>69</v>
      </c>
      <c r="M306" s="10">
        <v>62</v>
      </c>
      <c r="N306" s="51">
        <v>58</v>
      </c>
      <c r="O306" s="11">
        <v>37</v>
      </c>
      <c r="P306" s="10"/>
      <c r="Q306" s="40"/>
      <c r="R306" s="2">
        <v>88</v>
      </c>
      <c r="S306" s="10">
        <f>IF(T306="",R306,MAX((R306+$R$8)/$R$2,(T306+$T$8)/$T$2)*$R$2-$R$8)</f>
        <v>88</v>
      </c>
      <c r="T306" s="12">
        <v>111</v>
      </c>
      <c r="U306" s="68">
        <f>IF(A306&lt;&gt;"",SUM(B306:I306),"")</f>
        <v>111</v>
      </c>
      <c r="V306" s="10">
        <f>IF(A306&lt;&gt;"",SUM(J306:O306),"")</f>
        <v>209</v>
      </c>
      <c r="W306" s="10">
        <f>IF(A306&lt;&gt;"",SUM(P306:Q306),"")</f>
        <v>0</v>
      </c>
      <c r="X306" s="10">
        <f>IF(A306&lt;&gt;"",SUM(S306:T306),"")</f>
        <v>199</v>
      </c>
      <c r="Y306" s="12" t="s">
        <v>69</v>
      </c>
      <c r="Z306" s="12">
        <f>IF(A306&lt;&gt;"",SUM(U306:Y306),"")</f>
        <v>519</v>
      </c>
      <c r="AA306" s="27">
        <f>IF(A306&lt;&gt;"",(Z306+Normalize_To_Add)/(Point_Total_So_Far)*100,"")</f>
        <v>59.409673189131837</v>
      </c>
      <c r="AB306" s="10">
        <f>IF(A306&lt;&gt;"",RANK(AA306,All_Student_XC),"")</f>
        <v>344</v>
      </c>
      <c r="AC306" s="31" t="str">
        <f>IF(A306&lt;&gt;"",CHOOSE(10-MIN(9,TRUNC((AA306+0.5)/10)),"A","B","C","D","F","F","F","F","F","F"),"")</f>
        <v>F</v>
      </c>
      <c r="AD306" s="31" t="str">
        <f>IF(A306&lt;&gt;"",IF(OR(AA306+0.5&gt;=93,AA306+0.5&lt;60),"",IF(MOD(AA306+0.5,10)&gt;=7,"+",IF(MOD(AA306+0.5,10)&lt;3,"-",""))),"")</f>
        <v/>
      </c>
      <c r="AE306" s="31">
        <f>IF(A306&lt;&gt;"",SUM(W306:X306,$W$8:$X$8)/SUM($W$2:$X$2)*100,"")</f>
        <v>54.819346378263688</v>
      </c>
      <c r="AF306" s="31" t="str">
        <f>IF(A306&lt;&gt;"",CHOOSE(10-MIN(9,TRUNC((AE306+0.5)/10)),"A","B","C","D","F","F","F","F","F","F"),"")</f>
        <v>F</v>
      </c>
      <c r="AG306" s="31" t="str">
        <f>IF(A306&lt;&gt;"",IF(OR(AE306+0.5&gt;=93,AE306+0.5&lt;60),"",IF(MOD(AE306+0.5,10)&gt;=7,"+",IF(MOD(AE306+0.5,10)&lt;3,"-",""))),"")</f>
        <v/>
      </c>
      <c r="AH306" s="35">
        <f>IF(A306&lt;&gt;"",MIN(MAX(AA306,AE306),AA306+$AH$8,AE306+$AH$8),"")</f>
        <v>59.409673189131837</v>
      </c>
      <c r="AI306" s="31" t="str">
        <f>IF(A306&lt;&gt;"",CHOOSE(10-MIN(9,TRUNC((AH306+0.5)/10)),"A","B","C","D","F","F","F","F","F","F"),"")</f>
        <v>F</v>
      </c>
      <c r="AJ306" s="31" t="str">
        <f>IF(A306&lt;&gt;"",IF(OR(AH306+0.5&gt;=93,AH306+0.5&lt;60),"",IF(MOD(AH306+0.5,10)&gt;=7,"+",IF(MOD(AH306+0.5,10)&lt;3,"-",""))),"")</f>
        <v/>
      </c>
      <c r="AK306" s="31" t="b">
        <f>IF(A306&lt;&gt;"",OR(AI306&lt;&gt;AC306,AJ306&lt;&gt;AD306),"")</f>
        <v>0</v>
      </c>
      <c r="AL306" s="81">
        <f>IF(AND(A306&lt;&gt;"",U306&gt;0),SUM(U306,$AL$8)/$AL$2*100,"")</f>
        <v>55.500000000000007</v>
      </c>
      <c r="AM306" s="24">
        <f>IF(AND(A306&lt;&gt;"",V306&gt;0),SUM(V306,$AM$8)/$AM$2*100,"")</f>
        <v>69.666666666666671</v>
      </c>
      <c r="AN306" s="24" t="str">
        <f>IF(AND(A306&lt;&gt;"",P306&lt;&gt;0),SUM(P306,$AN$8)/$AN$2*100,"")</f>
        <v/>
      </c>
      <c r="AO306" s="24" t="str">
        <f>IF(AND(A306&lt;&gt;"",Q306&lt;&gt;0),SUM(Q306,$AO$8)/$AO$2*100,"")</f>
        <v/>
      </c>
      <c r="AP306" s="24">
        <f>IF(AND(A306&lt;&gt;"",R306&lt;&gt;0),SUM(R306,$AP$8)/$AP$2*100,"")</f>
        <v>58.502659574468083</v>
      </c>
      <c r="AQ306" s="24" t="str">
        <f>IF(AND(A306&lt;&gt;"",W306&gt;0),SUM(W306,$AQ$8)/$AQ$2*100,"")</f>
        <v/>
      </c>
      <c r="AR306" s="24">
        <f>IF(AND(A306&lt;&gt;"",T306&gt;0),SUM(T306,$AR$8)/$AR$2*100,"")</f>
        <v>52.363804247460756</v>
      </c>
      <c r="AS306" s="24">
        <f>IF(AND(A306&lt;&gt;"",X306&lt;&gt;0),SUM(X306,$AS$8)/$AS$2*100,"")</f>
        <v>54.819346378263688</v>
      </c>
      <c r="AT306" s="86">
        <f>IF(A306&lt;&gt;"",SUM(W306:X306,$AT$8)/$AT$2*100,"")</f>
        <v>54.819346378263688</v>
      </c>
      <c r="AU306" s="24">
        <f>AA306</f>
        <v>59.409673189131837</v>
      </c>
      <c r="AV306" s="24"/>
      <c r="AW306" s="27">
        <f>IF(A306&lt;&gt;"",AE306-AA306,"")</f>
        <v>-4.5903268108681488</v>
      </c>
      <c r="AY306" s="27">
        <f>AR306-AP306</f>
        <v>-6.1388553270073274</v>
      </c>
      <c r="AZ306" s="27">
        <f>ABS(AY306)</f>
        <v>6.1388553270073274</v>
      </c>
    </row>
    <row r="307" spans="1:52" s="27" customFormat="1" ht="12.75" customHeight="1" x14ac:dyDescent="0.2">
      <c r="A307" s="50">
        <v>806524</v>
      </c>
      <c r="B307" s="2">
        <v>25</v>
      </c>
      <c r="C307" s="50">
        <v>20</v>
      </c>
      <c r="D307" s="10">
        <v>21</v>
      </c>
      <c r="E307" s="10">
        <v>14</v>
      </c>
      <c r="F307" s="10">
        <v>21</v>
      </c>
      <c r="G307" s="10">
        <v>25</v>
      </c>
      <c r="H307" s="10">
        <v>12</v>
      </c>
      <c r="I307" s="10">
        <v>25</v>
      </c>
      <c r="J307" s="2"/>
      <c r="K307" s="10">
        <v>52</v>
      </c>
      <c r="L307" s="10">
        <v>36</v>
      </c>
      <c r="M307" s="10">
        <v>36</v>
      </c>
      <c r="N307" s="51">
        <v>33</v>
      </c>
      <c r="O307" s="11">
        <v>60</v>
      </c>
      <c r="P307" s="10"/>
      <c r="Q307" s="40"/>
      <c r="R307" s="2">
        <v>105</v>
      </c>
      <c r="S307" s="10">
        <f>IF(T307="",R307,MAX((R307+$R$8)/$R$2,(T307+$T$8)/$T$2)*$R$2-$R$8)</f>
        <v>105.05562267931867</v>
      </c>
      <c r="T307" s="62">
        <v>155</v>
      </c>
      <c r="U307" s="2">
        <f>IF(A307&lt;&gt;"",SUM(B307:I307),"")</f>
        <v>163</v>
      </c>
      <c r="V307" s="10">
        <f>IF(A307&lt;&gt;"",SUM(J307:O307),"")</f>
        <v>217</v>
      </c>
      <c r="W307" s="10">
        <f>IF(A307&lt;&gt;"",SUM(P307:Q307),"")</f>
        <v>0</v>
      </c>
      <c r="X307" s="10">
        <f>IF(A307&lt;&gt;"",SUM(S307:T307),"")</f>
        <v>260.05562267931867</v>
      </c>
      <c r="Y307" s="12">
        <v>3</v>
      </c>
      <c r="Z307" s="12">
        <f>IF(A307&lt;&gt;"",SUM(U307:Y307),"")</f>
        <v>643.05562267931873</v>
      </c>
      <c r="AA307" s="27">
        <f>IF(A307&lt;&gt;"",(Z307+Normalize_To_Add)/(Point_Total_So_Far)*100,"")</f>
        <v>71.815235457063721</v>
      </c>
      <c r="AB307" s="10">
        <f>IF(A307&lt;&gt;"",RANK(AA307,All_Student_XC),"")</f>
        <v>295</v>
      </c>
      <c r="AC307" s="31" t="str">
        <f>IF(A307&lt;&gt;"",CHOOSE(10-MIN(9,TRUNC((AA307+0.5)/10)),"A","B","C","D","F","F","F","F","F","F"),"")</f>
        <v>C</v>
      </c>
      <c r="AD307" s="31" t="str">
        <f>IF(A307&lt;&gt;"",IF(OR(AA307+0.5&gt;=93,AA307+0.5&lt;60),"",IF(MOD(AA307+0.5,10)&gt;=7,"+",IF(MOD(AA307+0.5,10)&lt;3,"-",""))),"")</f>
        <v>-</v>
      </c>
      <c r="AE307" s="31">
        <f>IF(A307&lt;&gt;"",SUM(W307:X307,$W$8:$X$8)/SUM($W$2:$X$2)*100,"")</f>
        <v>67.03047091412742</v>
      </c>
      <c r="AF307" s="43" t="str">
        <f>IF(A307&lt;&gt;"",CHOOSE(10-MIN(9,TRUNC((AE307+0.5)/10)),"A","B","C","D","F","F","F","F","F","F"),"")</f>
        <v>D</v>
      </c>
      <c r="AG307" s="43" t="str">
        <f>IF(A307&lt;&gt;"",IF(OR(AE307+0.5&gt;=93,AE307+0.5&lt;60),"",IF(MOD(AE307+0.5,10)&gt;=7,"+",IF(MOD(AE307+0.5,10)&lt;3,"-",""))),"")</f>
        <v>+</v>
      </c>
      <c r="AH307" s="35">
        <f>IF(A307&lt;&gt;"",MIN(MAX(AA307,AE307),AA307+$AH$8,AE307+$AH$8),"")</f>
        <v>71.815235457063721</v>
      </c>
      <c r="AI307" s="31" t="str">
        <f>IF(A307&lt;&gt;"",CHOOSE(10-MIN(9,TRUNC((AH307+0.5)/10)),"A","B","C","D","F","F","F","F","F","F"),"")</f>
        <v>C</v>
      </c>
      <c r="AJ307" s="31" t="str">
        <f>IF(A307&lt;&gt;"",IF(OR(AH307+0.5&gt;=93,AH307+0.5&lt;60),"",IF(MOD(AH307+0.5,10)&gt;=7,"+",IF(MOD(AH307+0.5,10)&lt;3,"-",""))),"")</f>
        <v>-</v>
      </c>
      <c r="AK307" s="31" t="b">
        <f>IF(A307&lt;&gt;"",OR(AI307&lt;&gt;AC307,AJ307&lt;&gt;AD307),"")</f>
        <v>0</v>
      </c>
      <c r="AL307" s="81">
        <f>IF(AND(A307&lt;&gt;"",U307&gt;0),SUM(U307,$AL$8)/$AL$2*100,"")</f>
        <v>81.5</v>
      </c>
      <c r="AM307" s="24">
        <f>IF(AND(A307&lt;&gt;"",V307&gt;0),SUM(V307,$AM$8)/$AM$2*100,"")</f>
        <v>72.333333333333343</v>
      </c>
      <c r="AN307" s="24" t="str">
        <f>IF(AND(A307&lt;&gt;"",P307&lt;&gt;0),SUM(P307,$AN$8)/$AN$2*100,"")</f>
        <v/>
      </c>
      <c r="AO307" s="24" t="str">
        <f>IF(AND(A307&lt;&gt;"",Q307&lt;&gt;0),SUM(Q307,$AO$8)/$AO$2*100,"")</f>
        <v/>
      </c>
      <c r="AP307" s="24">
        <f>IF(AND(A307&lt;&gt;"",R307&lt;&gt;0),SUM(R307,$AP$8)/$AP$2*100,"")</f>
        <v>67.002659574468083</v>
      </c>
      <c r="AQ307" s="24" t="str">
        <f>IF(AND(A307&lt;&gt;"",W307&gt;0),SUM(W307,$AQ$8)/$AQ$2*100,"")</f>
        <v/>
      </c>
      <c r="AR307" s="24">
        <f>IF(AND(A307&lt;&gt;"",T307&gt;0),SUM(T307,$AR$8)/$AR$2*100,"")</f>
        <v>67.03047091412742</v>
      </c>
      <c r="AS307" s="24">
        <f>IF(AND(A307&lt;&gt;"",X307&lt;&gt;0),SUM(X307,$AS$8)/$AS$2*100,"")</f>
        <v>67.03047091412742</v>
      </c>
      <c r="AT307" s="86">
        <f>IF(A307&lt;&gt;"",SUM(W307:X307,$AT$8)/$AT$2*100,"")</f>
        <v>67.03047091412742</v>
      </c>
      <c r="AU307" s="24">
        <f>AA307</f>
        <v>71.815235457063721</v>
      </c>
      <c r="AV307" s="24"/>
      <c r="AW307" s="27">
        <f>IF(A307&lt;&gt;"",AE307-AA307,"")</f>
        <v>-4.7847645429363013</v>
      </c>
      <c r="AY307" s="27">
        <f>AR307-AP307</f>
        <v>2.7811339659336909E-2</v>
      </c>
      <c r="AZ307" s="27">
        <f>ABS(AY307)</f>
        <v>2.7811339659336909E-2</v>
      </c>
    </row>
    <row r="308" spans="1:52" s="27" customFormat="1" ht="12.75" customHeight="1" x14ac:dyDescent="0.2">
      <c r="A308" s="10">
        <v>807574</v>
      </c>
      <c r="B308" s="2">
        <v>23</v>
      </c>
      <c r="C308" s="10">
        <v>19</v>
      </c>
      <c r="D308" s="10">
        <v>15</v>
      </c>
      <c r="E308" s="10">
        <v>10</v>
      </c>
      <c r="F308" s="10">
        <v>10</v>
      </c>
      <c r="G308" s="10">
        <v>25</v>
      </c>
      <c r="H308" s="10">
        <v>12</v>
      </c>
      <c r="I308" s="10">
        <v>15</v>
      </c>
      <c r="J308" s="2"/>
      <c r="K308" s="10">
        <v>52</v>
      </c>
      <c r="L308" s="10">
        <v>37</v>
      </c>
      <c r="M308" s="10">
        <v>33</v>
      </c>
      <c r="N308" s="51">
        <v>23</v>
      </c>
      <c r="O308" s="11">
        <v>45</v>
      </c>
      <c r="P308" s="10"/>
      <c r="Q308" s="40"/>
      <c r="R308" s="2">
        <v>124</v>
      </c>
      <c r="S308" s="10">
        <f>IF(T308="",R308,MAX((R308+$R$8)/$R$2,(T308+$T$8)/$T$2)*$R$2-$R$8)</f>
        <v>124</v>
      </c>
      <c r="T308" s="12">
        <v>167</v>
      </c>
      <c r="U308" s="1">
        <f>IF(A308&lt;&gt;"",SUM(B308:I308),"")</f>
        <v>129</v>
      </c>
      <c r="V308" s="10">
        <f>IF(A308&lt;&gt;"",SUM(J308:O308),"")</f>
        <v>190</v>
      </c>
      <c r="W308" s="10">
        <f>IF(A308&lt;&gt;"",SUM(P308:Q308),"")</f>
        <v>0</v>
      </c>
      <c r="X308" s="10">
        <f>IF(A308&lt;&gt;"",SUM(S308:T308),"")</f>
        <v>291</v>
      </c>
      <c r="Y308" s="12">
        <v>3</v>
      </c>
      <c r="Z308" s="12">
        <f>IF(A308&lt;&gt;"",SUM(U308:Y308),"")</f>
        <v>613</v>
      </c>
      <c r="AA308" s="27">
        <f>IF(A308&lt;&gt;"",(Z308+Normalize_To_Add)/(Point_Total_So_Far)*100,"")</f>
        <v>68.809673189131843</v>
      </c>
      <c r="AB308" s="10">
        <f>IF(A308&lt;&gt;"",RANK(AA308,All_Student_XC),"")</f>
        <v>321</v>
      </c>
      <c r="AC308" s="31" t="str">
        <f>IF(A308&lt;&gt;"",CHOOSE(10-MIN(9,TRUNC((AA308+0.5)/10)),"A","B","C","D","F","F","F","F","F","F"),"")</f>
        <v>D</v>
      </c>
      <c r="AD308" s="31" t="str">
        <f>IF(A308&lt;&gt;"",IF(OR(AA308+0.5&gt;=93,AA308+0.5&lt;60),"",IF(MOD(AA308+0.5,10)&gt;=7,"+",IF(MOD(AA308+0.5,10)&lt;3,"-",""))),"")</f>
        <v>+</v>
      </c>
      <c r="AE308" s="31">
        <f>IF(A308&lt;&gt;"",SUM(W308:X308,$W$8:$X$8)/SUM($W$2:$X$2)*100,"")</f>
        <v>73.21934637826368</v>
      </c>
      <c r="AF308" s="43" t="str">
        <f>IF(A308&lt;&gt;"",CHOOSE(10-MIN(9,TRUNC((AE308+0.5)/10)),"A","B","C","D","F","F","F","F","F","F"),"")</f>
        <v>C</v>
      </c>
      <c r="AG308" s="43" t="str">
        <f>IF(A308&lt;&gt;"",IF(OR(AE308+0.5&gt;=93,AE308+0.5&lt;60),"",IF(MOD(AE308+0.5,10)&gt;=7,"+",IF(MOD(AE308+0.5,10)&lt;3,"-",""))),"")</f>
        <v/>
      </c>
      <c r="AH308" s="35">
        <f>IF(A308&lt;&gt;"",MIN(MAX(AA308,AE308),AA308+$AH$8,AE308+$AH$8),"")</f>
        <v>73.21934637826368</v>
      </c>
      <c r="AI308" s="31" t="str">
        <f>IF(A308&lt;&gt;"",CHOOSE(10-MIN(9,TRUNC((AH308+0.5)/10)),"A","B","C","D","F","F","F","F","F","F"),"")</f>
        <v>C</v>
      </c>
      <c r="AJ308" s="31" t="str">
        <f>IF(A308&lt;&gt;"",IF(OR(AH308+0.5&gt;=93,AH308+0.5&lt;60),"",IF(MOD(AH308+0.5,10)&gt;=7,"+",IF(MOD(AH308+0.5,10)&lt;3,"-",""))),"")</f>
        <v/>
      </c>
      <c r="AK308" s="31" t="b">
        <f>IF(A308&lt;&gt;"",OR(AI308&lt;&gt;AC308,AJ308&lt;&gt;AD308),"")</f>
        <v>1</v>
      </c>
      <c r="AL308" s="81">
        <f>IF(AND(A308&lt;&gt;"",U308&gt;0),SUM(U308,$AL$8)/$AL$2*100,"")</f>
        <v>64.5</v>
      </c>
      <c r="AM308" s="24">
        <f>IF(AND(A308&lt;&gt;"",V308&gt;0),SUM(V308,$AM$8)/$AM$2*100,"")</f>
        <v>63.333333333333329</v>
      </c>
      <c r="AN308" s="24" t="str">
        <f>IF(AND(A308&lt;&gt;"",P308&lt;&gt;0),SUM(P308,$AN$8)/$AN$2*100,"")</f>
        <v/>
      </c>
      <c r="AO308" s="24" t="str">
        <f>IF(AND(A308&lt;&gt;"",Q308&lt;&gt;0),SUM(Q308,$AO$8)/$AO$2*100,"")</f>
        <v/>
      </c>
      <c r="AP308" s="24">
        <f>IF(AND(A308&lt;&gt;"",R308&lt;&gt;0),SUM(R308,$AP$8)/$AP$2*100,"")</f>
        <v>76.502659574468083</v>
      </c>
      <c r="AQ308" s="24" t="str">
        <f>IF(AND(A308&lt;&gt;"",W308&gt;0),SUM(W308,$AQ$8)/$AQ$2*100,"")</f>
        <v/>
      </c>
      <c r="AR308" s="24">
        <f>IF(AND(A308&lt;&gt;"",T308&gt;0),SUM(T308,$AR$8)/$AR$2*100,"")</f>
        <v>71.03047091412742</v>
      </c>
      <c r="AS308" s="24">
        <f>IF(AND(A308&lt;&gt;"",X308&lt;&gt;0),SUM(X308,$AS$8)/$AS$2*100,"")</f>
        <v>73.21934637826368</v>
      </c>
      <c r="AT308" s="86">
        <f>IF(A308&lt;&gt;"",SUM(W308:X308,$AT$8)/$AT$2*100,"")</f>
        <v>73.21934637826368</v>
      </c>
      <c r="AU308" s="24">
        <f>AA308</f>
        <v>68.809673189131843</v>
      </c>
      <c r="AV308" s="24"/>
      <c r="AW308" s="27">
        <f>IF(A308&lt;&gt;"",AE308-AA308,"")</f>
        <v>4.409673189131837</v>
      </c>
      <c r="AY308" s="27">
        <f>AR308-AP308</f>
        <v>-5.4721886603406631</v>
      </c>
      <c r="AZ308" s="27">
        <f>ABS(AY308)</f>
        <v>5.4721886603406631</v>
      </c>
    </row>
    <row r="309" spans="1:52" s="27" customFormat="1" ht="12.75" customHeight="1" x14ac:dyDescent="0.2">
      <c r="A309" s="50">
        <v>809886</v>
      </c>
      <c r="B309" s="2">
        <v>25</v>
      </c>
      <c r="C309" s="50">
        <v>22</v>
      </c>
      <c r="D309" s="10">
        <v>24</v>
      </c>
      <c r="E309" s="10">
        <v>21</v>
      </c>
      <c r="F309" s="10">
        <v>18</v>
      </c>
      <c r="G309" s="10">
        <v>17</v>
      </c>
      <c r="H309" s="10">
        <v>14</v>
      </c>
      <c r="I309" s="10">
        <v>25</v>
      </c>
      <c r="J309" s="2"/>
      <c r="K309" s="10">
        <v>59</v>
      </c>
      <c r="L309" s="10">
        <v>57</v>
      </c>
      <c r="M309" s="10">
        <v>57</v>
      </c>
      <c r="N309" s="51">
        <v>60</v>
      </c>
      <c r="O309" s="11">
        <v>60</v>
      </c>
      <c r="P309" s="10"/>
      <c r="Q309" s="40"/>
      <c r="R309" s="2">
        <v>110</v>
      </c>
      <c r="S309" s="10">
        <f>IF(T309="",R309,MAX((R309+$R$8)/$R$2,(T309+$T$8)/$T$2)*$R$2-$R$8)</f>
        <v>121.05562267931867</v>
      </c>
      <c r="T309" s="62">
        <v>179</v>
      </c>
      <c r="U309" s="2">
        <f>IF(A309&lt;&gt;"",SUM(B309:I309),"")</f>
        <v>166</v>
      </c>
      <c r="V309" s="10">
        <f>IF(A309&lt;&gt;"",SUM(J309:O309),"")</f>
        <v>293</v>
      </c>
      <c r="W309" s="10">
        <f>IF(A309&lt;&gt;"",SUM(P309:Q309),"")</f>
        <v>0</v>
      </c>
      <c r="X309" s="10">
        <f>IF(A309&lt;&gt;"",SUM(S309:T309),"")</f>
        <v>300.05562267931867</v>
      </c>
      <c r="Y309" s="12">
        <v>3</v>
      </c>
      <c r="Z309" s="12">
        <f>IF(A309&lt;&gt;"",SUM(U309:Y309),"")</f>
        <v>762.05562267931873</v>
      </c>
      <c r="AA309" s="27">
        <f>IF(A309&lt;&gt;"",(Z309+Normalize_To_Add)/(Point_Total_So_Far)*100,"")</f>
        <v>83.715235457063713</v>
      </c>
      <c r="AB309" s="10">
        <f>IF(A309&lt;&gt;"",RANK(AA309,All_Student_XC),"")</f>
        <v>171</v>
      </c>
      <c r="AC309" s="31" t="str">
        <f>IF(A309&lt;&gt;"",CHOOSE(10-MIN(9,TRUNC((AA309+0.5)/10)),"A","B","C","D","F","F","F","F","F","F"),"")</f>
        <v>B</v>
      </c>
      <c r="AD309" s="31" t="str">
        <f>IF(A309&lt;&gt;"",IF(OR(AA309+0.5&gt;=93,AA309+0.5&lt;60),"",IF(MOD(AA309+0.5,10)&gt;=7,"+",IF(MOD(AA309+0.5,10)&lt;3,"-",""))),"")</f>
        <v/>
      </c>
      <c r="AE309" s="31">
        <f>IF(A309&lt;&gt;"",SUM(W309:X309,$W$8:$X$8)/SUM($W$2:$X$2)*100,"")</f>
        <v>75.03047091412742</v>
      </c>
      <c r="AF309" s="43" t="str">
        <f>IF(A309&lt;&gt;"",CHOOSE(10-MIN(9,TRUNC((AE309+0.5)/10)),"A","B","C","D","F","F","F","F","F","F"),"")</f>
        <v>C</v>
      </c>
      <c r="AG309" s="43" t="str">
        <f>IF(A309&lt;&gt;"",IF(OR(AE309+0.5&gt;=93,AE309+0.5&lt;60),"",IF(MOD(AE309+0.5,10)&gt;=7,"+",IF(MOD(AE309+0.5,10)&lt;3,"-",""))),"")</f>
        <v/>
      </c>
      <c r="AH309" s="35">
        <f>IF(A309&lt;&gt;"",MIN(MAX(AA309,AE309),AA309+$AH$8,AE309+$AH$8),"")</f>
        <v>83.715235457063713</v>
      </c>
      <c r="AI309" s="31" t="str">
        <f>IF(A309&lt;&gt;"",CHOOSE(10-MIN(9,TRUNC((AH309+0.5)/10)),"A","B","C","D","F","F","F","F","F","F"),"")</f>
        <v>B</v>
      </c>
      <c r="AJ309" s="31" t="str">
        <f>IF(A309&lt;&gt;"",IF(OR(AH309+0.5&gt;=93,AH309+0.5&lt;60),"",IF(MOD(AH309+0.5,10)&gt;=7,"+",IF(MOD(AH309+0.5,10)&lt;3,"-",""))),"")</f>
        <v/>
      </c>
      <c r="AK309" s="31" t="b">
        <f>IF(A309&lt;&gt;"",OR(AI309&lt;&gt;AC309,AJ309&lt;&gt;AD309),"")</f>
        <v>0</v>
      </c>
      <c r="AL309" s="81">
        <f>IF(AND(A309&lt;&gt;"",U309&gt;0),SUM(U309,$AL$8)/$AL$2*100,"")</f>
        <v>83</v>
      </c>
      <c r="AM309" s="24">
        <f>IF(AND(A309&lt;&gt;"",V309&gt;0),SUM(V309,$AM$8)/$AM$2*100,"")</f>
        <v>97.666666666666671</v>
      </c>
      <c r="AN309" s="24" t="str">
        <f>IF(AND(A309&lt;&gt;"",P309&lt;&gt;0),SUM(P309,$AN$8)/$AN$2*100,"")</f>
        <v/>
      </c>
      <c r="AO309" s="24" t="str">
        <f>IF(AND(A309&lt;&gt;"",Q309&lt;&gt;0),SUM(Q309,$AO$8)/$AO$2*100,"")</f>
        <v/>
      </c>
      <c r="AP309" s="24">
        <f>IF(AND(A309&lt;&gt;"",R309&lt;&gt;0),SUM(R309,$AP$8)/$AP$2*100,"")</f>
        <v>69.502659574468083</v>
      </c>
      <c r="AQ309" s="24" t="str">
        <f>IF(AND(A309&lt;&gt;"",W309&gt;0),SUM(W309,$AQ$8)/$AQ$2*100,"")</f>
        <v/>
      </c>
      <c r="AR309" s="24">
        <f>IF(AND(A309&lt;&gt;"",T309&gt;0),SUM(T309,$AR$8)/$AR$2*100,"")</f>
        <v>75.03047091412742</v>
      </c>
      <c r="AS309" s="24">
        <f>IF(AND(A309&lt;&gt;"",X309&lt;&gt;0),SUM(X309,$AS$8)/$AS$2*100,"")</f>
        <v>75.03047091412742</v>
      </c>
      <c r="AT309" s="86">
        <f>IF(A309&lt;&gt;"",SUM(W309:X309,$AT$8)/$AT$2*100,"")</f>
        <v>75.03047091412742</v>
      </c>
      <c r="AU309" s="24">
        <f>AA309</f>
        <v>83.715235457063713</v>
      </c>
      <c r="AV309" s="24"/>
      <c r="AW309" s="27">
        <f>IF(A309&lt;&gt;"",AE309-AA309,"")</f>
        <v>-8.6847645429362927</v>
      </c>
      <c r="AY309" s="27">
        <f>AR309-AP309</f>
        <v>5.5278113396593369</v>
      </c>
      <c r="AZ309" s="27">
        <f>ABS(AY309)</f>
        <v>5.5278113396593369</v>
      </c>
    </row>
    <row r="310" spans="1:52" s="27" customFormat="1" ht="12.75" customHeight="1" x14ac:dyDescent="0.2">
      <c r="A310" s="10">
        <v>813814</v>
      </c>
      <c r="B310" s="2">
        <v>25</v>
      </c>
      <c r="C310" s="10">
        <v>23</v>
      </c>
      <c r="D310" s="10">
        <v>25</v>
      </c>
      <c r="E310" s="10">
        <v>23</v>
      </c>
      <c r="F310" s="10">
        <v>25</v>
      </c>
      <c r="G310" s="10">
        <v>25</v>
      </c>
      <c r="H310" s="10">
        <v>23</v>
      </c>
      <c r="I310" s="10">
        <v>25</v>
      </c>
      <c r="J310" s="2"/>
      <c r="K310" s="10">
        <v>59</v>
      </c>
      <c r="L310" s="10">
        <v>62</v>
      </c>
      <c r="M310" s="10">
        <v>62</v>
      </c>
      <c r="N310" s="51">
        <v>62</v>
      </c>
      <c r="O310" s="11">
        <v>47</v>
      </c>
      <c r="P310" s="10"/>
      <c r="Q310" s="40"/>
      <c r="R310" s="2">
        <v>134</v>
      </c>
      <c r="S310" s="10">
        <f>IF(T310="",R310,MAX((R310+$R$8)/$R$2,(T310+$T$8)/$T$2)*$R$2-$R$8)</f>
        <v>134</v>
      </c>
      <c r="T310" s="12">
        <v>162</v>
      </c>
      <c r="U310" s="68">
        <f>IF(A310&lt;&gt;"",SUM(B310:I310),"")</f>
        <v>194</v>
      </c>
      <c r="V310" s="10">
        <f>IF(A310&lt;&gt;"",SUM(J310:O310),"")</f>
        <v>292</v>
      </c>
      <c r="W310" s="10">
        <f>IF(A310&lt;&gt;"",SUM(P310:Q310),"")</f>
        <v>0</v>
      </c>
      <c r="X310" s="10">
        <f>IF(A310&lt;&gt;"",SUM(S310:T310),"")</f>
        <v>296</v>
      </c>
      <c r="Y310" s="12">
        <v>3</v>
      </c>
      <c r="Z310" s="12">
        <f>IF(A310&lt;&gt;"",SUM(U310:Y310),"")</f>
        <v>785</v>
      </c>
      <c r="AA310" s="27">
        <f>IF(A310&lt;&gt;"",(Z310+Normalize_To_Add)/(Point_Total_So_Far)*100,"")</f>
        <v>86.009673189131846</v>
      </c>
      <c r="AB310" s="10">
        <f>IF(A310&lt;&gt;"",RANK(AA310,All_Student_XC),"")</f>
        <v>137</v>
      </c>
      <c r="AC310" s="31" t="str">
        <f>IF(A310&lt;&gt;"",CHOOSE(10-MIN(9,TRUNC((AA310+0.5)/10)),"A","B","C","D","F","F","F","F","F","F"),"")</f>
        <v>B</v>
      </c>
      <c r="AD310" s="31" t="str">
        <f>IF(A310&lt;&gt;"",IF(OR(AA310+0.5&gt;=93,AA310+0.5&lt;60),"",IF(MOD(AA310+0.5,10)&gt;=7,"+",IF(MOD(AA310+0.5,10)&lt;3,"-",""))),"")</f>
        <v/>
      </c>
      <c r="AE310" s="31">
        <f>IF(A310&lt;&gt;"",SUM(W310:X310,$W$8:$X$8)/SUM($W$2:$X$2)*100,"")</f>
        <v>74.21934637826368</v>
      </c>
      <c r="AF310" s="31" t="str">
        <f>IF(A310&lt;&gt;"",CHOOSE(10-MIN(9,TRUNC((AE310+0.5)/10)),"A","B","C","D","F","F","F","F","F","F"),"")</f>
        <v>C</v>
      </c>
      <c r="AG310" s="31" t="str">
        <f>IF(A310&lt;&gt;"",IF(OR(AE310+0.5&gt;=93,AE310+0.5&lt;60),"",IF(MOD(AE310+0.5,10)&gt;=7,"+",IF(MOD(AE310+0.5,10)&lt;3,"-",""))),"")</f>
        <v/>
      </c>
      <c r="AH310" s="35">
        <f>IF(A310&lt;&gt;"",MIN(MAX(AA310,AE310),AA310+$AH$8,AE310+$AH$8),"")</f>
        <v>86.009673189131846</v>
      </c>
      <c r="AI310" s="31" t="str">
        <f>IF(A310&lt;&gt;"",CHOOSE(10-MIN(9,TRUNC((AH310+0.5)/10)),"A","B","C","D","F","F","F","F","F","F"),"")</f>
        <v>B</v>
      </c>
      <c r="AJ310" s="31" t="str">
        <f>IF(A310&lt;&gt;"",IF(OR(AH310+0.5&gt;=93,AH310+0.5&lt;60),"",IF(MOD(AH310+0.5,10)&gt;=7,"+",IF(MOD(AH310+0.5,10)&lt;3,"-",""))),"")</f>
        <v/>
      </c>
      <c r="AK310" s="31" t="b">
        <f>IF(A310&lt;&gt;"",OR(AI310&lt;&gt;AC310,AJ310&lt;&gt;AD310),"")</f>
        <v>0</v>
      </c>
      <c r="AL310" s="81">
        <f>IF(AND(A310&lt;&gt;"",U310&gt;0),SUM(U310,$AL$8)/$AL$2*100,"")</f>
        <v>97</v>
      </c>
      <c r="AM310" s="24">
        <f>IF(AND(A310&lt;&gt;"",V310&gt;0),SUM(V310,$AM$8)/$AM$2*100,"")</f>
        <v>97.333333333333343</v>
      </c>
      <c r="AN310" s="24" t="str">
        <f>IF(AND(A310&lt;&gt;"",P310&lt;&gt;0),SUM(P310,$AN$8)/$AN$2*100,"")</f>
        <v/>
      </c>
      <c r="AO310" s="24" t="str">
        <f>IF(AND(A310&lt;&gt;"",Q310&lt;&gt;0),SUM(Q310,$AO$8)/$AO$2*100,"")</f>
        <v/>
      </c>
      <c r="AP310" s="24">
        <f>IF(AND(A310&lt;&gt;"",R310&lt;&gt;0),SUM(R310,$AP$8)/$AP$2*100,"")</f>
        <v>81.502659574468083</v>
      </c>
      <c r="AQ310" s="24" t="str">
        <f>IF(AND(A310&lt;&gt;"",W310&gt;0),SUM(W310,$AQ$8)/$AQ$2*100,"")</f>
        <v/>
      </c>
      <c r="AR310" s="24">
        <f>IF(AND(A310&lt;&gt;"",T310&gt;0),SUM(T310,$AR$8)/$AR$2*100,"")</f>
        <v>69.363804247460763</v>
      </c>
      <c r="AS310" s="24">
        <f>IF(AND(A310&lt;&gt;"",X310&lt;&gt;0),SUM(X310,$AS$8)/$AS$2*100,"")</f>
        <v>74.21934637826368</v>
      </c>
      <c r="AT310" s="86">
        <f>IF(A310&lt;&gt;"",SUM(W310:X310,$AT$8)/$AT$2*100,"")</f>
        <v>74.21934637826368</v>
      </c>
      <c r="AU310" s="24">
        <f>AA310</f>
        <v>86.009673189131846</v>
      </c>
      <c r="AV310" s="24"/>
      <c r="AW310" s="27">
        <f>IF(A310&lt;&gt;"",AE310-AA310,"")</f>
        <v>-11.790326810868166</v>
      </c>
      <c r="AY310" s="27">
        <f>AR310-AP310</f>
        <v>-12.13885532700732</v>
      </c>
      <c r="AZ310" s="27">
        <f>ABS(AY310)</f>
        <v>12.13885532700732</v>
      </c>
    </row>
    <row r="311" spans="1:52" s="27" customFormat="1" ht="12.75" customHeight="1" x14ac:dyDescent="0.2">
      <c r="A311" s="10">
        <v>816506</v>
      </c>
      <c r="B311" s="2">
        <v>23</v>
      </c>
      <c r="C311" s="10">
        <v>25</v>
      </c>
      <c r="D311" s="10">
        <v>20</v>
      </c>
      <c r="E311" s="10">
        <v>20</v>
      </c>
      <c r="F311" s="10">
        <v>23</v>
      </c>
      <c r="G311" s="10">
        <v>25</v>
      </c>
      <c r="H311" s="10">
        <v>24</v>
      </c>
      <c r="I311" s="10">
        <v>5</v>
      </c>
      <c r="J311" s="2"/>
      <c r="K311" s="10">
        <v>52</v>
      </c>
      <c r="L311" s="10">
        <v>62</v>
      </c>
      <c r="M311" s="10">
        <v>61</v>
      </c>
      <c r="N311" s="51">
        <v>58</v>
      </c>
      <c r="O311" s="11">
        <v>62</v>
      </c>
      <c r="P311" s="10"/>
      <c r="Q311" s="40"/>
      <c r="R311" s="2">
        <v>141</v>
      </c>
      <c r="S311" s="10">
        <f>IF(T311="",R311,MAX((R311+$R$8)/$R$2,(T311+$T$8)/$T$2)*$R$2-$R$8)</f>
        <v>160.38895601265202</v>
      </c>
      <c r="T311" s="12">
        <v>238</v>
      </c>
      <c r="U311" s="68">
        <f>IF(A311&lt;&gt;"",SUM(B311:I311),"")</f>
        <v>165</v>
      </c>
      <c r="V311" s="10">
        <f>IF(A311&lt;&gt;"",SUM(J311:O311),"")</f>
        <v>295</v>
      </c>
      <c r="W311" s="10">
        <f>IF(A311&lt;&gt;"",SUM(P311:Q311),"")</f>
        <v>0</v>
      </c>
      <c r="X311" s="10">
        <f>IF(A311&lt;&gt;"",SUM(S311:T311),"")</f>
        <v>398.38895601265199</v>
      </c>
      <c r="Y311" s="12">
        <v>3</v>
      </c>
      <c r="Z311" s="12">
        <f>IF(A311&lt;&gt;"",SUM(U311:Y311),"")</f>
        <v>861.38895601265199</v>
      </c>
      <c r="AA311" s="27">
        <f>IF(A311&lt;&gt;"",(Z311+Normalize_To_Add)/(Point_Total_So_Far)*100,"")</f>
        <v>93.64856879039705</v>
      </c>
      <c r="AB311" s="10">
        <f>IF(A311&lt;&gt;"",RANK(AA311,All_Student_XC),"")</f>
        <v>46</v>
      </c>
      <c r="AC311" s="31" t="str">
        <f>IF(A311&lt;&gt;"",CHOOSE(10-MIN(9,TRUNC((AA311+0.5)/10)),"A","B","C","D","F","F","F","F","F","F"),"")</f>
        <v>A</v>
      </c>
      <c r="AD311" s="31" t="str">
        <f>IF(A311&lt;&gt;"",IF(OR(AA311+0.5&gt;=93,AA311+0.5&lt;60),"",IF(MOD(AA311+0.5,10)&gt;=7,"+",IF(MOD(AA311+0.5,10)&lt;3,"-",""))),"")</f>
        <v/>
      </c>
      <c r="AE311" s="31">
        <f>IF(A311&lt;&gt;"",SUM(W311:X311,$W$8:$X$8)/SUM($W$2:$X$2)*100,"")</f>
        <v>94.697137580794092</v>
      </c>
      <c r="AF311" s="31" t="str">
        <f>IF(A311&lt;&gt;"",CHOOSE(10-MIN(9,TRUNC((AE311+0.5)/10)),"A","B","C","D","F","F","F","F","F","F"),"")</f>
        <v>A</v>
      </c>
      <c r="AG311" s="31" t="str">
        <f>IF(A311&lt;&gt;"",IF(OR(AE311+0.5&gt;=93,AE311+0.5&lt;60),"",IF(MOD(AE311+0.5,10)&gt;=7,"+",IF(MOD(AE311+0.5,10)&lt;3,"-",""))),"")</f>
        <v/>
      </c>
      <c r="AH311" s="35">
        <f>IF(A311&lt;&gt;"",MIN(MAX(AA311,AE311),AA311+$AH$8,AE311+$AH$8),"")</f>
        <v>94.697137580794092</v>
      </c>
      <c r="AI311" s="31" t="str">
        <f>IF(A311&lt;&gt;"",CHOOSE(10-MIN(9,TRUNC((AH311+0.5)/10)),"A","B","C","D","F","F","F","F","F","F"),"")</f>
        <v>A</v>
      </c>
      <c r="AJ311" s="31" t="str">
        <f>IF(A311&lt;&gt;"",IF(OR(AH311+0.5&gt;=93,AH311+0.5&lt;60),"",IF(MOD(AH311+0.5,10)&gt;=7,"+",IF(MOD(AH311+0.5,10)&lt;3,"-",""))),"")</f>
        <v/>
      </c>
      <c r="AK311" s="31" t="b">
        <f>IF(A311&lt;&gt;"",OR(AI311&lt;&gt;AC311,AJ311&lt;&gt;AD311),"")</f>
        <v>0</v>
      </c>
      <c r="AL311" s="81">
        <f>IF(AND(A311&lt;&gt;"",U311&gt;0),SUM(U311,$AL$8)/$AL$2*100,"")</f>
        <v>82.5</v>
      </c>
      <c r="AM311" s="24">
        <f>IF(AND(A311&lt;&gt;"",V311&gt;0),SUM(V311,$AM$8)/$AM$2*100,"")</f>
        <v>98.333333333333329</v>
      </c>
      <c r="AN311" s="24" t="str">
        <f>IF(AND(A311&lt;&gt;"",P311&lt;&gt;0),SUM(P311,$AN$8)/$AN$2*100,"")</f>
        <v/>
      </c>
      <c r="AO311" s="24" t="str">
        <f>IF(AND(A311&lt;&gt;"",Q311&lt;&gt;0),SUM(Q311,$AO$8)/$AO$2*100,"")</f>
        <v/>
      </c>
      <c r="AP311" s="24">
        <f>IF(AND(A311&lt;&gt;"",R311&lt;&gt;0),SUM(R311,$AP$8)/$AP$2*100,"")</f>
        <v>85.002659574468083</v>
      </c>
      <c r="AQ311" s="24" t="str">
        <f>IF(AND(A311&lt;&gt;"",W311&gt;0),SUM(W311,$AQ$8)/$AQ$2*100,"")</f>
        <v/>
      </c>
      <c r="AR311" s="24">
        <f>IF(AND(A311&lt;&gt;"",T311&gt;0),SUM(T311,$AR$8)/$AR$2*100,"")</f>
        <v>94.697137580794092</v>
      </c>
      <c r="AS311" s="24">
        <f>IF(AND(A311&lt;&gt;"",X311&lt;&gt;0),SUM(X311,$AS$8)/$AS$2*100,"")</f>
        <v>94.697137580794092</v>
      </c>
      <c r="AT311" s="86">
        <f>IF(A311&lt;&gt;"",SUM(W311:X311,$AT$8)/$AT$2*100,"")</f>
        <v>94.697137580794092</v>
      </c>
      <c r="AU311" s="24">
        <f>AA311</f>
        <v>93.64856879039705</v>
      </c>
      <c r="AV311" s="24"/>
      <c r="AW311" s="27">
        <f>IF(A311&lt;&gt;"",AE311-AA311,"")</f>
        <v>1.0485687903970415</v>
      </c>
      <c r="AY311" s="27">
        <f>AR311-AP311</f>
        <v>9.6944780063260083</v>
      </c>
      <c r="AZ311" s="27">
        <f>ABS(AY311)</f>
        <v>9.6944780063260083</v>
      </c>
    </row>
    <row r="312" spans="1:52" s="27" customFormat="1" ht="12.75" customHeight="1" x14ac:dyDescent="0.2">
      <c r="A312" s="50">
        <v>826828</v>
      </c>
      <c r="B312" s="2">
        <v>23</v>
      </c>
      <c r="C312" s="50">
        <v>22</v>
      </c>
      <c r="D312" s="10">
        <v>20</v>
      </c>
      <c r="E312" s="10">
        <v>22</v>
      </c>
      <c r="F312" s="10">
        <v>25</v>
      </c>
      <c r="G312" s="10">
        <v>16</v>
      </c>
      <c r="H312" s="10">
        <v>19</v>
      </c>
      <c r="I312" s="10">
        <v>25</v>
      </c>
      <c r="J312" s="2"/>
      <c r="K312" s="10">
        <v>62</v>
      </c>
      <c r="L312" s="10">
        <v>59</v>
      </c>
      <c r="M312" s="10">
        <v>60</v>
      </c>
      <c r="N312" s="51">
        <v>45</v>
      </c>
      <c r="O312" s="11">
        <v>61</v>
      </c>
      <c r="P312" s="10"/>
      <c r="Q312" s="40"/>
      <c r="R312" s="2">
        <v>98</v>
      </c>
      <c r="S312" s="10">
        <f>IF(T312="",R312,MAX((R312+$R$8)/$R$2,(T312+$T$8)/$T$2)*$R$2-$R$8)</f>
        <v>102.38895601265202</v>
      </c>
      <c r="T312" s="62">
        <v>151</v>
      </c>
      <c r="U312" s="2">
        <f>IF(A312&lt;&gt;"",SUM(B312:I312),"")</f>
        <v>172</v>
      </c>
      <c r="V312" s="10">
        <f>IF(A312&lt;&gt;"",SUM(J312:O312),"")</f>
        <v>287</v>
      </c>
      <c r="W312" s="10">
        <f>IF(A312&lt;&gt;"",SUM(P312:Q312),"")</f>
        <v>0</v>
      </c>
      <c r="X312" s="10">
        <f>IF(A312&lt;&gt;"",SUM(S312:T312),"")</f>
        <v>253.38895601265202</v>
      </c>
      <c r="Y312" s="12" t="s">
        <v>69</v>
      </c>
      <c r="Z312" s="12">
        <f>IF(A312&lt;&gt;"",SUM(U312:Y312),"")</f>
        <v>712.38895601265199</v>
      </c>
      <c r="AA312" s="27">
        <f>IF(A312&lt;&gt;"",(Z312+Normalize_To_Add)/(Point_Total_So_Far)*100,"")</f>
        <v>78.748568790397044</v>
      </c>
      <c r="AB312" s="10">
        <f>IF(A312&lt;&gt;"",RANK(AA312,All_Student_XC),"")</f>
        <v>227</v>
      </c>
      <c r="AC312" s="31" t="str">
        <f>IF(A312&lt;&gt;"",CHOOSE(10-MIN(9,TRUNC((AA312+0.5)/10)),"A","B","C","D","F","F","F","F","F","F"),"")</f>
        <v>C</v>
      </c>
      <c r="AD312" s="31" t="str">
        <f>IF(A312&lt;&gt;"",IF(OR(AA312+0.5&gt;=93,AA312+0.5&lt;60),"",IF(MOD(AA312+0.5,10)&gt;=7,"+",IF(MOD(AA312+0.5,10)&lt;3,"-",""))),"")</f>
        <v>+</v>
      </c>
      <c r="AE312" s="31">
        <f>IF(A312&lt;&gt;"",SUM(W312:X312,$W$8:$X$8)/SUM($W$2:$X$2)*100,"")</f>
        <v>65.697137580794092</v>
      </c>
      <c r="AF312" s="43" t="str">
        <f>IF(A312&lt;&gt;"",CHOOSE(10-MIN(9,TRUNC((AE312+0.5)/10)),"A","B","C","D","F","F","F","F","F","F"),"")</f>
        <v>D</v>
      </c>
      <c r="AG312" s="43" t="str">
        <f>IF(A312&lt;&gt;"",IF(OR(AE312+0.5&gt;=93,AE312+0.5&lt;60),"",IF(MOD(AE312+0.5,10)&gt;=7,"+",IF(MOD(AE312+0.5,10)&lt;3,"-",""))),"")</f>
        <v/>
      </c>
      <c r="AH312" s="35">
        <f>IF(A312&lt;&gt;"",MIN(MAX(AA312,AE312),AA312+$AH$8,AE312+$AH$8),"")</f>
        <v>78.748568790397044</v>
      </c>
      <c r="AI312" s="31" t="str">
        <f>IF(A312&lt;&gt;"",CHOOSE(10-MIN(9,TRUNC((AH312+0.5)/10)),"A","B","C","D","F","F","F","F","F","F"),"")</f>
        <v>C</v>
      </c>
      <c r="AJ312" s="31" t="str">
        <f>IF(A312&lt;&gt;"",IF(OR(AH312+0.5&gt;=93,AH312+0.5&lt;60),"",IF(MOD(AH312+0.5,10)&gt;=7,"+",IF(MOD(AH312+0.5,10)&lt;3,"-",""))),"")</f>
        <v>+</v>
      </c>
      <c r="AK312" s="31" t="b">
        <f>IF(A312&lt;&gt;"",OR(AI312&lt;&gt;AC312,AJ312&lt;&gt;AD312),"")</f>
        <v>0</v>
      </c>
      <c r="AL312" s="81">
        <f>IF(AND(A312&lt;&gt;"",U312&gt;0),SUM(U312,$AL$8)/$AL$2*100,"")</f>
        <v>86</v>
      </c>
      <c r="AM312" s="24">
        <f>IF(AND(A312&lt;&gt;"",V312&gt;0),SUM(V312,$AM$8)/$AM$2*100,"")</f>
        <v>95.666666666666671</v>
      </c>
      <c r="AN312" s="24" t="str">
        <f>IF(AND(A312&lt;&gt;"",P312&lt;&gt;0),SUM(P312,$AN$8)/$AN$2*100,"")</f>
        <v/>
      </c>
      <c r="AO312" s="24" t="str">
        <f>IF(AND(A312&lt;&gt;"",Q312&lt;&gt;0),SUM(Q312,$AO$8)/$AO$2*100,"")</f>
        <v/>
      </c>
      <c r="AP312" s="24">
        <f>IF(AND(A312&lt;&gt;"",R312&lt;&gt;0),SUM(R312,$AP$8)/$AP$2*100,"")</f>
        <v>63.502659574468076</v>
      </c>
      <c r="AQ312" s="24" t="str">
        <f>IF(AND(A312&lt;&gt;"",W312&gt;0),SUM(W312,$AQ$8)/$AQ$2*100,"")</f>
        <v/>
      </c>
      <c r="AR312" s="24">
        <f>IF(AND(A312&lt;&gt;"",T312&gt;0),SUM(T312,$AR$8)/$AR$2*100,"")</f>
        <v>65.697137580794092</v>
      </c>
      <c r="AS312" s="24">
        <f>IF(AND(A312&lt;&gt;"",X312&lt;&gt;0),SUM(X312,$AS$8)/$AS$2*100,"")</f>
        <v>65.697137580794092</v>
      </c>
      <c r="AT312" s="86">
        <f>IF(A312&lt;&gt;"",SUM(W312:X312,$AT$8)/$AT$2*100,"")</f>
        <v>65.697137580794092</v>
      </c>
      <c r="AU312" s="24">
        <f>AA312</f>
        <v>78.748568790397044</v>
      </c>
      <c r="AV312" s="24"/>
      <c r="AW312" s="27">
        <f>IF(A312&lt;&gt;"",AE312-AA312,"")</f>
        <v>-13.051431209602953</v>
      </c>
      <c r="AY312" s="27">
        <f>AR312-AP312</f>
        <v>2.1944780063260154</v>
      </c>
      <c r="AZ312" s="27">
        <f>ABS(AY312)</f>
        <v>2.1944780063260154</v>
      </c>
    </row>
    <row r="313" spans="1:52" s="27" customFormat="1" ht="12.75" customHeight="1" x14ac:dyDescent="0.2">
      <c r="A313" s="50">
        <v>829040</v>
      </c>
      <c r="B313" s="2">
        <v>25</v>
      </c>
      <c r="C313" s="50">
        <v>25</v>
      </c>
      <c r="D313" s="10">
        <v>23</v>
      </c>
      <c r="E313" s="10">
        <v>25</v>
      </c>
      <c r="F313" s="10">
        <v>25</v>
      </c>
      <c r="G313" s="10">
        <v>25</v>
      </c>
      <c r="H313" s="10">
        <v>25</v>
      </c>
      <c r="I313" s="10">
        <v>25</v>
      </c>
      <c r="J313" s="2"/>
      <c r="K313" s="10">
        <v>62</v>
      </c>
      <c r="L313" s="10">
        <v>62</v>
      </c>
      <c r="M313" s="10">
        <v>62</v>
      </c>
      <c r="N313" s="51">
        <v>57</v>
      </c>
      <c r="O313" s="11">
        <v>62</v>
      </c>
      <c r="P313" s="10"/>
      <c r="Q313" s="40"/>
      <c r="R313" s="2">
        <v>146</v>
      </c>
      <c r="S313" s="10">
        <f>IF(T313="",R313,MAX((R313+$R$8)/$R$2,(T313+$T$8)/$T$2)*$R$2-$R$8)</f>
        <v>157.72228934598536</v>
      </c>
      <c r="T313" s="62">
        <v>234</v>
      </c>
      <c r="U313" s="2">
        <f>IF(A313&lt;&gt;"",SUM(B313:I313),"")</f>
        <v>198</v>
      </c>
      <c r="V313" s="10">
        <f>IF(A313&lt;&gt;"",SUM(J313:O313),"")</f>
        <v>305</v>
      </c>
      <c r="W313" s="10">
        <f>IF(A313&lt;&gt;"",SUM(P313:Q313),"")</f>
        <v>0</v>
      </c>
      <c r="X313" s="10">
        <f>IF(A313&lt;&gt;"",SUM(S313:T313),"")</f>
        <v>391.72228934598536</v>
      </c>
      <c r="Y313" s="12">
        <v>3</v>
      </c>
      <c r="Z313" s="12">
        <f>IF(A313&lt;&gt;"",SUM(U313:Y313),"")</f>
        <v>897.72228934598536</v>
      </c>
      <c r="AA313" s="27">
        <f>IF(A313&lt;&gt;"",(Z313+Normalize_To_Add)/(Point_Total_So_Far)*100,"")</f>
        <v>97.281902123730376</v>
      </c>
      <c r="AB313" s="10">
        <f>IF(A313&lt;&gt;"",RANK(AA313,All_Student_XC),"")</f>
        <v>17</v>
      </c>
      <c r="AC313" s="31" t="str">
        <f>IF(A313&lt;&gt;"",CHOOSE(10-MIN(9,TRUNC((AA313+0.5)/10)),"A","B","C","D","F","F","F","F","F","F"),"")</f>
        <v>A</v>
      </c>
      <c r="AD313" s="31" t="str">
        <f>IF(A313&lt;&gt;"",IF(OR(AA313+0.5&gt;=93,AA313+0.5&lt;60),"",IF(MOD(AA313+0.5,10)&gt;=7,"+",IF(MOD(AA313+0.5,10)&lt;3,"-",""))),"")</f>
        <v/>
      </c>
      <c r="AE313" s="31">
        <f>IF(A313&lt;&gt;"",SUM(W313:X313,$W$8:$X$8)/SUM($W$2:$X$2)*100,"")</f>
        <v>93.363804247460763</v>
      </c>
      <c r="AF313" s="43" t="str">
        <f>IF(A313&lt;&gt;"",CHOOSE(10-MIN(9,TRUNC((AE313+0.5)/10)),"A","B","C","D","F","F","F","F","F","F"),"")</f>
        <v>A</v>
      </c>
      <c r="AG313" s="43" t="str">
        <f>IF(A313&lt;&gt;"",IF(OR(AE313+0.5&gt;=93,AE313+0.5&lt;60),"",IF(MOD(AE313+0.5,10)&gt;=7,"+",IF(MOD(AE313+0.5,10)&lt;3,"-",""))),"")</f>
        <v/>
      </c>
      <c r="AH313" s="35">
        <f>IF(A313&lt;&gt;"",MIN(MAX(AA313,AE313),AA313+$AH$8,AE313+$AH$8),"")</f>
        <v>97.281902123730376</v>
      </c>
      <c r="AI313" s="31" t="str">
        <f>IF(A313&lt;&gt;"",CHOOSE(10-MIN(9,TRUNC((AH313+0.5)/10)),"A","B","C","D","F","F","F","F","F","F"),"")</f>
        <v>A</v>
      </c>
      <c r="AJ313" s="31" t="str">
        <f>IF(A313&lt;&gt;"",IF(OR(AH313+0.5&gt;=93,AH313+0.5&lt;60),"",IF(MOD(AH313+0.5,10)&gt;=7,"+",IF(MOD(AH313+0.5,10)&lt;3,"-",""))),"")</f>
        <v/>
      </c>
      <c r="AK313" s="31" t="b">
        <f>IF(A313&lt;&gt;"",OR(AI313&lt;&gt;AC313,AJ313&lt;&gt;AD313),"")</f>
        <v>0</v>
      </c>
      <c r="AL313" s="81">
        <f>IF(AND(A313&lt;&gt;"",U313&gt;0),SUM(U313,$AL$8)/$AL$2*100,"")</f>
        <v>99</v>
      </c>
      <c r="AM313" s="24">
        <f>IF(AND(A313&lt;&gt;"",V313&gt;0),SUM(V313,$AM$8)/$AM$2*100,"")</f>
        <v>101.66666666666666</v>
      </c>
      <c r="AN313" s="24" t="str">
        <f>IF(AND(A313&lt;&gt;"",P313&lt;&gt;0),SUM(P313,$AN$8)/$AN$2*100,"")</f>
        <v/>
      </c>
      <c r="AO313" s="24" t="str">
        <f>IF(AND(A313&lt;&gt;"",Q313&lt;&gt;0),SUM(Q313,$AO$8)/$AO$2*100,"")</f>
        <v/>
      </c>
      <c r="AP313" s="24">
        <f>IF(AND(A313&lt;&gt;"",R313&lt;&gt;0),SUM(R313,$AP$8)/$AP$2*100,"")</f>
        <v>87.502659574468083</v>
      </c>
      <c r="AQ313" s="24" t="str">
        <f>IF(AND(A313&lt;&gt;"",W313&gt;0),SUM(W313,$AQ$8)/$AQ$2*100,"")</f>
        <v/>
      </c>
      <c r="AR313" s="24">
        <f>IF(AND(A313&lt;&gt;"",T313&gt;0),SUM(T313,$AR$8)/$AR$2*100,"")</f>
        <v>93.363804247460763</v>
      </c>
      <c r="AS313" s="24">
        <f>IF(AND(A313&lt;&gt;"",X313&lt;&gt;0),SUM(X313,$AS$8)/$AS$2*100,"")</f>
        <v>93.363804247460763</v>
      </c>
      <c r="AT313" s="86">
        <f>IF(A313&lt;&gt;"",SUM(W313:X313,$AT$8)/$AT$2*100,"")</f>
        <v>93.363804247460763</v>
      </c>
      <c r="AU313" s="24">
        <f>AA313</f>
        <v>97.281902123730376</v>
      </c>
      <c r="AV313" s="24"/>
      <c r="AW313" s="27">
        <f>IF(A313&lt;&gt;"",AE313-AA313,"")</f>
        <v>-3.9180978762696128</v>
      </c>
      <c r="AY313" s="27">
        <f>AR313-AP313</f>
        <v>5.8611446729926797</v>
      </c>
      <c r="AZ313" s="27">
        <f>ABS(AY313)</f>
        <v>5.8611446729926797</v>
      </c>
    </row>
    <row r="314" spans="1:52" s="27" customFormat="1" ht="12.75" customHeight="1" x14ac:dyDescent="0.2">
      <c r="A314" s="10">
        <v>829820</v>
      </c>
      <c r="B314" s="2">
        <v>23</v>
      </c>
      <c r="C314" s="10">
        <v>23</v>
      </c>
      <c r="D314" s="10">
        <v>18</v>
      </c>
      <c r="E314" s="10">
        <v>12</v>
      </c>
      <c r="F314" s="10">
        <v>15</v>
      </c>
      <c r="G314" s="10">
        <v>10</v>
      </c>
      <c r="H314" s="10">
        <v>14</v>
      </c>
      <c r="I314" s="10">
        <v>25</v>
      </c>
      <c r="J314" s="2"/>
      <c r="K314" s="10">
        <v>50</v>
      </c>
      <c r="L314" s="10">
        <v>60</v>
      </c>
      <c r="M314" s="10">
        <v>57</v>
      </c>
      <c r="N314" s="51">
        <v>58</v>
      </c>
      <c r="O314" s="11">
        <v>62</v>
      </c>
      <c r="P314" s="10"/>
      <c r="Q314" s="40"/>
      <c r="R314" s="2">
        <v>120</v>
      </c>
      <c r="S314" s="10">
        <f>IF(T314="",R314,MAX((R314+$R$8)/$R$2,(T314+$T$8)/$T$2)*$R$2-$R$8)</f>
        <v>120</v>
      </c>
      <c r="T314" s="12">
        <v>155</v>
      </c>
      <c r="U314" s="68">
        <f>IF(A314&lt;&gt;"",SUM(B314:I314),"")</f>
        <v>140</v>
      </c>
      <c r="V314" s="10">
        <f>IF(A314&lt;&gt;"",SUM(J314:O314),"")</f>
        <v>287</v>
      </c>
      <c r="W314" s="10">
        <f>IF(A314&lt;&gt;"",SUM(P314:Q314),"")</f>
        <v>0</v>
      </c>
      <c r="X314" s="10">
        <f>IF(A314&lt;&gt;"",SUM(S314:T314),"")</f>
        <v>275</v>
      </c>
      <c r="Y314" s="12">
        <v>3</v>
      </c>
      <c r="Z314" s="12">
        <f>IF(A314&lt;&gt;"",SUM(U314:Y314),"")</f>
        <v>705</v>
      </c>
      <c r="AA314" s="27">
        <f>IF(A314&lt;&gt;"",(Z314+Normalize_To_Add)/(Point_Total_So_Far)*100,"")</f>
        <v>78.009673189131846</v>
      </c>
      <c r="AB314" s="10">
        <f>IF(A314&lt;&gt;"",RANK(AA314,All_Student_XC),"")</f>
        <v>243</v>
      </c>
      <c r="AC314" s="31" t="str">
        <f>IF(A314&lt;&gt;"",CHOOSE(10-MIN(9,TRUNC((AA314+0.5)/10)),"A","B","C","D","F","F","F","F","F","F"),"")</f>
        <v>C</v>
      </c>
      <c r="AD314" s="31" t="str">
        <f>IF(A314&lt;&gt;"",IF(OR(AA314+0.5&gt;=93,AA314+0.5&lt;60),"",IF(MOD(AA314+0.5,10)&gt;=7,"+",IF(MOD(AA314+0.5,10)&lt;3,"-",""))),"")</f>
        <v>+</v>
      </c>
      <c r="AE314" s="31">
        <f>IF(A314&lt;&gt;"",SUM(W314:X314,$W$8:$X$8)/SUM($W$2:$X$2)*100,"")</f>
        <v>70.019346378263677</v>
      </c>
      <c r="AF314" s="31" t="str">
        <f>IF(A314&lt;&gt;"",CHOOSE(10-MIN(9,TRUNC((AE314+0.5)/10)),"A","B","C","D","F","F","F","F","F","F"),"")</f>
        <v>C</v>
      </c>
      <c r="AG314" s="31" t="str">
        <f>IF(A314&lt;&gt;"",IF(OR(AE314+0.5&gt;=93,AE314+0.5&lt;60),"",IF(MOD(AE314+0.5,10)&gt;=7,"+",IF(MOD(AE314+0.5,10)&lt;3,"-",""))),"")</f>
        <v>-</v>
      </c>
      <c r="AH314" s="35">
        <f>IF(A314&lt;&gt;"",MIN(MAX(AA314,AE314),AA314+$AH$8,AE314+$AH$8),"")</f>
        <v>78.009673189131846</v>
      </c>
      <c r="AI314" s="31" t="str">
        <f>IF(A314&lt;&gt;"",CHOOSE(10-MIN(9,TRUNC((AH314+0.5)/10)),"A","B","C","D","F","F","F","F","F","F"),"")</f>
        <v>C</v>
      </c>
      <c r="AJ314" s="31" t="str">
        <f>IF(A314&lt;&gt;"",IF(OR(AH314+0.5&gt;=93,AH314+0.5&lt;60),"",IF(MOD(AH314+0.5,10)&gt;=7,"+",IF(MOD(AH314+0.5,10)&lt;3,"-",""))),"")</f>
        <v>+</v>
      </c>
      <c r="AK314" s="31" t="b">
        <f>IF(A314&lt;&gt;"",OR(AI314&lt;&gt;AC314,AJ314&lt;&gt;AD314),"")</f>
        <v>0</v>
      </c>
      <c r="AL314" s="81">
        <f>IF(AND(A314&lt;&gt;"",U314&gt;0),SUM(U314,$AL$8)/$AL$2*100,"")</f>
        <v>70</v>
      </c>
      <c r="AM314" s="24">
        <f>IF(AND(A314&lt;&gt;"",V314&gt;0),SUM(V314,$AM$8)/$AM$2*100,"")</f>
        <v>95.666666666666671</v>
      </c>
      <c r="AN314" s="24" t="str">
        <f>IF(AND(A314&lt;&gt;"",P314&lt;&gt;0),SUM(P314,$AN$8)/$AN$2*100,"")</f>
        <v/>
      </c>
      <c r="AO314" s="24" t="str">
        <f>IF(AND(A314&lt;&gt;"",Q314&lt;&gt;0),SUM(Q314,$AO$8)/$AO$2*100,"")</f>
        <v/>
      </c>
      <c r="AP314" s="24">
        <f>IF(AND(A314&lt;&gt;"",R314&lt;&gt;0),SUM(R314,$AP$8)/$AP$2*100,"")</f>
        <v>74.502659574468083</v>
      </c>
      <c r="AQ314" s="24" t="str">
        <f>IF(AND(A314&lt;&gt;"",W314&gt;0),SUM(W314,$AQ$8)/$AQ$2*100,"")</f>
        <v/>
      </c>
      <c r="AR314" s="24">
        <f>IF(AND(A314&lt;&gt;"",T314&gt;0),SUM(T314,$AR$8)/$AR$2*100,"")</f>
        <v>67.03047091412742</v>
      </c>
      <c r="AS314" s="24">
        <f>IF(AND(A314&lt;&gt;"",X314&lt;&gt;0),SUM(X314,$AS$8)/$AS$2*100,"")</f>
        <v>70.019346378263677</v>
      </c>
      <c r="AT314" s="86">
        <f>IF(A314&lt;&gt;"",SUM(W314:X314,$AT$8)/$AT$2*100,"")</f>
        <v>70.019346378263677</v>
      </c>
      <c r="AU314" s="24">
        <f>AA314</f>
        <v>78.009673189131846</v>
      </c>
      <c r="AV314" s="24"/>
      <c r="AW314" s="27">
        <f>IF(A314&lt;&gt;"",AE314-AA314,"")</f>
        <v>-7.9903268108681686</v>
      </c>
      <c r="AY314" s="27">
        <f>AR314-AP314</f>
        <v>-7.4721886603406631</v>
      </c>
      <c r="AZ314" s="27">
        <f>ABS(AY314)</f>
        <v>7.4721886603406631</v>
      </c>
    </row>
    <row r="315" spans="1:52" s="74" customFormat="1" ht="12.75" customHeight="1" x14ac:dyDescent="0.2">
      <c r="A315" s="91">
        <v>830224</v>
      </c>
      <c r="B315" s="70">
        <v>25</v>
      </c>
      <c r="C315" s="91">
        <v>23</v>
      </c>
      <c r="D315" s="69">
        <v>18</v>
      </c>
      <c r="E315" s="69">
        <v>19</v>
      </c>
      <c r="F315" s="69">
        <v>24</v>
      </c>
      <c r="G315" s="69">
        <v>25</v>
      </c>
      <c r="H315" s="69">
        <v>11</v>
      </c>
      <c r="I315" s="69">
        <v>23</v>
      </c>
      <c r="J315" s="70"/>
      <c r="K315" s="69">
        <v>49</v>
      </c>
      <c r="L315" s="69">
        <v>59</v>
      </c>
      <c r="M315" s="69">
        <v>57</v>
      </c>
      <c r="N315" s="92">
        <v>56</v>
      </c>
      <c r="O315" s="71">
        <v>56</v>
      </c>
      <c r="P315" s="69"/>
      <c r="Q315" s="72"/>
      <c r="R315" s="70">
        <v>153</v>
      </c>
      <c r="S315" s="69">
        <f>IF(T315="",R315,MAX((R315+$R$8)/$R$2,(T315+$T$8)/$T$2)*$R$2-$R$8)</f>
        <v>153</v>
      </c>
      <c r="T315" s="93">
        <v>185</v>
      </c>
      <c r="U315" s="70">
        <f>IF(A315&lt;&gt;"",SUM(B315:I315),"")</f>
        <v>168</v>
      </c>
      <c r="V315" s="69">
        <f>IF(A315&lt;&gt;"",SUM(J315:O315),"")</f>
        <v>277</v>
      </c>
      <c r="W315" s="69">
        <f>IF(A315&lt;&gt;"",SUM(P315:Q315),"")</f>
        <v>0</v>
      </c>
      <c r="X315" s="69">
        <f>IF(A315&lt;&gt;"",SUM(S315:T315),"")</f>
        <v>338</v>
      </c>
      <c r="Y315" s="73">
        <v>3</v>
      </c>
      <c r="Z315" s="73">
        <f>IF(A315&lt;&gt;"",SUM(U315:Y315),"")</f>
        <v>786</v>
      </c>
      <c r="AA315" s="74">
        <f>IF(A315&lt;&gt;"",(Z315+Normalize_To_Add)/(Point_Total_So_Far)*100,"")</f>
        <v>86.10967318913184</v>
      </c>
      <c r="AB315" s="69">
        <f>IF(A315&lt;&gt;"",RANK(AA315,All_Student_XC),"")</f>
        <v>136</v>
      </c>
      <c r="AC315" s="75" t="str">
        <f>IF(A315&lt;&gt;"",CHOOSE(10-MIN(9,TRUNC((AA315+0.5)/10)),"A","B","C","D","F","F","F","F","F","F"),"")</f>
        <v>B</v>
      </c>
      <c r="AD315" s="75" t="str">
        <f>IF(A315&lt;&gt;"",IF(OR(AA315+0.5&gt;=93,AA315+0.5&lt;60),"",IF(MOD(AA315+0.5,10)&gt;=7,"+",IF(MOD(AA315+0.5,10)&lt;3,"-",""))),"")</f>
        <v/>
      </c>
      <c r="AE315" s="75">
        <f>IF(A315&lt;&gt;"",SUM(W315:X315,$W$8:$X$8)/SUM($W$2:$X$2)*100,"")</f>
        <v>82.619346378263685</v>
      </c>
      <c r="AF315" s="94" t="str">
        <f>IF(A315&lt;&gt;"",CHOOSE(10-MIN(9,TRUNC((AE315+0.5)/10)),"A","B","C","D","F","F","F","F","F","F"),"")</f>
        <v>B</v>
      </c>
      <c r="AG315" s="94" t="str">
        <f>IF(A315&lt;&gt;"",IF(OR(AE315+0.5&gt;=93,AE315+0.5&lt;60),"",IF(MOD(AE315+0.5,10)&gt;=7,"+",IF(MOD(AE315+0.5,10)&lt;3,"-",""))),"")</f>
        <v/>
      </c>
      <c r="AH315" s="76">
        <f>IF(A315&lt;&gt;"",MIN(MAX(AA315,AE315),AA315+$AH$8,AE315+$AH$8),"")</f>
        <v>86.10967318913184</v>
      </c>
      <c r="AI315" s="75" t="str">
        <f>IF(A315&lt;&gt;"",CHOOSE(10-MIN(9,TRUNC((AH315+0.5)/10)),"A","B","C","D","F","F","F","F","F","F"),"")</f>
        <v>B</v>
      </c>
      <c r="AJ315" s="75" t="str">
        <f>IF(A315&lt;&gt;"",IF(OR(AH315+0.5&gt;=93,AH315+0.5&lt;60),"",IF(MOD(AH315+0.5,10)&gt;=7,"+",IF(MOD(AH315+0.5,10)&lt;3,"-",""))),"")</f>
        <v/>
      </c>
      <c r="AK315" s="75" t="b">
        <f>IF(A315&lt;&gt;"",OR(AI315&lt;&gt;AC315,AJ315&lt;&gt;AD315),"")</f>
        <v>0</v>
      </c>
      <c r="AL315" s="83">
        <f>IF(AND(A315&lt;&gt;"",U315&gt;0),SUM(U315,$AL$8)/$AL$2*100,"")</f>
        <v>84</v>
      </c>
      <c r="AM315" s="77">
        <f>IF(AND(A315&lt;&gt;"",V315&gt;0),SUM(V315,$AM$8)/$AM$2*100,"")</f>
        <v>92.333333333333329</v>
      </c>
      <c r="AN315" s="77" t="str">
        <f>IF(AND(A315&lt;&gt;"",P315&lt;&gt;0),SUM(P315,$AN$8)/$AN$2*100,"")</f>
        <v/>
      </c>
      <c r="AO315" s="77" t="str">
        <f>IF(AND(A315&lt;&gt;"",Q315&lt;&gt;0),SUM(Q315,$AO$8)/$AO$2*100,"")</f>
        <v/>
      </c>
      <c r="AP315" s="77">
        <f>IF(AND(A315&lt;&gt;"",R315&lt;&gt;0),SUM(R315,$AP$8)/$AP$2*100,"")</f>
        <v>91.002659574468083</v>
      </c>
      <c r="AQ315" s="77" t="str">
        <f>IF(AND(A315&lt;&gt;"",W315&gt;0),SUM(W315,$AQ$8)/$AQ$2*100,"")</f>
        <v/>
      </c>
      <c r="AR315" s="77">
        <f>IF(AND(A315&lt;&gt;"",T315&gt;0),SUM(T315,$AR$8)/$AR$2*100,"")</f>
        <v>77.03047091412742</v>
      </c>
      <c r="AS315" s="77">
        <f>IF(AND(A315&lt;&gt;"",X315&lt;&gt;0),SUM(X315,$AS$8)/$AS$2*100,"")</f>
        <v>82.619346378263685</v>
      </c>
      <c r="AT315" s="89">
        <f>IF(A315&lt;&gt;"",SUM(W315:X315,$AT$8)/$AT$2*100,"")</f>
        <v>82.619346378263685</v>
      </c>
      <c r="AU315" s="77">
        <f>AA315</f>
        <v>86.10967318913184</v>
      </c>
      <c r="AV315" s="77"/>
      <c r="AW315" s="74">
        <f>IF(A315&lt;&gt;"",AE315-AA315,"")</f>
        <v>-3.4903268108681544</v>
      </c>
      <c r="AY315" s="74">
        <f>AR315-AP315</f>
        <v>-13.972188660340663</v>
      </c>
      <c r="AZ315" s="74">
        <f>ABS(AY315)</f>
        <v>13.972188660340663</v>
      </c>
    </row>
    <row r="316" spans="1:52" s="27" customFormat="1" ht="12.75" customHeight="1" x14ac:dyDescent="0.2">
      <c r="A316" s="50">
        <v>834192</v>
      </c>
      <c r="B316" s="2">
        <v>23</v>
      </c>
      <c r="C316" s="50">
        <v>21</v>
      </c>
      <c r="D316" s="10">
        <v>23</v>
      </c>
      <c r="E316" s="10">
        <v>22</v>
      </c>
      <c r="F316" s="10">
        <v>19</v>
      </c>
      <c r="G316" s="10">
        <v>25</v>
      </c>
      <c r="H316" s="10">
        <v>25</v>
      </c>
      <c r="I316" s="10">
        <v>22</v>
      </c>
      <c r="J316" s="2"/>
      <c r="K316" s="10">
        <v>58</v>
      </c>
      <c r="L316" s="10">
        <v>52</v>
      </c>
      <c r="M316" s="10">
        <v>52</v>
      </c>
      <c r="N316" s="51">
        <v>36</v>
      </c>
      <c r="O316" s="11">
        <v>45</v>
      </c>
      <c r="P316" s="10"/>
      <c r="Q316" s="40"/>
      <c r="R316" s="2">
        <v>75</v>
      </c>
      <c r="S316" s="10">
        <f>IF(T316="",R316,MAX((R316+$R$8)/$R$2,(T316+$T$8)/$T$2)*$R$2-$R$8)</f>
        <v>77.722289345985345</v>
      </c>
      <c r="T316" s="62">
        <v>114</v>
      </c>
      <c r="U316" s="2">
        <f>IF(A316&lt;&gt;"",SUM(B316:I316),"")</f>
        <v>180</v>
      </c>
      <c r="V316" s="10">
        <f>IF(A316&lt;&gt;"",SUM(J316:O316),"")</f>
        <v>243</v>
      </c>
      <c r="W316" s="10">
        <f>IF(A316&lt;&gt;"",SUM(P316:Q316),"")</f>
        <v>0</v>
      </c>
      <c r="X316" s="10">
        <f>IF(A316&lt;&gt;"",SUM(S316:T316),"")</f>
        <v>191.72228934598536</v>
      </c>
      <c r="Y316" s="12">
        <v>3</v>
      </c>
      <c r="Z316" s="12">
        <f>IF(A316&lt;&gt;"",SUM(U316:Y316),"")</f>
        <v>617.72228934598536</v>
      </c>
      <c r="AA316" s="27">
        <f>IF(A316&lt;&gt;"",(Z316+Normalize_To_Add)/(Point_Total_So_Far)*100,"")</f>
        <v>69.281902123730376</v>
      </c>
      <c r="AB316" s="10">
        <f>IF(A316&lt;&gt;"",RANK(AA316,All_Student_XC),"")</f>
        <v>318</v>
      </c>
      <c r="AC316" s="31" t="str">
        <f>IF(A316&lt;&gt;"",CHOOSE(10-MIN(9,TRUNC((AA316+0.5)/10)),"A","B","C","D","F","F","F","F","F","F"),"")</f>
        <v>D</v>
      </c>
      <c r="AD316" s="31" t="str">
        <f>IF(A316&lt;&gt;"",IF(OR(AA316+0.5&gt;=93,AA316+0.5&lt;60),"",IF(MOD(AA316+0.5,10)&gt;=7,"+",IF(MOD(AA316+0.5,10)&lt;3,"-",""))),"")</f>
        <v>+</v>
      </c>
      <c r="AE316" s="31">
        <f>IF(A316&lt;&gt;"",SUM(W316:X316,$W$8:$X$8)/SUM($W$2:$X$2)*100,"")</f>
        <v>53.363804247460756</v>
      </c>
      <c r="AF316" s="43" t="str">
        <f>IF(A316&lt;&gt;"",CHOOSE(10-MIN(9,TRUNC((AE316+0.5)/10)),"A","B","C","D","F","F","F","F","F","F"),"")</f>
        <v>F</v>
      </c>
      <c r="AG316" s="43" t="str">
        <f>IF(A316&lt;&gt;"",IF(OR(AE316+0.5&gt;=93,AE316+0.5&lt;60),"",IF(MOD(AE316+0.5,10)&gt;=7,"+",IF(MOD(AE316+0.5,10)&lt;3,"-",""))),"")</f>
        <v/>
      </c>
      <c r="AH316" s="35">
        <f>IF(A316&lt;&gt;"",MIN(MAX(AA316,AE316),AA316+$AH$8,AE316+$AH$8),"")</f>
        <v>69.281902123730376</v>
      </c>
      <c r="AI316" s="31" t="str">
        <f>IF(A316&lt;&gt;"",CHOOSE(10-MIN(9,TRUNC((AH316+0.5)/10)),"A","B","C","D","F","F","F","F","F","F"),"")</f>
        <v>D</v>
      </c>
      <c r="AJ316" s="31" t="str">
        <f>IF(A316&lt;&gt;"",IF(OR(AH316+0.5&gt;=93,AH316+0.5&lt;60),"",IF(MOD(AH316+0.5,10)&gt;=7,"+",IF(MOD(AH316+0.5,10)&lt;3,"-",""))),"")</f>
        <v>+</v>
      </c>
      <c r="AK316" s="31" t="b">
        <f>IF(A316&lt;&gt;"",OR(AI316&lt;&gt;AC316,AJ316&lt;&gt;AD316),"")</f>
        <v>0</v>
      </c>
      <c r="AL316" s="81">
        <f>IF(AND(A316&lt;&gt;"",U316&gt;0),SUM(U316,$AL$8)/$AL$2*100,"")</f>
        <v>90</v>
      </c>
      <c r="AM316" s="24">
        <f>IF(AND(A316&lt;&gt;"",V316&gt;0),SUM(V316,$AM$8)/$AM$2*100,"")</f>
        <v>81</v>
      </c>
      <c r="AN316" s="24" t="str">
        <f>IF(AND(A316&lt;&gt;"",P316&lt;&gt;0),SUM(P316,$AN$8)/$AN$2*100,"")</f>
        <v/>
      </c>
      <c r="AO316" s="24" t="str">
        <f>IF(AND(A316&lt;&gt;"",Q316&lt;&gt;0),SUM(Q316,$AO$8)/$AO$2*100,"")</f>
        <v/>
      </c>
      <c r="AP316" s="24">
        <f>IF(AND(A316&lt;&gt;"",R316&lt;&gt;0),SUM(R316,$AP$8)/$AP$2*100,"")</f>
        <v>52.002659574468083</v>
      </c>
      <c r="AQ316" s="24" t="str">
        <f>IF(AND(A316&lt;&gt;"",W316&gt;0),SUM(W316,$AQ$8)/$AQ$2*100,"")</f>
        <v/>
      </c>
      <c r="AR316" s="24">
        <f>IF(AND(A316&lt;&gt;"",T316&gt;0),SUM(T316,$AR$8)/$AR$2*100,"")</f>
        <v>53.363804247460756</v>
      </c>
      <c r="AS316" s="24">
        <f>IF(AND(A316&lt;&gt;"",X316&lt;&gt;0),SUM(X316,$AS$8)/$AS$2*100,"")</f>
        <v>53.363804247460756</v>
      </c>
      <c r="AT316" s="86">
        <f>IF(A316&lt;&gt;"",SUM(W316:X316,$AT$8)/$AT$2*100,"")</f>
        <v>53.363804247460756</v>
      </c>
      <c r="AU316" s="24">
        <f>AA316</f>
        <v>69.281902123730376</v>
      </c>
      <c r="AV316" s="24"/>
      <c r="AW316" s="27">
        <f>IF(A316&lt;&gt;"",AE316-AA316,"")</f>
        <v>-15.91809787626962</v>
      </c>
      <c r="AY316" s="27">
        <f>AR316-AP316</f>
        <v>1.3611446729926726</v>
      </c>
      <c r="AZ316" s="27">
        <f>ABS(AY316)</f>
        <v>1.3611446729926726</v>
      </c>
    </row>
    <row r="317" spans="1:52" s="27" customFormat="1" ht="12.75" customHeight="1" x14ac:dyDescent="0.2">
      <c r="A317" s="10">
        <v>834306</v>
      </c>
      <c r="B317" s="2" t="s">
        <v>69</v>
      </c>
      <c r="C317" s="10" t="s">
        <v>69</v>
      </c>
      <c r="D317" s="10" t="s">
        <v>69</v>
      </c>
      <c r="E317" s="10">
        <v>18</v>
      </c>
      <c r="F317" s="10">
        <v>18</v>
      </c>
      <c r="G317" s="10" t="s">
        <v>69</v>
      </c>
      <c r="H317" s="10" t="s">
        <v>69</v>
      </c>
      <c r="I317" s="10" t="s">
        <v>69</v>
      </c>
      <c r="J317" s="2"/>
      <c r="K317" s="10">
        <v>43</v>
      </c>
      <c r="L317" s="10">
        <v>9</v>
      </c>
      <c r="M317" s="10">
        <v>0</v>
      </c>
      <c r="N317" s="51" t="s">
        <v>69</v>
      </c>
      <c r="O317" s="11" t="s">
        <v>69</v>
      </c>
      <c r="P317" s="10"/>
      <c r="Q317" s="40"/>
      <c r="R317" s="2">
        <v>68</v>
      </c>
      <c r="S317" s="10">
        <f>IF(T317="",R317,MAX((R317+$R$8)/$R$2,(T317+$T$8)/$T$2)*$R$2-$R$8)</f>
        <v>68</v>
      </c>
      <c r="T317" s="12" t="s">
        <v>69</v>
      </c>
      <c r="U317" s="68">
        <f>IF(A317&lt;&gt;"",SUM(B317:I317),"")</f>
        <v>36</v>
      </c>
      <c r="V317" s="10">
        <f>IF(A317&lt;&gt;"",SUM(J317:O317),"")</f>
        <v>52</v>
      </c>
      <c r="W317" s="10">
        <f>IF(A317&lt;&gt;"",SUM(P317:Q317),"")</f>
        <v>0</v>
      </c>
      <c r="X317" s="10">
        <f>IF(A317&lt;&gt;"",SUM(S317:T317),"")</f>
        <v>68</v>
      </c>
      <c r="Y317" s="12" t="s">
        <v>69</v>
      </c>
      <c r="Z317" s="12">
        <f>IF(A317&lt;&gt;"",SUM(U317:Y317),"")</f>
        <v>156</v>
      </c>
      <c r="AA317" s="27">
        <f>IF(A317&lt;&gt;"",(Z317+Normalize_To_Add)/(Point_Total_So_Far)*100,"")</f>
        <v>23.109673189131843</v>
      </c>
      <c r="AB317" s="10">
        <f>IF(A317&lt;&gt;"",RANK(AA317,All_Student_XC),"")</f>
        <v>373</v>
      </c>
      <c r="AC317" s="31" t="str">
        <f>IF(A317&lt;&gt;"",CHOOSE(10-MIN(9,TRUNC((AA317+0.5)/10)),"A","B","C","D","F","F","F","F","F","F"),"")</f>
        <v>F</v>
      </c>
      <c r="AD317" s="31" t="str">
        <f>IF(A317&lt;&gt;"",IF(OR(AA317+0.5&gt;=93,AA317+0.5&lt;60),"",IF(MOD(AA317+0.5,10)&gt;=7,"+",IF(MOD(AA317+0.5,10)&lt;3,"-",""))),"")</f>
        <v/>
      </c>
      <c r="AE317" s="31">
        <f>IF(A317&lt;&gt;"",SUM(W317:X317,$W$8:$X$8)/SUM($W$2:$X$2)*100,"")</f>
        <v>28.619346378263689</v>
      </c>
      <c r="AF317" s="31" t="str">
        <f>IF(A317&lt;&gt;"",CHOOSE(10-MIN(9,TRUNC((AE317+0.5)/10)),"A","B","C","D","F","F","F","F","F","F"),"")</f>
        <v>F</v>
      </c>
      <c r="AG317" s="31" t="str">
        <f>IF(A317&lt;&gt;"",IF(OR(AE317+0.5&gt;=93,AE317+0.5&lt;60),"",IF(MOD(AE317+0.5,10)&gt;=7,"+",IF(MOD(AE317+0.5,10)&lt;3,"-",""))),"")</f>
        <v/>
      </c>
      <c r="AH317" s="35">
        <f>IF(A317&lt;&gt;"",MIN(MAX(AA317,AE317),AA317+$AH$8,AE317+$AH$8),"")</f>
        <v>28.619346378263689</v>
      </c>
      <c r="AI317" s="31" t="str">
        <f>IF(A317&lt;&gt;"",CHOOSE(10-MIN(9,TRUNC((AH317+0.5)/10)),"A","B","C","D","F","F","F","F","F","F"),"")</f>
        <v>F</v>
      </c>
      <c r="AJ317" s="31" t="str">
        <f>IF(A317&lt;&gt;"",IF(OR(AH317+0.5&gt;=93,AH317+0.5&lt;60),"",IF(MOD(AH317+0.5,10)&gt;=7,"+",IF(MOD(AH317+0.5,10)&lt;3,"-",""))),"")</f>
        <v/>
      </c>
      <c r="AK317" s="31" t="b">
        <f>IF(A317&lt;&gt;"",OR(AI317&lt;&gt;AC317,AJ317&lt;&gt;AD317),"")</f>
        <v>0</v>
      </c>
      <c r="AL317" s="81">
        <f>IF(AND(A317&lt;&gt;"",U317&gt;0),SUM(U317,$AL$8)/$AL$2*100,"")</f>
        <v>18</v>
      </c>
      <c r="AM317" s="24">
        <f>IF(AND(A317&lt;&gt;"",V317&gt;0),SUM(V317,$AM$8)/$AM$2*100,"")</f>
        <v>17.333333333333336</v>
      </c>
      <c r="AN317" s="24" t="str">
        <f>IF(AND(A317&lt;&gt;"",P317&lt;&gt;0),SUM(P317,$AN$8)/$AN$2*100,"")</f>
        <v/>
      </c>
      <c r="AO317" s="24" t="str">
        <f>IF(AND(A317&lt;&gt;"",Q317&lt;&gt;0),SUM(Q317,$AO$8)/$AO$2*100,"")</f>
        <v/>
      </c>
      <c r="AP317" s="24">
        <f>IF(AND(A317&lt;&gt;"",R317&lt;&gt;0),SUM(R317,$AP$8)/$AP$2*100,"")</f>
        <v>48.502659574468083</v>
      </c>
      <c r="AQ317" s="24" t="str">
        <f>IF(AND(A317&lt;&gt;"",W317&gt;0),SUM(W317,$AQ$8)/$AQ$2*100,"")</f>
        <v/>
      </c>
      <c r="AR317" s="24">
        <f>IF(AND(A317&lt;&gt;"",T317&gt;0),SUM(T317,$AR$8)/$AR$2*100,"")</f>
        <v>15.363804247460756</v>
      </c>
      <c r="AS317" s="24">
        <f>IF(AND(A317&lt;&gt;"",X317&lt;&gt;0),SUM(X317,$AS$8)/$AS$2*100,"")</f>
        <v>28.619346378263689</v>
      </c>
      <c r="AT317" s="86">
        <f>IF(A317&lt;&gt;"",SUM(W317:X317,$AT$8)/$AT$2*100,"")</f>
        <v>28.619346378263689</v>
      </c>
      <c r="AU317" s="24">
        <f>AA317</f>
        <v>23.109673189131843</v>
      </c>
      <c r="AV317" s="24"/>
      <c r="AW317" s="27">
        <f>IF(A317&lt;&gt;"",AE317-AA317,"")</f>
        <v>5.5096731891318456</v>
      </c>
      <c r="AY317" s="27">
        <f>AR317-AP317</f>
        <v>-33.138855327007327</v>
      </c>
      <c r="AZ317" s="27">
        <f>ABS(AY317)</f>
        <v>33.138855327007327</v>
      </c>
    </row>
    <row r="318" spans="1:52" s="27" customFormat="1" ht="12.75" customHeight="1" x14ac:dyDescent="0.2">
      <c r="A318" s="50">
        <v>842606</v>
      </c>
      <c r="B318" s="2">
        <v>19</v>
      </c>
      <c r="C318" s="50">
        <v>15</v>
      </c>
      <c r="D318" s="10">
        <v>21</v>
      </c>
      <c r="E318" s="10">
        <v>21</v>
      </c>
      <c r="F318" s="10">
        <v>24</v>
      </c>
      <c r="G318" s="10">
        <v>25</v>
      </c>
      <c r="H318" s="10">
        <v>22</v>
      </c>
      <c r="I318" s="10">
        <v>23</v>
      </c>
      <c r="J318" s="2"/>
      <c r="K318" s="10">
        <v>47</v>
      </c>
      <c r="L318" s="10">
        <v>41</v>
      </c>
      <c r="M318" s="10">
        <v>52</v>
      </c>
      <c r="N318" s="51">
        <v>36</v>
      </c>
      <c r="O318" s="11">
        <v>45</v>
      </c>
      <c r="P318" s="10"/>
      <c r="Q318" s="40"/>
      <c r="R318" s="2">
        <v>147</v>
      </c>
      <c r="S318" s="10">
        <f>IF(T318="",R318,MAX((R318+$R$8)/$R$2,(T318+$T$8)/$T$2)*$R$2-$R$8)</f>
        <v>147</v>
      </c>
      <c r="T318" s="62">
        <v>188</v>
      </c>
      <c r="U318" s="2">
        <f>IF(A318&lt;&gt;"",SUM(B318:I318),"")</f>
        <v>170</v>
      </c>
      <c r="V318" s="10">
        <f>IF(A318&lt;&gt;"",SUM(J318:O318),"")</f>
        <v>221</v>
      </c>
      <c r="W318" s="10">
        <f>IF(A318&lt;&gt;"",SUM(P318:Q318),"")</f>
        <v>0</v>
      </c>
      <c r="X318" s="10">
        <f>IF(A318&lt;&gt;"",SUM(S318:T318),"")</f>
        <v>335</v>
      </c>
      <c r="Y318" s="12">
        <v>3</v>
      </c>
      <c r="Z318" s="12">
        <f>IF(A318&lt;&gt;"",SUM(U318:Y318),"")</f>
        <v>729</v>
      </c>
      <c r="AA318" s="27">
        <f>IF(A318&lt;&gt;"",(Z318+Normalize_To_Add)/(Point_Total_So_Far)*100,"")</f>
        <v>80.409673189131851</v>
      </c>
      <c r="AB318" s="10">
        <f>IF(A318&lt;&gt;"",RANK(AA318,All_Student_XC),"")</f>
        <v>204</v>
      </c>
      <c r="AC318" s="31" t="str">
        <f>IF(A318&lt;&gt;"",CHOOSE(10-MIN(9,TRUNC((AA318+0.5)/10)),"A","B","C","D","F","F","F","F","F","F"),"")</f>
        <v>B</v>
      </c>
      <c r="AD318" s="31" t="str">
        <f>IF(A318&lt;&gt;"",IF(OR(AA318+0.5&gt;=93,AA318+0.5&lt;60),"",IF(MOD(AA318+0.5,10)&gt;=7,"+",IF(MOD(AA318+0.5,10)&lt;3,"-",""))),"")</f>
        <v>-</v>
      </c>
      <c r="AE318" s="31">
        <f>IF(A318&lt;&gt;"",SUM(W318:X318,$W$8:$X$8)/SUM($W$2:$X$2)*100,"")</f>
        <v>82.019346378263677</v>
      </c>
      <c r="AF318" s="43" t="str">
        <f>IF(A318&lt;&gt;"",CHOOSE(10-MIN(9,TRUNC((AE318+0.5)/10)),"A","B","C","D","F","F","F","F","F","F"),"")</f>
        <v>B</v>
      </c>
      <c r="AG318" s="43" t="str">
        <f>IF(A318&lt;&gt;"",IF(OR(AE318+0.5&gt;=93,AE318+0.5&lt;60),"",IF(MOD(AE318+0.5,10)&gt;=7,"+",IF(MOD(AE318+0.5,10)&lt;3,"-",""))),"")</f>
        <v>-</v>
      </c>
      <c r="AH318" s="35">
        <f>IF(A318&lt;&gt;"",MIN(MAX(AA318,AE318),AA318+$AH$8,AE318+$AH$8),"")</f>
        <v>82.019346378263677</v>
      </c>
      <c r="AI318" s="31" t="str">
        <f>IF(A318&lt;&gt;"",CHOOSE(10-MIN(9,TRUNC((AH318+0.5)/10)),"A","B","C","D","F","F","F","F","F","F"),"")</f>
        <v>B</v>
      </c>
      <c r="AJ318" s="31" t="str">
        <f>IF(A318&lt;&gt;"",IF(OR(AH318+0.5&gt;=93,AH318+0.5&lt;60),"",IF(MOD(AH318+0.5,10)&gt;=7,"+",IF(MOD(AH318+0.5,10)&lt;3,"-",""))),"")</f>
        <v>-</v>
      </c>
      <c r="AK318" s="31" t="b">
        <f>IF(A318&lt;&gt;"",OR(AI318&lt;&gt;AC318,AJ318&lt;&gt;AD318),"")</f>
        <v>0</v>
      </c>
      <c r="AL318" s="81">
        <f>IF(AND(A318&lt;&gt;"",U318&gt;0),SUM(U318,$AL$8)/$AL$2*100,"")</f>
        <v>85</v>
      </c>
      <c r="AM318" s="24">
        <f>IF(AND(A318&lt;&gt;"",V318&gt;0),SUM(V318,$AM$8)/$AM$2*100,"")</f>
        <v>73.666666666666671</v>
      </c>
      <c r="AN318" s="24" t="str">
        <f>IF(AND(A318&lt;&gt;"",P318&lt;&gt;0),SUM(P318,$AN$8)/$AN$2*100,"")</f>
        <v/>
      </c>
      <c r="AO318" s="24" t="str">
        <f>IF(AND(A318&lt;&gt;"",Q318&lt;&gt;0),SUM(Q318,$AO$8)/$AO$2*100,"")</f>
        <v/>
      </c>
      <c r="AP318" s="24">
        <f>IF(AND(A318&lt;&gt;"",R318&lt;&gt;0),SUM(R318,$AP$8)/$AP$2*100,"")</f>
        <v>88.002659574468083</v>
      </c>
      <c r="AQ318" s="24" t="str">
        <f>IF(AND(A318&lt;&gt;"",W318&gt;0),SUM(W318,$AQ$8)/$AQ$2*100,"")</f>
        <v/>
      </c>
      <c r="AR318" s="24">
        <f>IF(AND(A318&lt;&gt;"",T318&gt;0),SUM(T318,$AR$8)/$AR$2*100,"")</f>
        <v>78.03047091412742</v>
      </c>
      <c r="AS318" s="24">
        <f>IF(AND(A318&lt;&gt;"",X318&lt;&gt;0),SUM(X318,$AS$8)/$AS$2*100,"")</f>
        <v>82.019346378263677</v>
      </c>
      <c r="AT318" s="86">
        <f>IF(A318&lt;&gt;"",SUM(W318:X318,$AT$8)/$AT$2*100,"")</f>
        <v>82.019346378263677</v>
      </c>
      <c r="AU318" s="24">
        <f>AA318</f>
        <v>80.409673189131851</v>
      </c>
      <c r="AV318" s="24"/>
      <c r="AW318" s="27">
        <f>IF(A318&lt;&gt;"",AE318-AA318,"")</f>
        <v>1.6096731891318257</v>
      </c>
      <c r="AY318" s="27">
        <f>AR318-AP318</f>
        <v>-9.9721886603406631</v>
      </c>
      <c r="AZ318" s="27">
        <f>ABS(AY318)</f>
        <v>9.9721886603406631</v>
      </c>
    </row>
    <row r="319" spans="1:52" s="27" customFormat="1" ht="12.75" customHeight="1" x14ac:dyDescent="0.2">
      <c r="A319" s="10">
        <v>842970</v>
      </c>
      <c r="B319" s="2">
        <v>25</v>
      </c>
      <c r="C319" s="10">
        <v>25</v>
      </c>
      <c r="D319" s="10">
        <v>21</v>
      </c>
      <c r="E319" s="10">
        <v>23</v>
      </c>
      <c r="F319" s="10">
        <v>24</v>
      </c>
      <c r="G319" s="10">
        <v>8</v>
      </c>
      <c r="H319" s="10">
        <v>24</v>
      </c>
      <c r="I319" s="10">
        <v>17</v>
      </c>
      <c r="J319" s="2"/>
      <c r="K319" s="10">
        <v>62</v>
      </c>
      <c r="L319" s="10">
        <v>62</v>
      </c>
      <c r="M319" s="10">
        <v>55</v>
      </c>
      <c r="N319" s="51">
        <v>51</v>
      </c>
      <c r="O319" s="11">
        <v>47</v>
      </c>
      <c r="P319" s="10"/>
      <c r="Q319" s="40"/>
      <c r="R319" s="2">
        <v>119</v>
      </c>
      <c r="S319" s="10">
        <f>IF(T319="",R319,MAX((R319+$R$8)/$R$2,(T319+$T$8)/$T$2)*$R$2-$R$8)</f>
        <v>119</v>
      </c>
      <c r="T319" s="12">
        <v>157</v>
      </c>
      <c r="U319" s="68">
        <f>IF(A319&lt;&gt;"",SUM(B319:I319),"")</f>
        <v>167</v>
      </c>
      <c r="V319" s="10">
        <f>IF(A319&lt;&gt;"",SUM(J319:O319),"")</f>
        <v>277</v>
      </c>
      <c r="W319" s="10">
        <f>IF(A319&lt;&gt;"",SUM(P319:Q319),"")</f>
        <v>0</v>
      </c>
      <c r="X319" s="10">
        <f>IF(A319&lt;&gt;"",SUM(S319:T319),"")</f>
        <v>276</v>
      </c>
      <c r="Y319" s="12">
        <v>3</v>
      </c>
      <c r="Z319" s="12">
        <f>IF(A319&lt;&gt;"",SUM(U319:Y319),"")</f>
        <v>723</v>
      </c>
      <c r="AA319" s="27">
        <f>IF(A319&lt;&gt;"",(Z319+Normalize_To_Add)/(Point_Total_So_Far)*100,"")</f>
        <v>79.809673189131843</v>
      </c>
      <c r="AB319" s="10">
        <f>IF(A319&lt;&gt;"",RANK(AA319,All_Student_XC),"")</f>
        <v>213</v>
      </c>
      <c r="AC319" s="31" t="str">
        <f>IF(A319&lt;&gt;"",CHOOSE(10-MIN(9,TRUNC((AA319+0.5)/10)),"A","B","C","D","F","F","F","F","F","F"),"")</f>
        <v>B</v>
      </c>
      <c r="AD319" s="31" t="str">
        <f>IF(A319&lt;&gt;"",IF(OR(AA319+0.5&gt;=93,AA319+0.5&lt;60),"",IF(MOD(AA319+0.5,10)&gt;=7,"+",IF(MOD(AA319+0.5,10)&lt;3,"-",""))),"")</f>
        <v>-</v>
      </c>
      <c r="AE319" s="31">
        <f>IF(A319&lt;&gt;"",SUM(W319:X319,$W$8:$X$8)/SUM($W$2:$X$2)*100,"")</f>
        <v>70.21934637826368</v>
      </c>
      <c r="AF319" s="31" t="str">
        <f>IF(A319&lt;&gt;"",CHOOSE(10-MIN(9,TRUNC((AE319+0.5)/10)),"A","B","C","D","F","F","F","F","F","F"),"")</f>
        <v>C</v>
      </c>
      <c r="AG319" s="31" t="str">
        <f>IF(A319&lt;&gt;"",IF(OR(AE319+0.5&gt;=93,AE319+0.5&lt;60),"",IF(MOD(AE319+0.5,10)&gt;=7,"+",IF(MOD(AE319+0.5,10)&lt;3,"-",""))),"")</f>
        <v>-</v>
      </c>
      <c r="AH319" s="35">
        <f>IF(A319&lt;&gt;"",MIN(MAX(AA319,AE319),AA319+$AH$8,AE319+$AH$8),"")</f>
        <v>79.809673189131843</v>
      </c>
      <c r="AI319" s="31" t="str">
        <f>IF(A319&lt;&gt;"",CHOOSE(10-MIN(9,TRUNC((AH319+0.5)/10)),"A","B","C","D","F","F","F","F","F","F"),"")</f>
        <v>B</v>
      </c>
      <c r="AJ319" s="31" t="str">
        <f>IF(A319&lt;&gt;"",IF(OR(AH319+0.5&gt;=93,AH319+0.5&lt;60),"",IF(MOD(AH319+0.5,10)&gt;=7,"+",IF(MOD(AH319+0.5,10)&lt;3,"-",""))),"")</f>
        <v>-</v>
      </c>
      <c r="AK319" s="31" t="b">
        <f>IF(A319&lt;&gt;"",OR(AI319&lt;&gt;AC319,AJ319&lt;&gt;AD319),"")</f>
        <v>0</v>
      </c>
      <c r="AL319" s="81">
        <f>IF(AND(A319&lt;&gt;"",U319&gt;0),SUM(U319,$AL$8)/$AL$2*100,"")</f>
        <v>83.5</v>
      </c>
      <c r="AM319" s="24">
        <f>IF(AND(A319&lt;&gt;"",V319&gt;0),SUM(V319,$AM$8)/$AM$2*100,"")</f>
        <v>92.333333333333329</v>
      </c>
      <c r="AN319" s="24" t="str">
        <f>IF(AND(A319&lt;&gt;"",P319&lt;&gt;0),SUM(P319,$AN$8)/$AN$2*100,"")</f>
        <v/>
      </c>
      <c r="AO319" s="24" t="str">
        <f>IF(AND(A319&lt;&gt;"",Q319&lt;&gt;0),SUM(Q319,$AO$8)/$AO$2*100,"")</f>
        <v/>
      </c>
      <c r="AP319" s="24">
        <f>IF(AND(A319&lt;&gt;"",R319&lt;&gt;0),SUM(R319,$AP$8)/$AP$2*100,"")</f>
        <v>74.002659574468083</v>
      </c>
      <c r="AQ319" s="24" t="str">
        <f>IF(AND(A319&lt;&gt;"",W319&gt;0),SUM(W319,$AQ$8)/$AQ$2*100,"")</f>
        <v/>
      </c>
      <c r="AR319" s="24">
        <f>IF(AND(A319&lt;&gt;"",T319&gt;0),SUM(T319,$AR$8)/$AR$2*100,"")</f>
        <v>67.697137580794092</v>
      </c>
      <c r="AS319" s="24">
        <f>IF(AND(A319&lt;&gt;"",X319&lt;&gt;0),SUM(X319,$AS$8)/$AS$2*100,"")</f>
        <v>70.21934637826368</v>
      </c>
      <c r="AT319" s="86">
        <f>IF(A319&lt;&gt;"",SUM(W319:X319,$AT$8)/$AT$2*100,"")</f>
        <v>70.21934637826368</v>
      </c>
      <c r="AU319" s="24">
        <f>AA319</f>
        <v>79.809673189131843</v>
      </c>
      <c r="AV319" s="24"/>
      <c r="AW319" s="27">
        <f>IF(A319&lt;&gt;"",AE319-AA319,"")</f>
        <v>-9.590326810868163</v>
      </c>
      <c r="AY319" s="27">
        <f>AR319-AP319</f>
        <v>-6.3055219936739917</v>
      </c>
      <c r="AZ319" s="27">
        <f>ABS(AY319)</f>
        <v>6.3055219936739917</v>
      </c>
    </row>
    <row r="320" spans="1:52" s="27" customFormat="1" ht="12.75" customHeight="1" x14ac:dyDescent="0.2">
      <c r="A320" s="10">
        <v>844534</v>
      </c>
      <c r="B320" s="2">
        <v>23</v>
      </c>
      <c r="C320" s="10">
        <v>20</v>
      </c>
      <c r="D320" s="10">
        <v>15</v>
      </c>
      <c r="E320" s="10">
        <v>14</v>
      </c>
      <c r="F320" s="10">
        <v>22</v>
      </c>
      <c r="G320" s="10">
        <v>16</v>
      </c>
      <c r="H320" s="10">
        <v>10</v>
      </c>
      <c r="I320" s="10">
        <v>25</v>
      </c>
      <c r="J320" s="2"/>
      <c r="K320" s="10">
        <v>58</v>
      </c>
      <c r="L320" s="10">
        <v>44</v>
      </c>
      <c r="M320" s="10">
        <v>34</v>
      </c>
      <c r="N320" s="51">
        <v>47</v>
      </c>
      <c r="O320" s="11">
        <v>62</v>
      </c>
      <c r="P320" s="10"/>
      <c r="Q320" s="40"/>
      <c r="R320" s="2">
        <v>93</v>
      </c>
      <c r="S320" s="10">
        <f>IF(T320="",R320,MAX((R320+$R$8)/$R$2,(T320+$T$8)/$T$2)*$R$2-$R$8)</f>
        <v>93.000000000000014</v>
      </c>
      <c r="T320" s="12">
        <v>97</v>
      </c>
      <c r="U320" s="68">
        <f>IF(A320&lt;&gt;"",SUM(B320:I320),"")</f>
        <v>145</v>
      </c>
      <c r="V320" s="10">
        <f>IF(A320&lt;&gt;"",SUM(J320:O320),"")</f>
        <v>245</v>
      </c>
      <c r="W320" s="10">
        <f>IF(A320&lt;&gt;"",SUM(P320:Q320),"")</f>
        <v>0</v>
      </c>
      <c r="X320" s="10">
        <f>IF(A320&lt;&gt;"",SUM(S320:T320),"")</f>
        <v>190</v>
      </c>
      <c r="Y320" s="12">
        <v>3</v>
      </c>
      <c r="Z320" s="12">
        <f>IF(A320&lt;&gt;"",SUM(U320:Y320),"")</f>
        <v>583</v>
      </c>
      <c r="AA320" s="27">
        <f>IF(A320&lt;&gt;"",(Z320+Normalize_To_Add)/(Point_Total_So_Far)*100,"")</f>
        <v>65.809673189131843</v>
      </c>
      <c r="AB320" s="10">
        <f>IF(A320&lt;&gt;"",RANK(AA320,All_Student_XC),"")</f>
        <v>335</v>
      </c>
      <c r="AC320" s="31" t="str">
        <f>IF(A320&lt;&gt;"",CHOOSE(10-MIN(9,TRUNC((AA320+0.5)/10)),"A","B","C","D","F","F","F","F","F","F"),"")</f>
        <v>D</v>
      </c>
      <c r="AD320" s="31" t="str">
        <f>IF(A320&lt;&gt;"",IF(OR(AA320+0.5&gt;=93,AA320+0.5&lt;60),"",IF(MOD(AA320+0.5,10)&gt;=7,"+",IF(MOD(AA320+0.5,10)&lt;3,"-",""))),"")</f>
        <v/>
      </c>
      <c r="AE320" s="31">
        <f>IF(A320&lt;&gt;"",SUM(W320:X320,$W$8:$X$8)/SUM($W$2:$X$2)*100,"")</f>
        <v>53.019346378263691</v>
      </c>
      <c r="AF320" s="31" t="str">
        <f>IF(A320&lt;&gt;"",CHOOSE(10-MIN(9,TRUNC((AE320+0.5)/10)),"A","B","C","D","F","F","F","F","F","F"),"")</f>
        <v>F</v>
      </c>
      <c r="AG320" s="31" t="str">
        <f>IF(A320&lt;&gt;"",IF(OR(AE320+0.5&gt;=93,AE320+0.5&lt;60),"",IF(MOD(AE320+0.5,10)&gt;=7,"+",IF(MOD(AE320+0.5,10)&lt;3,"-",""))),"")</f>
        <v/>
      </c>
      <c r="AH320" s="35">
        <f>IF(A320&lt;&gt;"",MIN(MAX(AA320,AE320),AA320+$AH$8,AE320+$AH$8),"")</f>
        <v>65.809673189131843</v>
      </c>
      <c r="AI320" s="31" t="str">
        <f>IF(A320&lt;&gt;"",CHOOSE(10-MIN(9,TRUNC((AH320+0.5)/10)),"A","B","C","D","F","F","F","F","F","F"),"")</f>
        <v>D</v>
      </c>
      <c r="AJ320" s="31" t="str">
        <f>IF(A320&lt;&gt;"",IF(OR(AH320+0.5&gt;=93,AH320+0.5&lt;60),"",IF(MOD(AH320+0.5,10)&gt;=7,"+",IF(MOD(AH320+0.5,10)&lt;3,"-",""))),"")</f>
        <v/>
      </c>
      <c r="AK320" s="31" t="b">
        <f>IF(A320&lt;&gt;"",OR(AI320&lt;&gt;AC320,AJ320&lt;&gt;AD320),"")</f>
        <v>0</v>
      </c>
      <c r="AL320" s="81">
        <f>IF(AND(A320&lt;&gt;"",U320&gt;0),SUM(U320,$AL$8)/$AL$2*100,"")</f>
        <v>72.5</v>
      </c>
      <c r="AM320" s="24">
        <f>IF(AND(A320&lt;&gt;"",V320&gt;0),SUM(V320,$AM$8)/$AM$2*100,"")</f>
        <v>81.666666666666671</v>
      </c>
      <c r="AN320" s="24" t="str">
        <f>IF(AND(A320&lt;&gt;"",P320&lt;&gt;0),SUM(P320,$AN$8)/$AN$2*100,"")</f>
        <v/>
      </c>
      <c r="AO320" s="24" t="str">
        <f>IF(AND(A320&lt;&gt;"",Q320&lt;&gt;0),SUM(Q320,$AO$8)/$AO$2*100,"")</f>
        <v/>
      </c>
      <c r="AP320" s="24">
        <f>IF(AND(A320&lt;&gt;"",R320&lt;&gt;0),SUM(R320,$AP$8)/$AP$2*100,"")</f>
        <v>61.00265957446809</v>
      </c>
      <c r="AQ320" s="24" t="str">
        <f>IF(AND(A320&lt;&gt;"",W320&gt;0),SUM(W320,$AQ$8)/$AQ$2*100,"")</f>
        <v/>
      </c>
      <c r="AR320" s="24">
        <f>IF(AND(A320&lt;&gt;"",T320&gt;0),SUM(T320,$AR$8)/$AR$2*100,"")</f>
        <v>47.697137580794084</v>
      </c>
      <c r="AS320" s="24">
        <f>IF(AND(A320&lt;&gt;"",X320&lt;&gt;0),SUM(X320,$AS$8)/$AS$2*100,"")</f>
        <v>53.019346378263691</v>
      </c>
      <c r="AT320" s="86">
        <f>IF(A320&lt;&gt;"",SUM(W320:X320,$AT$8)/$AT$2*100,"")</f>
        <v>53.019346378263691</v>
      </c>
      <c r="AU320" s="24">
        <f>AA320</f>
        <v>65.809673189131843</v>
      </c>
      <c r="AV320" s="24"/>
      <c r="AW320" s="27">
        <f>IF(A320&lt;&gt;"",AE320-AA320,"")</f>
        <v>-12.790326810868152</v>
      </c>
      <c r="AY320" s="27">
        <f>AR320-AP320</f>
        <v>-13.305521993674006</v>
      </c>
      <c r="AZ320" s="27">
        <f>ABS(AY320)</f>
        <v>13.305521993674006</v>
      </c>
    </row>
    <row r="321" spans="1:52" s="27" customFormat="1" ht="12.75" customHeight="1" x14ac:dyDescent="0.2">
      <c r="A321" s="50">
        <v>856622</v>
      </c>
      <c r="B321" s="2">
        <v>23</v>
      </c>
      <c r="C321" s="50">
        <v>21</v>
      </c>
      <c r="D321" s="10">
        <v>23</v>
      </c>
      <c r="E321" s="10">
        <v>25</v>
      </c>
      <c r="F321" s="10">
        <v>23</v>
      </c>
      <c r="G321" s="10">
        <v>25</v>
      </c>
      <c r="H321" s="10">
        <v>24</v>
      </c>
      <c r="I321" s="10">
        <v>24</v>
      </c>
      <c r="J321" s="2"/>
      <c r="K321" s="10">
        <v>56</v>
      </c>
      <c r="L321" s="10">
        <v>59</v>
      </c>
      <c r="M321" s="10">
        <v>58</v>
      </c>
      <c r="N321" s="51">
        <v>54</v>
      </c>
      <c r="O321" s="11">
        <v>61</v>
      </c>
      <c r="P321" s="10"/>
      <c r="Q321" s="40"/>
      <c r="R321" s="2">
        <v>87</v>
      </c>
      <c r="S321" s="10">
        <f>IF(T321="",R321,MAX((R321+$R$8)/$R$2,(T321+$T$8)/$T$2)*$R$2-$R$8)</f>
        <v>87</v>
      </c>
      <c r="T321" s="62">
        <v>121</v>
      </c>
      <c r="U321" s="2">
        <f>IF(A321&lt;&gt;"",SUM(B321:I321),"")</f>
        <v>188</v>
      </c>
      <c r="V321" s="10">
        <f>IF(A321&lt;&gt;"",SUM(J321:O321),"")</f>
        <v>288</v>
      </c>
      <c r="W321" s="10">
        <f>IF(A321&lt;&gt;"",SUM(P321:Q321),"")</f>
        <v>0</v>
      </c>
      <c r="X321" s="10">
        <f>IF(A321&lt;&gt;"",SUM(S321:T321),"")</f>
        <v>208</v>
      </c>
      <c r="Y321" s="12">
        <v>3</v>
      </c>
      <c r="Z321" s="12">
        <f>IF(A321&lt;&gt;"",SUM(U321:Y321),"")</f>
        <v>687</v>
      </c>
      <c r="AA321" s="27">
        <f>IF(A321&lt;&gt;"",(Z321+Normalize_To_Add)/(Point_Total_So_Far)*100,"")</f>
        <v>76.209673189131848</v>
      </c>
      <c r="AB321" s="10">
        <f>IF(A321&lt;&gt;"",RANK(AA321,All_Student_XC),"")</f>
        <v>261</v>
      </c>
      <c r="AC321" s="31" t="str">
        <f>IF(A321&lt;&gt;"",CHOOSE(10-MIN(9,TRUNC((AA321+0.5)/10)),"A","B","C","D","F","F","F","F","F","F"),"")</f>
        <v>C</v>
      </c>
      <c r="AD321" s="31" t="str">
        <f>IF(A321&lt;&gt;"",IF(OR(AA321+0.5&gt;=93,AA321+0.5&lt;60),"",IF(MOD(AA321+0.5,10)&gt;=7,"+",IF(MOD(AA321+0.5,10)&lt;3,"-",""))),"")</f>
        <v/>
      </c>
      <c r="AE321" s="31">
        <f>IF(A321&lt;&gt;"",SUM(W321:X321,$W$8:$X$8)/SUM($W$2:$X$2)*100,"")</f>
        <v>56.619346378263693</v>
      </c>
      <c r="AF321" s="43" t="str">
        <f>IF(A321&lt;&gt;"",CHOOSE(10-MIN(9,TRUNC((AE321+0.5)/10)),"A","B","C","D","F","F","F","F","F","F"),"")</f>
        <v>F</v>
      </c>
      <c r="AG321" s="43" t="str">
        <f>IF(A321&lt;&gt;"",IF(OR(AE321+0.5&gt;=93,AE321+0.5&lt;60),"",IF(MOD(AE321+0.5,10)&gt;=7,"+",IF(MOD(AE321+0.5,10)&lt;3,"-",""))),"")</f>
        <v/>
      </c>
      <c r="AH321" s="35">
        <f>IF(A321&lt;&gt;"",MIN(MAX(AA321,AE321),AA321+$AH$8,AE321+$AH$8),"")</f>
        <v>76.209673189131848</v>
      </c>
      <c r="AI321" s="31" t="str">
        <f>IF(A321&lt;&gt;"",CHOOSE(10-MIN(9,TRUNC((AH321+0.5)/10)),"A","B","C","D","F","F","F","F","F","F"),"")</f>
        <v>C</v>
      </c>
      <c r="AJ321" s="31" t="str">
        <f>IF(A321&lt;&gt;"",IF(OR(AH321+0.5&gt;=93,AH321+0.5&lt;60),"",IF(MOD(AH321+0.5,10)&gt;=7,"+",IF(MOD(AH321+0.5,10)&lt;3,"-",""))),"")</f>
        <v/>
      </c>
      <c r="AK321" s="31" t="b">
        <f>IF(A321&lt;&gt;"",OR(AI321&lt;&gt;AC321,AJ321&lt;&gt;AD321),"")</f>
        <v>0</v>
      </c>
      <c r="AL321" s="81">
        <f>IF(AND(A321&lt;&gt;"",U321&gt;0),SUM(U321,$AL$8)/$AL$2*100,"")</f>
        <v>94</v>
      </c>
      <c r="AM321" s="24">
        <f>IF(AND(A321&lt;&gt;"",V321&gt;0),SUM(V321,$AM$8)/$AM$2*100,"")</f>
        <v>96</v>
      </c>
      <c r="AN321" s="24" t="str">
        <f>IF(AND(A321&lt;&gt;"",P321&lt;&gt;0),SUM(P321,$AN$8)/$AN$2*100,"")</f>
        <v/>
      </c>
      <c r="AO321" s="24" t="str">
        <f>IF(AND(A321&lt;&gt;"",Q321&lt;&gt;0),SUM(Q321,$AO$8)/$AO$2*100,"")</f>
        <v/>
      </c>
      <c r="AP321" s="24">
        <f>IF(AND(A321&lt;&gt;"",R321&lt;&gt;0),SUM(R321,$AP$8)/$AP$2*100,"")</f>
        <v>58.002659574468083</v>
      </c>
      <c r="AQ321" s="24" t="str">
        <f>IF(AND(A321&lt;&gt;"",W321&gt;0),SUM(W321,$AQ$8)/$AQ$2*100,"")</f>
        <v/>
      </c>
      <c r="AR321" s="24">
        <f>IF(AND(A321&lt;&gt;"",T321&gt;0),SUM(T321,$AR$8)/$AR$2*100,"")</f>
        <v>55.697137580794084</v>
      </c>
      <c r="AS321" s="24">
        <f>IF(AND(A321&lt;&gt;"",X321&lt;&gt;0),SUM(X321,$AS$8)/$AS$2*100,"")</f>
        <v>56.619346378263693</v>
      </c>
      <c r="AT321" s="86">
        <f>IF(A321&lt;&gt;"",SUM(W321:X321,$AT$8)/$AT$2*100,"")</f>
        <v>56.619346378263693</v>
      </c>
      <c r="AU321" s="24">
        <f>AA321</f>
        <v>76.209673189131848</v>
      </c>
      <c r="AV321" s="24"/>
      <c r="AW321" s="27">
        <f>IF(A321&lt;&gt;"",AE321-AA321,"")</f>
        <v>-19.590326810868156</v>
      </c>
      <c r="AY321" s="27">
        <f>AR321-AP321</f>
        <v>-2.3055219936739988</v>
      </c>
      <c r="AZ321" s="27">
        <f>ABS(AY321)</f>
        <v>2.3055219936739988</v>
      </c>
    </row>
    <row r="322" spans="1:52" s="27" customFormat="1" ht="12.75" customHeight="1" x14ac:dyDescent="0.2">
      <c r="A322" s="50">
        <v>857104</v>
      </c>
      <c r="B322" s="2">
        <v>24</v>
      </c>
      <c r="C322" s="50">
        <v>25</v>
      </c>
      <c r="D322" s="10">
        <v>20</v>
      </c>
      <c r="E322" s="10">
        <v>13</v>
      </c>
      <c r="F322" s="10">
        <v>22</v>
      </c>
      <c r="G322" s="10">
        <v>25</v>
      </c>
      <c r="H322" s="10">
        <v>15</v>
      </c>
      <c r="I322" s="10">
        <v>23</v>
      </c>
      <c r="J322" s="2"/>
      <c r="K322" s="10">
        <v>40</v>
      </c>
      <c r="L322" s="10">
        <v>47</v>
      </c>
      <c r="M322" s="10">
        <v>54</v>
      </c>
      <c r="N322" s="51">
        <v>55</v>
      </c>
      <c r="O322" s="11">
        <v>60</v>
      </c>
      <c r="P322" s="10"/>
      <c r="Q322" s="40"/>
      <c r="R322" s="2">
        <v>110</v>
      </c>
      <c r="S322" s="10">
        <f>IF(T322="",R322,MAX((R322+$R$8)/$R$2,(T322+$T$8)/$T$2)*$R$2-$R$8)</f>
        <v>110.38895601265202</v>
      </c>
      <c r="T322" s="62">
        <v>163</v>
      </c>
      <c r="U322" s="2">
        <f>IF(A322&lt;&gt;"",SUM(B322:I322),"")</f>
        <v>167</v>
      </c>
      <c r="V322" s="10">
        <f>IF(A322&lt;&gt;"",SUM(J322:O322),"")</f>
        <v>256</v>
      </c>
      <c r="W322" s="10">
        <f>IF(A322&lt;&gt;"",SUM(P322:Q322),"")</f>
        <v>0</v>
      </c>
      <c r="X322" s="10">
        <f>IF(A322&lt;&gt;"",SUM(S322:T322),"")</f>
        <v>273.38895601265199</v>
      </c>
      <c r="Y322" s="12">
        <v>3</v>
      </c>
      <c r="Z322" s="12">
        <f>IF(A322&lt;&gt;"",SUM(U322:Y322),"")</f>
        <v>699.38895601265199</v>
      </c>
      <c r="AA322" s="27">
        <f>IF(A322&lt;&gt;"",(Z322+Normalize_To_Add)/(Point_Total_So_Far)*100,"")</f>
        <v>77.448568790397047</v>
      </c>
      <c r="AB322" s="10">
        <f>IF(A322&lt;&gt;"",RANK(AA322,All_Student_XC),"")</f>
        <v>250</v>
      </c>
      <c r="AC322" s="31" t="str">
        <f>IF(A322&lt;&gt;"",CHOOSE(10-MIN(9,TRUNC((AA322+0.5)/10)),"A","B","C","D","F","F","F","F","F","F"),"")</f>
        <v>C</v>
      </c>
      <c r="AD322" s="31" t="str">
        <f>IF(A322&lt;&gt;"",IF(OR(AA322+0.5&gt;=93,AA322+0.5&lt;60),"",IF(MOD(AA322+0.5,10)&gt;=7,"+",IF(MOD(AA322+0.5,10)&lt;3,"-",""))),"")</f>
        <v>+</v>
      </c>
      <c r="AE322" s="31">
        <f>IF(A322&lt;&gt;"",SUM(W322:X322,$W$8:$X$8)/SUM($W$2:$X$2)*100,"")</f>
        <v>69.697137580794092</v>
      </c>
      <c r="AF322" s="43" t="str">
        <f>IF(A322&lt;&gt;"",CHOOSE(10-MIN(9,TRUNC((AE322+0.5)/10)),"A","B","C","D","F","F","F","F","F","F"),"")</f>
        <v>C</v>
      </c>
      <c r="AG322" s="43" t="str">
        <f>IF(A322&lt;&gt;"",IF(OR(AE322+0.5&gt;=93,AE322+0.5&lt;60),"",IF(MOD(AE322+0.5,10)&gt;=7,"+",IF(MOD(AE322+0.5,10)&lt;3,"-",""))),"")</f>
        <v>-</v>
      </c>
      <c r="AH322" s="35">
        <f>IF(A322&lt;&gt;"",MIN(MAX(AA322,AE322),AA322+$AH$8,AE322+$AH$8),"")</f>
        <v>77.448568790397047</v>
      </c>
      <c r="AI322" s="31" t="str">
        <f>IF(A322&lt;&gt;"",CHOOSE(10-MIN(9,TRUNC((AH322+0.5)/10)),"A","B","C","D","F","F","F","F","F","F"),"")</f>
        <v>C</v>
      </c>
      <c r="AJ322" s="31" t="str">
        <f>IF(A322&lt;&gt;"",IF(OR(AH322+0.5&gt;=93,AH322+0.5&lt;60),"",IF(MOD(AH322+0.5,10)&gt;=7,"+",IF(MOD(AH322+0.5,10)&lt;3,"-",""))),"")</f>
        <v>+</v>
      </c>
      <c r="AK322" s="31" t="b">
        <f>IF(A322&lt;&gt;"",OR(AI322&lt;&gt;AC322,AJ322&lt;&gt;AD322),"")</f>
        <v>0</v>
      </c>
      <c r="AL322" s="81">
        <f>IF(AND(A322&lt;&gt;"",U322&gt;0),SUM(U322,$AL$8)/$AL$2*100,"")</f>
        <v>83.5</v>
      </c>
      <c r="AM322" s="24">
        <f>IF(AND(A322&lt;&gt;"",V322&gt;0),SUM(V322,$AM$8)/$AM$2*100,"")</f>
        <v>85.333333333333343</v>
      </c>
      <c r="AN322" s="24" t="str">
        <f>IF(AND(A322&lt;&gt;"",P322&lt;&gt;0),SUM(P322,$AN$8)/$AN$2*100,"")</f>
        <v/>
      </c>
      <c r="AO322" s="24" t="str">
        <f>IF(AND(A322&lt;&gt;"",Q322&lt;&gt;0),SUM(Q322,$AO$8)/$AO$2*100,"")</f>
        <v/>
      </c>
      <c r="AP322" s="24">
        <f>IF(AND(A322&lt;&gt;"",R322&lt;&gt;0),SUM(R322,$AP$8)/$AP$2*100,"")</f>
        <v>69.502659574468083</v>
      </c>
      <c r="AQ322" s="24" t="str">
        <f>IF(AND(A322&lt;&gt;"",W322&gt;0),SUM(W322,$AQ$8)/$AQ$2*100,"")</f>
        <v/>
      </c>
      <c r="AR322" s="24">
        <f>IF(AND(A322&lt;&gt;"",T322&gt;0),SUM(T322,$AR$8)/$AR$2*100,"")</f>
        <v>69.697137580794092</v>
      </c>
      <c r="AS322" s="24">
        <f>IF(AND(A322&lt;&gt;"",X322&lt;&gt;0),SUM(X322,$AS$8)/$AS$2*100,"")</f>
        <v>69.697137580794092</v>
      </c>
      <c r="AT322" s="86">
        <f>IF(A322&lt;&gt;"",SUM(W322:X322,$AT$8)/$AT$2*100,"")</f>
        <v>69.697137580794092</v>
      </c>
      <c r="AU322" s="24">
        <f>AA322</f>
        <v>77.448568790397047</v>
      </c>
      <c r="AV322" s="24"/>
      <c r="AW322" s="27">
        <f>IF(A322&lt;&gt;"",AE322-AA322,"")</f>
        <v>-7.7514312096029556</v>
      </c>
      <c r="AY322" s="27">
        <f>AR322-AP322</f>
        <v>0.19447800632600831</v>
      </c>
      <c r="AZ322" s="27">
        <f>ABS(AY322)</f>
        <v>0.19447800632600831</v>
      </c>
    </row>
    <row r="323" spans="1:52" s="27" customFormat="1" ht="12.75" customHeight="1" x14ac:dyDescent="0.2">
      <c r="A323" s="10">
        <v>859034</v>
      </c>
      <c r="B323" s="2">
        <v>5</v>
      </c>
      <c r="C323" s="10">
        <v>19</v>
      </c>
      <c r="D323" s="10">
        <v>18</v>
      </c>
      <c r="E323" s="10">
        <v>20</v>
      </c>
      <c r="F323" s="10">
        <v>16</v>
      </c>
      <c r="G323" s="10">
        <v>25</v>
      </c>
      <c r="H323" s="10">
        <v>10</v>
      </c>
      <c r="I323" s="10">
        <v>7</v>
      </c>
      <c r="J323" s="2"/>
      <c r="K323" s="10">
        <v>60</v>
      </c>
      <c r="L323" s="10">
        <v>6</v>
      </c>
      <c r="M323" s="10">
        <v>25</v>
      </c>
      <c r="N323" s="51">
        <v>6</v>
      </c>
      <c r="O323" s="11">
        <v>0</v>
      </c>
      <c r="P323" s="10"/>
      <c r="Q323" s="40"/>
      <c r="R323" s="2">
        <v>96</v>
      </c>
      <c r="S323" s="10">
        <f>IF(T323="",R323,MAX((R323+$R$8)/$R$2,(T323+$T$8)/$T$2)*$R$2-$R$8)</f>
        <v>95.999999999999986</v>
      </c>
      <c r="T323" s="12">
        <v>108</v>
      </c>
      <c r="U323" s="68">
        <f>IF(A323&lt;&gt;"",SUM(B323:I323),"")</f>
        <v>120</v>
      </c>
      <c r="V323" s="10">
        <f>IF(A323&lt;&gt;"",SUM(J323:O323),"")</f>
        <v>97</v>
      </c>
      <c r="W323" s="10">
        <f>IF(A323&lt;&gt;"",SUM(P323:Q323),"")</f>
        <v>0</v>
      </c>
      <c r="X323" s="10">
        <f>IF(A323&lt;&gt;"",SUM(S323:T323),"")</f>
        <v>204</v>
      </c>
      <c r="Y323" s="12" t="s">
        <v>69</v>
      </c>
      <c r="Z323" s="12">
        <f>IF(A323&lt;&gt;"",SUM(U323:Y323),"")</f>
        <v>421</v>
      </c>
      <c r="AA323" s="27">
        <f>IF(A323&lt;&gt;"",(Z323+Normalize_To_Add)/(Point_Total_So_Far)*100,"")</f>
        <v>49.60967318913184</v>
      </c>
      <c r="AB323" s="10">
        <f>IF(A323&lt;&gt;"",RANK(AA323,All_Student_XC),"")</f>
        <v>356</v>
      </c>
      <c r="AC323" s="31" t="str">
        <f>IF(A323&lt;&gt;"",CHOOSE(10-MIN(9,TRUNC((AA323+0.5)/10)),"A","B","C","D","F","F","F","F","F","F"),"")</f>
        <v>F</v>
      </c>
      <c r="AD323" s="31" t="str">
        <f>IF(A323&lt;&gt;"",IF(OR(AA323+0.5&gt;=93,AA323+0.5&lt;60),"",IF(MOD(AA323+0.5,10)&gt;=7,"+",IF(MOD(AA323+0.5,10)&lt;3,"-",""))),"")</f>
        <v/>
      </c>
      <c r="AE323" s="31">
        <f>IF(A323&lt;&gt;"",SUM(W323:X323,$W$8:$X$8)/SUM($W$2:$X$2)*100,"")</f>
        <v>55.819346378263688</v>
      </c>
      <c r="AF323" s="31" t="str">
        <f>IF(A323&lt;&gt;"",CHOOSE(10-MIN(9,TRUNC((AE323+0.5)/10)),"A","B","C","D","F","F","F","F","F","F"),"")</f>
        <v>F</v>
      </c>
      <c r="AG323" s="31" t="str">
        <f>IF(A323&lt;&gt;"",IF(OR(AE323+0.5&gt;=93,AE323+0.5&lt;60),"",IF(MOD(AE323+0.5,10)&gt;=7,"+",IF(MOD(AE323+0.5,10)&lt;3,"-",""))),"")</f>
        <v/>
      </c>
      <c r="AH323" s="35">
        <f>IF(A323&lt;&gt;"",MIN(MAX(AA323,AE323),AA323+$AH$8,AE323+$AH$8),"")</f>
        <v>55.819346378263688</v>
      </c>
      <c r="AI323" s="31" t="str">
        <f>IF(A323&lt;&gt;"",CHOOSE(10-MIN(9,TRUNC((AH323+0.5)/10)),"A","B","C","D","F","F","F","F","F","F"),"")</f>
        <v>F</v>
      </c>
      <c r="AJ323" s="31" t="str">
        <f>IF(A323&lt;&gt;"",IF(OR(AH323+0.5&gt;=93,AH323+0.5&lt;60),"",IF(MOD(AH323+0.5,10)&gt;=7,"+",IF(MOD(AH323+0.5,10)&lt;3,"-",""))),"")</f>
        <v/>
      </c>
      <c r="AK323" s="31" t="b">
        <f>IF(A323&lt;&gt;"",OR(AI323&lt;&gt;AC323,AJ323&lt;&gt;AD323),"")</f>
        <v>0</v>
      </c>
      <c r="AL323" s="81">
        <f>IF(AND(A323&lt;&gt;"",U323&gt;0),SUM(U323,$AL$8)/$AL$2*100,"")</f>
        <v>60</v>
      </c>
      <c r="AM323" s="24">
        <f>IF(AND(A323&lt;&gt;"",V323&gt;0),SUM(V323,$AM$8)/$AM$2*100,"")</f>
        <v>32.333333333333329</v>
      </c>
      <c r="AN323" s="24" t="str">
        <f>IF(AND(A323&lt;&gt;"",P323&lt;&gt;0),SUM(P323,$AN$8)/$AN$2*100,"")</f>
        <v/>
      </c>
      <c r="AO323" s="24" t="str">
        <f>IF(AND(A323&lt;&gt;"",Q323&lt;&gt;0),SUM(Q323,$AO$8)/$AO$2*100,"")</f>
        <v/>
      </c>
      <c r="AP323" s="24">
        <f>IF(AND(A323&lt;&gt;"",R323&lt;&gt;0),SUM(R323,$AP$8)/$AP$2*100,"")</f>
        <v>62.502659574468076</v>
      </c>
      <c r="AQ323" s="24" t="str">
        <f>IF(AND(A323&lt;&gt;"",W323&gt;0),SUM(W323,$AQ$8)/$AQ$2*100,"")</f>
        <v/>
      </c>
      <c r="AR323" s="24">
        <f>IF(AND(A323&lt;&gt;"",T323&gt;0),SUM(T323,$AR$8)/$AR$2*100,"")</f>
        <v>51.363804247460756</v>
      </c>
      <c r="AS323" s="24">
        <f>IF(AND(A323&lt;&gt;"",X323&lt;&gt;0),SUM(X323,$AS$8)/$AS$2*100,"")</f>
        <v>55.819346378263688</v>
      </c>
      <c r="AT323" s="86">
        <f>IF(A323&lt;&gt;"",SUM(W323:X323,$AT$8)/$AT$2*100,"")</f>
        <v>55.819346378263688</v>
      </c>
      <c r="AU323" s="24">
        <f>AA323</f>
        <v>49.60967318913184</v>
      </c>
      <c r="AV323" s="24"/>
      <c r="AW323" s="27">
        <f>IF(A323&lt;&gt;"",AE323-AA323,"")</f>
        <v>6.2096731891318484</v>
      </c>
      <c r="AY323" s="27">
        <f>AR323-AP323</f>
        <v>-11.13885532700732</v>
      </c>
      <c r="AZ323" s="27">
        <f>ABS(AY323)</f>
        <v>11.13885532700732</v>
      </c>
    </row>
    <row r="324" spans="1:52" s="27" customFormat="1" ht="12.75" customHeight="1" x14ac:dyDescent="0.2">
      <c r="A324" s="50">
        <v>859120</v>
      </c>
      <c r="B324" s="2">
        <v>25</v>
      </c>
      <c r="C324" s="50">
        <v>24</v>
      </c>
      <c r="D324" s="10">
        <v>23</v>
      </c>
      <c r="E324" s="10">
        <v>24</v>
      </c>
      <c r="F324" s="10">
        <v>22</v>
      </c>
      <c r="G324" s="10">
        <v>25</v>
      </c>
      <c r="H324" s="10">
        <v>24</v>
      </c>
      <c r="I324" s="10">
        <v>25</v>
      </c>
      <c r="J324" s="2"/>
      <c r="K324" s="10">
        <v>59</v>
      </c>
      <c r="L324" s="10">
        <v>58</v>
      </c>
      <c r="M324" s="10">
        <v>59</v>
      </c>
      <c r="N324" s="51">
        <v>21</v>
      </c>
      <c r="O324" s="11">
        <v>60</v>
      </c>
      <c r="P324" s="10"/>
      <c r="Q324" s="40"/>
      <c r="R324" s="2">
        <v>119</v>
      </c>
      <c r="S324" s="10">
        <f>IF(T324="",R324,MAX((R324+$R$8)/$R$2,(T324+$T$8)/$T$2)*$R$2-$R$8)</f>
        <v>119</v>
      </c>
      <c r="T324" s="62">
        <v>156</v>
      </c>
      <c r="U324" s="2">
        <f>IF(A324&lt;&gt;"",SUM(B324:I324),"")</f>
        <v>192</v>
      </c>
      <c r="V324" s="10">
        <f>IF(A324&lt;&gt;"",SUM(J324:O324),"")</f>
        <v>257</v>
      </c>
      <c r="W324" s="10">
        <f>IF(A324&lt;&gt;"",SUM(P324:Q324),"")</f>
        <v>0</v>
      </c>
      <c r="X324" s="10">
        <f>IF(A324&lt;&gt;"",SUM(S324:T324),"")</f>
        <v>275</v>
      </c>
      <c r="Y324" s="12">
        <v>3</v>
      </c>
      <c r="Z324" s="12">
        <f>IF(A324&lt;&gt;"",SUM(U324:Y324),"")</f>
        <v>727</v>
      </c>
      <c r="AA324" s="27">
        <f>IF(A324&lt;&gt;"",(Z324+Normalize_To_Add)/(Point_Total_So_Far)*100,"")</f>
        <v>80.209673189131848</v>
      </c>
      <c r="AB324" s="10">
        <f>IF(A324&lt;&gt;"",RANK(AA324,All_Student_XC),"")</f>
        <v>206</v>
      </c>
      <c r="AC324" s="31" t="str">
        <f>IF(A324&lt;&gt;"",CHOOSE(10-MIN(9,TRUNC((AA324+0.5)/10)),"A","B","C","D","F","F","F","F","F","F"),"")</f>
        <v>B</v>
      </c>
      <c r="AD324" s="31" t="str">
        <f>IF(A324&lt;&gt;"",IF(OR(AA324+0.5&gt;=93,AA324+0.5&lt;60),"",IF(MOD(AA324+0.5,10)&gt;=7,"+",IF(MOD(AA324+0.5,10)&lt;3,"-",""))),"")</f>
        <v>-</v>
      </c>
      <c r="AE324" s="31">
        <f>IF(A324&lt;&gt;"",SUM(W324:X324,$W$8:$X$8)/SUM($W$2:$X$2)*100,"")</f>
        <v>70.019346378263677</v>
      </c>
      <c r="AF324" s="43" t="str">
        <f>IF(A324&lt;&gt;"",CHOOSE(10-MIN(9,TRUNC((AE324+0.5)/10)),"A","B","C","D","F","F","F","F","F","F"),"")</f>
        <v>C</v>
      </c>
      <c r="AG324" s="43" t="str">
        <f>IF(A324&lt;&gt;"",IF(OR(AE324+0.5&gt;=93,AE324+0.5&lt;60),"",IF(MOD(AE324+0.5,10)&gt;=7,"+",IF(MOD(AE324+0.5,10)&lt;3,"-",""))),"")</f>
        <v>-</v>
      </c>
      <c r="AH324" s="35">
        <f>IF(A324&lt;&gt;"",MIN(MAX(AA324,AE324),AA324+$AH$8,AE324+$AH$8),"")</f>
        <v>80.209673189131848</v>
      </c>
      <c r="AI324" s="31" t="str">
        <f>IF(A324&lt;&gt;"",CHOOSE(10-MIN(9,TRUNC((AH324+0.5)/10)),"A","B","C","D","F","F","F","F","F","F"),"")</f>
        <v>B</v>
      </c>
      <c r="AJ324" s="31" t="str">
        <f>IF(A324&lt;&gt;"",IF(OR(AH324+0.5&gt;=93,AH324+0.5&lt;60),"",IF(MOD(AH324+0.5,10)&gt;=7,"+",IF(MOD(AH324+0.5,10)&lt;3,"-",""))),"")</f>
        <v>-</v>
      </c>
      <c r="AK324" s="31" t="b">
        <f>IF(A324&lt;&gt;"",OR(AI324&lt;&gt;AC324,AJ324&lt;&gt;AD324),"")</f>
        <v>0</v>
      </c>
      <c r="AL324" s="81">
        <f>IF(AND(A324&lt;&gt;"",U324&gt;0),SUM(U324,$AL$8)/$AL$2*100,"")</f>
        <v>96</v>
      </c>
      <c r="AM324" s="24">
        <f>IF(AND(A324&lt;&gt;"",V324&gt;0),SUM(V324,$AM$8)/$AM$2*100,"")</f>
        <v>85.666666666666671</v>
      </c>
      <c r="AN324" s="24" t="str">
        <f>IF(AND(A324&lt;&gt;"",P324&lt;&gt;0),SUM(P324,$AN$8)/$AN$2*100,"")</f>
        <v/>
      </c>
      <c r="AO324" s="24" t="str">
        <f>IF(AND(A324&lt;&gt;"",Q324&lt;&gt;0),SUM(Q324,$AO$8)/$AO$2*100,"")</f>
        <v/>
      </c>
      <c r="AP324" s="24">
        <f>IF(AND(A324&lt;&gt;"",R324&lt;&gt;0),SUM(R324,$AP$8)/$AP$2*100,"")</f>
        <v>74.002659574468083</v>
      </c>
      <c r="AQ324" s="24" t="str">
        <f>IF(AND(A324&lt;&gt;"",W324&gt;0),SUM(W324,$AQ$8)/$AQ$2*100,"")</f>
        <v/>
      </c>
      <c r="AR324" s="24">
        <f>IF(AND(A324&lt;&gt;"",T324&gt;0),SUM(T324,$AR$8)/$AR$2*100,"")</f>
        <v>67.363804247460763</v>
      </c>
      <c r="AS324" s="24">
        <f>IF(AND(A324&lt;&gt;"",X324&lt;&gt;0),SUM(X324,$AS$8)/$AS$2*100,"")</f>
        <v>70.019346378263677</v>
      </c>
      <c r="AT324" s="86">
        <f>IF(A324&lt;&gt;"",SUM(W324:X324,$AT$8)/$AT$2*100,"")</f>
        <v>70.019346378263677</v>
      </c>
      <c r="AU324" s="24">
        <f>AA324</f>
        <v>80.209673189131848</v>
      </c>
      <c r="AV324" s="24"/>
      <c r="AW324" s="27">
        <f>IF(A324&lt;&gt;"",AE324-AA324,"")</f>
        <v>-10.190326810868171</v>
      </c>
      <c r="AY324" s="27">
        <f>AR324-AP324</f>
        <v>-6.6388553270073203</v>
      </c>
      <c r="AZ324" s="27">
        <f>ABS(AY324)</f>
        <v>6.6388553270073203</v>
      </c>
    </row>
    <row r="325" spans="1:52" s="27" customFormat="1" ht="12.75" customHeight="1" x14ac:dyDescent="0.2">
      <c r="A325" s="50">
        <v>859348</v>
      </c>
      <c r="B325" s="2">
        <v>18</v>
      </c>
      <c r="C325" s="50">
        <v>18</v>
      </c>
      <c r="D325" s="10">
        <v>21</v>
      </c>
      <c r="E325" s="10">
        <v>24</v>
      </c>
      <c r="F325" s="10">
        <v>15</v>
      </c>
      <c r="G325" s="10">
        <v>25</v>
      </c>
      <c r="H325" s="10">
        <v>11</v>
      </c>
      <c r="I325" s="10">
        <v>22</v>
      </c>
      <c r="J325" s="2"/>
      <c r="K325" s="10">
        <v>52</v>
      </c>
      <c r="L325" s="10">
        <v>42</v>
      </c>
      <c r="M325" s="10">
        <v>29</v>
      </c>
      <c r="N325" s="51">
        <v>57</v>
      </c>
      <c r="O325" s="11">
        <v>33</v>
      </c>
      <c r="P325" s="10"/>
      <c r="Q325" s="40"/>
      <c r="R325" s="2">
        <v>145</v>
      </c>
      <c r="S325" s="10">
        <f>IF(T325="",R325,MAX((R325+$R$8)/$R$2,(T325+$T$8)/$T$2)*$R$2-$R$8)</f>
        <v>145</v>
      </c>
      <c r="T325" s="62">
        <v>168</v>
      </c>
      <c r="U325" s="2">
        <f>IF(A325&lt;&gt;"",SUM(B325:I325),"")</f>
        <v>154</v>
      </c>
      <c r="V325" s="10">
        <f>IF(A325&lt;&gt;"",SUM(J325:O325),"")</f>
        <v>213</v>
      </c>
      <c r="W325" s="10">
        <f>IF(A325&lt;&gt;"",SUM(P325:Q325),"")</f>
        <v>0</v>
      </c>
      <c r="X325" s="10">
        <f>IF(A325&lt;&gt;"",SUM(S325:T325),"")</f>
        <v>313</v>
      </c>
      <c r="Y325" s="12" t="s">
        <v>69</v>
      </c>
      <c r="Z325" s="12">
        <f>IF(A325&lt;&gt;"",SUM(U325:Y325),"")</f>
        <v>680</v>
      </c>
      <c r="AA325" s="27">
        <f>IF(A325&lt;&gt;"",(Z325+Normalize_To_Add)/(Point_Total_So_Far)*100,"")</f>
        <v>75.509673189131846</v>
      </c>
      <c r="AB325" s="10">
        <f>IF(A325&lt;&gt;"",RANK(AA325,All_Student_XC),"")</f>
        <v>270</v>
      </c>
      <c r="AC325" s="31" t="str">
        <f>IF(A325&lt;&gt;"",CHOOSE(10-MIN(9,TRUNC((AA325+0.5)/10)),"A","B","C","D","F","F","F","F","F","F"),"")</f>
        <v>C</v>
      </c>
      <c r="AD325" s="31" t="str">
        <f>IF(A325&lt;&gt;"",IF(OR(AA325+0.5&gt;=93,AA325+0.5&lt;60),"",IF(MOD(AA325+0.5,10)&gt;=7,"+",IF(MOD(AA325+0.5,10)&lt;3,"-",""))),"")</f>
        <v/>
      </c>
      <c r="AE325" s="31">
        <f>IF(A325&lt;&gt;"",SUM(W325:X325,$W$8:$X$8)/SUM($W$2:$X$2)*100,"")</f>
        <v>77.619346378263685</v>
      </c>
      <c r="AF325" s="43" t="str">
        <f>IF(A325&lt;&gt;"",CHOOSE(10-MIN(9,TRUNC((AE325+0.5)/10)),"A","B","C","D","F","F","F","F","F","F"),"")</f>
        <v>C</v>
      </c>
      <c r="AG325" s="43" t="str">
        <f>IF(A325&lt;&gt;"",IF(OR(AE325+0.5&gt;=93,AE325+0.5&lt;60),"",IF(MOD(AE325+0.5,10)&gt;=7,"+",IF(MOD(AE325+0.5,10)&lt;3,"-",""))),"")</f>
        <v>+</v>
      </c>
      <c r="AH325" s="35">
        <f>IF(A325&lt;&gt;"",MIN(MAX(AA325,AE325),AA325+$AH$8,AE325+$AH$8),"")</f>
        <v>77.619346378263685</v>
      </c>
      <c r="AI325" s="31" t="str">
        <f>IF(A325&lt;&gt;"",CHOOSE(10-MIN(9,TRUNC((AH325+0.5)/10)),"A","B","C","D","F","F","F","F","F","F"),"")</f>
        <v>C</v>
      </c>
      <c r="AJ325" s="31" t="str">
        <f>IF(A325&lt;&gt;"",IF(OR(AH325+0.5&gt;=93,AH325+0.5&lt;60),"",IF(MOD(AH325+0.5,10)&gt;=7,"+",IF(MOD(AH325+0.5,10)&lt;3,"-",""))),"")</f>
        <v>+</v>
      </c>
      <c r="AK325" s="31" t="b">
        <f>IF(A325&lt;&gt;"",OR(AI325&lt;&gt;AC325,AJ325&lt;&gt;AD325),"")</f>
        <v>1</v>
      </c>
      <c r="AL325" s="81">
        <f>IF(AND(A325&lt;&gt;"",U325&gt;0),SUM(U325,$AL$8)/$AL$2*100,"")</f>
        <v>77</v>
      </c>
      <c r="AM325" s="24">
        <f>IF(AND(A325&lt;&gt;"",V325&gt;0),SUM(V325,$AM$8)/$AM$2*100,"")</f>
        <v>71</v>
      </c>
      <c r="AN325" s="24" t="str">
        <f>IF(AND(A325&lt;&gt;"",P325&lt;&gt;0),SUM(P325,$AN$8)/$AN$2*100,"")</f>
        <v/>
      </c>
      <c r="AO325" s="24" t="str">
        <f>IF(AND(A325&lt;&gt;"",Q325&lt;&gt;0),SUM(Q325,$AO$8)/$AO$2*100,"")</f>
        <v/>
      </c>
      <c r="AP325" s="24">
        <f>IF(AND(A325&lt;&gt;"",R325&lt;&gt;0),SUM(R325,$AP$8)/$AP$2*100,"")</f>
        <v>87.002659574468083</v>
      </c>
      <c r="AQ325" s="24" t="str">
        <f>IF(AND(A325&lt;&gt;"",W325&gt;0),SUM(W325,$AQ$8)/$AQ$2*100,"")</f>
        <v/>
      </c>
      <c r="AR325" s="24">
        <f>IF(AND(A325&lt;&gt;"",T325&gt;0),SUM(T325,$AR$8)/$AR$2*100,"")</f>
        <v>71.363804247460749</v>
      </c>
      <c r="AS325" s="24">
        <f>IF(AND(A325&lt;&gt;"",X325&lt;&gt;0),SUM(X325,$AS$8)/$AS$2*100,"")</f>
        <v>77.619346378263685</v>
      </c>
      <c r="AT325" s="86">
        <f>IF(A325&lt;&gt;"",SUM(W325:X325,$AT$8)/$AT$2*100,"")</f>
        <v>77.619346378263685</v>
      </c>
      <c r="AU325" s="24">
        <f>AA325</f>
        <v>75.509673189131846</v>
      </c>
      <c r="AV325" s="24"/>
      <c r="AW325" s="27">
        <f>IF(A325&lt;&gt;"",AE325-AA325,"")</f>
        <v>2.1096731891318399</v>
      </c>
      <c r="AY325" s="27">
        <f>AR325-AP325</f>
        <v>-15.638855327007334</v>
      </c>
      <c r="AZ325" s="27">
        <f>ABS(AY325)</f>
        <v>15.638855327007334</v>
      </c>
    </row>
    <row r="326" spans="1:52" s="27" customFormat="1" ht="12.75" customHeight="1" x14ac:dyDescent="0.2">
      <c r="A326" s="10">
        <v>860014</v>
      </c>
      <c r="B326" s="2">
        <v>25</v>
      </c>
      <c r="C326" s="10">
        <v>25</v>
      </c>
      <c r="D326" s="10">
        <v>23</v>
      </c>
      <c r="E326" s="10">
        <v>21</v>
      </c>
      <c r="F326" s="10">
        <v>24</v>
      </c>
      <c r="G326" s="10">
        <v>25</v>
      </c>
      <c r="H326" s="10">
        <v>24</v>
      </c>
      <c r="I326" s="10">
        <v>25</v>
      </c>
      <c r="J326" s="2"/>
      <c r="K326" s="10">
        <v>62</v>
      </c>
      <c r="L326" s="10">
        <v>62</v>
      </c>
      <c r="M326" s="10">
        <v>62</v>
      </c>
      <c r="N326" s="51">
        <v>56</v>
      </c>
      <c r="O326" s="11">
        <v>62</v>
      </c>
      <c r="P326" s="10"/>
      <c r="Q326" s="40"/>
      <c r="R326" s="2">
        <v>156</v>
      </c>
      <c r="S326" s="10">
        <f>IF(T326="",R326,MAX((R326+$R$8)/$R$2,(T326+$T$8)/$T$2)*$R$2-$R$8)</f>
        <v>173.05562267931867</v>
      </c>
      <c r="T326" s="12">
        <v>257</v>
      </c>
      <c r="U326" s="68">
        <f>IF(A326&lt;&gt;"",SUM(B326:I326),"")</f>
        <v>192</v>
      </c>
      <c r="V326" s="10">
        <f>IF(A326&lt;&gt;"",SUM(J326:O326),"")</f>
        <v>304</v>
      </c>
      <c r="W326" s="10">
        <f>IF(A326&lt;&gt;"",SUM(P326:Q326),"")</f>
        <v>0</v>
      </c>
      <c r="X326" s="10">
        <f>IF(A326&lt;&gt;"",SUM(S326:T326),"")</f>
        <v>430.05562267931867</v>
      </c>
      <c r="Y326" s="12">
        <v>3</v>
      </c>
      <c r="Z326" s="12">
        <f>IF(A326&lt;&gt;"",SUM(U326:Y326),"")</f>
        <v>929.05562267931873</v>
      </c>
      <c r="AA326" s="27">
        <f>IF(A326&lt;&gt;"",(Z326+Normalize_To_Add)/(Point_Total_So_Far)*100,"")</f>
        <v>100.41523545706372</v>
      </c>
      <c r="AB326" s="10">
        <f>IF(A326&lt;&gt;"",RANK(AA326,All_Student_XC),"")</f>
        <v>6</v>
      </c>
      <c r="AC326" s="31" t="str">
        <f>IF(A326&lt;&gt;"",CHOOSE(10-MIN(9,TRUNC((AA326+0.5)/10)),"A","B","C","D","F","F","F","F","F","F"),"")</f>
        <v>A</v>
      </c>
      <c r="AD326" s="31" t="str">
        <f>IF(A326&lt;&gt;"",IF(OR(AA326+0.5&gt;=93,AA326+0.5&lt;60),"",IF(MOD(AA326+0.5,10)&gt;=7,"+",IF(MOD(AA326+0.5,10)&lt;3,"-",""))),"")</f>
        <v/>
      </c>
      <c r="AE326" s="31">
        <f>IF(A326&lt;&gt;"",SUM(W326:X326,$W$8:$X$8)/SUM($W$2:$X$2)*100,"")</f>
        <v>101.03047091412742</v>
      </c>
      <c r="AF326" s="31" t="str">
        <f>IF(A326&lt;&gt;"",CHOOSE(10-MIN(9,TRUNC((AE326+0.5)/10)),"A","B","C","D","F","F","F","F","F","F"),"")</f>
        <v>A</v>
      </c>
      <c r="AG326" s="31" t="str">
        <f>IF(A326&lt;&gt;"",IF(OR(AE326+0.5&gt;=93,AE326+0.5&lt;60),"",IF(MOD(AE326+0.5,10)&gt;=7,"+",IF(MOD(AE326+0.5,10)&lt;3,"-",""))),"")</f>
        <v/>
      </c>
      <c r="AH326" s="35">
        <f>IF(A326&lt;&gt;"",MIN(MAX(AA326,AE326),AA326+$AH$8,AE326+$AH$8),"")</f>
        <v>101.03047091412742</v>
      </c>
      <c r="AI326" s="31" t="str">
        <f>IF(A326&lt;&gt;"",CHOOSE(10-MIN(9,TRUNC((AH326+0.5)/10)),"A","B","C","D","F","F","F","F","F","F"),"")</f>
        <v>A</v>
      </c>
      <c r="AJ326" s="31" t="str">
        <f>IF(A326&lt;&gt;"",IF(OR(AH326+0.5&gt;=93,AH326+0.5&lt;60),"",IF(MOD(AH326+0.5,10)&gt;=7,"+",IF(MOD(AH326+0.5,10)&lt;3,"-",""))),"")</f>
        <v/>
      </c>
      <c r="AK326" s="31" t="b">
        <f>IF(A326&lt;&gt;"",OR(AI326&lt;&gt;AC326,AJ326&lt;&gt;AD326),"")</f>
        <v>0</v>
      </c>
      <c r="AL326" s="81">
        <f>IF(AND(A326&lt;&gt;"",U326&gt;0),SUM(U326,$AL$8)/$AL$2*100,"")</f>
        <v>96</v>
      </c>
      <c r="AM326" s="24">
        <f>IF(AND(A326&lt;&gt;"",V326&gt;0),SUM(V326,$AM$8)/$AM$2*100,"")</f>
        <v>101.33333333333334</v>
      </c>
      <c r="AN326" s="24" t="str">
        <f>IF(AND(A326&lt;&gt;"",P326&lt;&gt;0),SUM(P326,$AN$8)/$AN$2*100,"")</f>
        <v/>
      </c>
      <c r="AO326" s="24" t="str">
        <f>IF(AND(A326&lt;&gt;"",Q326&lt;&gt;0),SUM(Q326,$AO$8)/$AO$2*100,"")</f>
        <v/>
      </c>
      <c r="AP326" s="24">
        <f>IF(AND(A326&lt;&gt;"",R326&lt;&gt;0),SUM(R326,$AP$8)/$AP$2*100,"")</f>
        <v>92.502659574468083</v>
      </c>
      <c r="AQ326" s="24" t="str">
        <f>IF(AND(A326&lt;&gt;"",W326&gt;0),SUM(W326,$AQ$8)/$AQ$2*100,"")</f>
        <v/>
      </c>
      <c r="AR326" s="24">
        <f>IF(AND(A326&lt;&gt;"",T326&gt;0),SUM(T326,$AR$8)/$AR$2*100,"")</f>
        <v>101.03047091412742</v>
      </c>
      <c r="AS326" s="24">
        <f>IF(AND(A326&lt;&gt;"",X326&lt;&gt;0),SUM(X326,$AS$8)/$AS$2*100,"")</f>
        <v>101.03047091412742</v>
      </c>
      <c r="AT326" s="86">
        <f>IF(A326&lt;&gt;"",SUM(W326:X326,$AT$8)/$AT$2*100,"")</f>
        <v>101.03047091412742</v>
      </c>
      <c r="AU326" s="24">
        <f>AA326</f>
        <v>100.41523545706372</v>
      </c>
      <c r="AV326" s="24"/>
      <c r="AW326" s="27">
        <f>IF(A326&lt;&gt;"",AE326-AA326,"")</f>
        <v>0.61523545706370442</v>
      </c>
      <c r="AY326" s="27">
        <f>AR326-AP326</f>
        <v>8.5278113396593369</v>
      </c>
      <c r="AZ326" s="27">
        <f>ABS(AY326)</f>
        <v>8.5278113396593369</v>
      </c>
    </row>
    <row r="327" spans="1:52" s="27" customFormat="1" ht="12.75" customHeight="1" x14ac:dyDescent="0.2">
      <c r="A327" s="50">
        <v>866108</v>
      </c>
      <c r="B327" s="2">
        <v>11</v>
      </c>
      <c r="C327" s="50">
        <v>22</v>
      </c>
      <c r="D327" s="10">
        <v>15</v>
      </c>
      <c r="E327" s="10">
        <v>18</v>
      </c>
      <c r="F327" s="10">
        <v>25</v>
      </c>
      <c r="G327" s="10">
        <v>25</v>
      </c>
      <c r="H327" s="10">
        <v>13</v>
      </c>
      <c r="I327" s="10">
        <v>19</v>
      </c>
      <c r="J327" s="2"/>
      <c r="K327" s="10">
        <v>2</v>
      </c>
      <c r="L327" s="10">
        <v>60</v>
      </c>
      <c r="M327" s="10">
        <v>56</v>
      </c>
      <c r="N327" s="51">
        <v>30</v>
      </c>
      <c r="O327" s="11">
        <v>61</v>
      </c>
      <c r="P327" s="10"/>
      <c r="Q327" s="40"/>
      <c r="R327" s="2">
        <v>117</v>
      </c>
      <c r="S327" s="10">
        <f>IF(T327="",R327,MAX((R327+$R$8)/$R$2,(T327+$T$8)/$T$2)*$R$2-$R$8)</f>
        <v>117</v>
      </c>
      <c r="T327" s="62">
        <v>143</v>
      </c>
      <c r="U327" s="2">
        <f>IF(A327&lt;&gt;"",SUM(B327:I327),"")</f>
        <v>148</v>
      </c>
      <c r="V327" s="10">
        <f>IF(A327&lt;&gt;"",SUM(J327:O327),"")</f>
        <v>209</v>
      </c>
      <c r="W327" s="10">
        <f>IF(A327&lt;&gt;"",SUM(P327:Q327),"")</f>
        <v>0</v>
      </c>
      <c r="X327" s="10">
        <f>IF(A327&lt;&gt;"",SUM(S327:T327),"")</f>
        <v>260</v>
      </c>
      <c r="Y327" s="12" t="s">
        <v>69</v>
      </c>
      <c r="Z327" s="12">
        <f>IF(A327&lt;&gt;"",SUM(U327:Y327),"")</f>
        <v>617</v>
      </c>
      <c r="AA327" s="27">
        <f>IF(A327&lt;&gt;"",(Z327+Normalize_To_Add)/(Point_Total_So_Far)*100,"")</f>
        <v>69.209673189131834</v>
      </c>
      <c r="AB327" s="10">
        <f>IF(A327&lt;&gt;"",RANK(AA327,All_Student_XC),"")</f>
        <v>319</v>
      </c>
      <c r="AC327" s="31" t="str">
        <f>IF(A327&lt;&gt;"",CHOOSE(10-MIN(9,TRUNC((AA327+0.5)/10)),"A","B","C","D","F","F","F","F","F","F"),"")</f>
        <v>D</v>
      </c>
      <c r="AD327" s="31" t="str">
        <f>IF(A327&lt;&gt;"",IF(OR(AA327+0.5&gt;=93,AA327+0.5&lt;60),"",IF(MOD(AA327+0.5,10)&gt;=7,"+",IF(MOD(AA327+0.5,10)&lt;3,"-",""))),"")</f>
        <v>+</v>
      </c>
      <c r="AE327" s="31">
        <f>IF(A327&lt;&gt;"",SUM(W327:X327,$W$8:$X$8)/SUM($W$2:$X$2)*100,"")</f>
        <v>67.019346378263691</v>
      </c>
      <c r="AF327" s="43" t="str">
        <f>IF(A327&lt;&gt;"",CHOOSE(10-MIN(9,TRUNC((AE327+0.5)/10)),"A","B","C","D","F","F","F","F","F","F"),"")</f>
        <v>D</v>
      </c>
      <c r="AG327" s="43" t="str">
        <f>IF(A327&lt;&gt;"",IF(OR(AE327+0.5&gt;=93,AE327+0.5&lt;60),"",IF(MOD(AE327+0.5,10)&gt;=7,"+",IF(MOD(AE327+0.5,10)&lt;3,"-",""))),"")</f>
        <v>+</v>
      </c>
      <c r="AH327" s="35">
        <f>IF(A327&lt;&gt;"",MIN(MAX(AA327,AE327),AA327+$AH$8,AE327+$AH$8),"")</f>
        <v>69.209673189131834</v>
      </c>
      <c r="AI327" s="31" t="str">
        <f>IF(A327&lt;&gt;"",CHOOSE(10-MIN(9,TRUNC((AH327+0.5)/10)),"A","B","C","D","F","F","F","F","F","F"),"")</f>
        <v>D</v>
      </c>
      <c r="AJ327" s="31" t="str">
        <f>IF(A327&lt;&gt;"",IF(OR(AH327+0.5&gt;=93,AH327+0.5&lt;60),"",IF(MOD(AH327+0.5,10)&gt;=7,"+",IF(MOD(AH327+0.5,10)&lt;3,"-",""))),"")</f>
        <v>+</v>
      </c>
      <c r="AK327" s="31" t="b">
        <f>IF(A327&lt;&gt;"",OR(AI327&lt;&gt;AC327,AJ327&lt;&gt;AD327),"")</f>
        <v>0</v>
      </c>
      <c r="AL327" s="81">
        <f>IF(AND(A327&lt;&gt;"",U327&gt;0),SUM(U327,$AL$8)/$AL$2*100,"")</f>
        <v>74</v>
      </c>
      <c r="AM327" s="24">
        <f>IF(AND(A327&lt;&gt;"",V327&gt;0),SUM(V327,$AM$8)/$AM$2*100,"")</f>
        <v>69.666666666666671</v>
      </c>
      <c r="AN327" s="24" t="str">
        <f>IF(AND(A327&lt;&gt;"",P327&lt;&gt;0),SUM(P327,$AN$8)/$AN$2*100,"")</f>
        <v/>
      </c>
      <c r="AO327" s="24" t="str">
        <f>IF(AND(A327&lt;&gt;"",Q327&lt;&gt;0),SUM(Q327,$AO$8)/$AO$2*100,"")</f>
        <v/>
      </c>
      <c r="AP327" s="24">
        <f>IF(AND(A327&lt;&gt;"",R327&lt;&gt;0),SUM(R327,$AP$8)/$AP$2*100,"")</f>
        <v>73.002659574468083</v>
      </c>
      <c r="AQ327" s="24" t="str">
        <f>IF(AND(A327&lt;&gt;"",W327&gt;0),SUM(W327,$AQ$8)/$AQ$2*100,"")</f>
        <v/>
      </c>
      <c r="AR327" s="24">
        <f>IF(AND(A327&lt;&gt;"",T327&gt;0),SUM(T327,$AR$8)/$AR$2*100,"")</f>
        <v>63.03047091412742</v>
      </c>
      <c r="AS327" s="24">
        <f>IF(AND(A327&lt;&gt;"",X327&lt;&gt;0),SUM(X327,$AS$8)/$AS$2*100,"")</f>
        <v>67.019346378263691</v>
      </c>
      <c r="AT327" s="86">
        <f>IF(A327&lt;&gt;"",SUM(W327:X327,$AT$8)/$AT$2*100,"")</f>
        <v>67.019346378263691</v>
      </c>
      <c r="AU327" s="24">
        <f>AA327</f>
        <v>69.209673189131834</v>
      </c>
      <c r="AV327" s="24"/>
      <c r="AW327" s="27">
        <f>IF(A327&lt;&gt;"",AE327-AA327,"")</f>
        <v>-2.1903268108681431</v>
      </c>
      <c r="AY327" s="27">
        <f>AR327-AP327</f>
        <v>-9.9721886603406631</v>
      </c>
      <c r="AZ327" s="27">
        <f>ABS(AY327)</f>
        <v>9.9721886603406631</v>
      </c>
    </row>
    <row r="328" spans="1:52" s="27" customFormat="1" ht="12.75" customHeight="1" x14ac:dyDescent="0.2">
      <c r="A328" s="10">
        <v>866304</v>
      </c>
      <c r="B328" s="2">
        <v>25</v>
      </c>
      <c r="C328" s="10">
        <v>23</v>
      </c>
      <c r="D328" s="10">
        <v>21</v>
      </c>
      <c r="E328" s="10">
        <v>23</v>
      </c>
      <c r="F328" s="10">
        <v>22</v>
      </c>
      <c r="G328" s="10">
        <v>25</v>
      </c>
      <c r="H328" s="10">
        <v>16</v>
      </c>
      <c r="I328" s="10">
        <v>25</v>
      </c>
      <c r="J328" s="2"/>
      <c r="K328" s="10">
        <v>62</v>
      </c>
      <c r="L328" s="10">
        <v>62</v>
      </c>
      <c r="M328" s="10">
        <v>61</v>
      </c>
      <c r="N328" s="51">
        <v>62</v>
      </c>
      <c r="O328" s="11">
        <v>47</v>
      </c>
      <c r="P328" s="10"/>
      <c r="Q328" s="40"/>
      <c r="R328" s="2">
        <v>137</v>
      </c>
      <c r="S328" s="10">
        <f>IF(T328="",R328,MAX((R328+$R$8)/$R$2,(T328+$T$8)/$T$2)*$R$2-$R$8)</f>
        <v>157.72228934598536</v>
      </c>
      <c r="T328" s="12">
        <v>234</v>
      </c>
      <c r="U328" s="68">
        <f>IF(A328&lt;&gt;"",SUM(B328:I328),"")</f>
        <v>180</v>
      </c>
      <c r="V328" s="10">
        <f>IF(A328&lt;&gt;"",SUM(J328:O328),"")</f>
        <v>294</v>
      </c>
      <c r="W328" s="10">
        <f>IF(A328&lt;&gt;"",SUM(P328:Q328),"")</f>
        <v>0</v>
      </c>
      <c r="X328" s="10">
        <f>IF(A328&lt;&gt;"",SUM(S328:T328),"")</f>
        <v>391.72228934598536</v>
      </c>
      <c r="Y328" s="12">
        <v>3</v>
      </c>
      <c r="Z328" s="12">
        <f>IF(A328&lt;&gt;"",SUM(U328:Y328),"")</f>
        <v>868.72228934598536</v>
      </c>
      <c r="AA328" s="27">
        <f>IF(A328&lt;&gt;"",(Z328+Normalize_To_Add)/(Point_Total_So_Far)*100,"")</f>
        <v>94.38190212373037</v>
      </c>
      <c r="AB328" s="10">
        <f>IF(A328&lt;&gt;"",RANK(AA328,All_Student_XC),"")</f>
        <v>37</v>
      </c>
      <c r="AC328" s="31" t="str">
        <f>IF(A328&lt;&gt;"",CHOOSE(10-MIN(9,TRUNC((AA328+0.5)/10)),"A","B","C","D","F","F","F","F","F","F"),"")</f>
        <v>A</v>
      </c>
      <c r="AD328" s="31" t="str">
        <f>IF(A328&lt;&gt;"",IF(OR(AA328+0.5&gt;=93,AA328+0.5&lt;60),"",IF(MOD(AA328+0.5,10)&gt;=7,"+",IF(MOD(AA328+0.5,10)&lt;3,"-",""))),"")</f>
        <v/>
      </c>
      <c r="AE328" s="31">
        <f>IF(A328&lt;&gt;"",SUM(W328:X328,$W$8:$X$8)/SUM($W$2:$X$2)*100,"")</f>
        <v>93.363804247460763</v>
      </c>
      <c r="AF328" s="31" t="str">
        <f>IF(A328&lt;&gt;"",CHOOSE(10-MIN(9,TRUNC((AE328+0.5)/10)),"A","B","C","D","F","F","F","F","F","F"),"")</f>
        <v>A</v>
      </c>
      <c r="AG328" s="31" t="str">
        <f>IF(A328&lt;&gt;"",IF(OR(AE328+0.5&gt;=93,AE328+0.5&lt;60),"",IF(MOD(AE328+0.5,10)&gt;=7,"+",IF(MOD(AE328+0.5,10)&lt;3,"-",""))),"")</f>
        <v/>
      </c>
      <c r="AH328" s="35">
        <f>IF(A328&lt;&gt;"",MIN(MAX(AA328,AE328),AA328+$AH$8,AE328+$AH$8),"")</f>
        <v>94.38190212373037</v>
      </c>
      <c r="AI328" s="31" t="str">
        <f>IF(A328&lt;&gt;"",CHOOSE(10-MIN(9,TRUNC((AH328+0.5)/10)),"A","B","C","D","F","F","F","F","F","F"),"")</f>
        <v>A</v>
      </c>
      <c r="AJ328" s="31" t="str">
        <f>IF(A328&lt;&gt;"",IF(OR(AH328+0.5&gt;=93,AH328+0.5&lt;60),"",IF(MOD(AH328+0.5,10)&gt;=7,"+",IF(MOD(AH328+0.5,10)&lt;3,"-",""))),"")</f>
        <v/>
      </c>
      <c r="AK328" s="31" t="b">
        <f>IF(A328&lt;&gt;"",OR(AI328&lt;&gt;AC328,AJ328&lt;&gt;AD328),"")</f>
        <v>0</v>
      </c>
      <c r="AL328" s="81">
        <f>IF(AND(A328&lt;&gt;"",U328&gt;0),SUM(U328,$AL$8)/$AL$2*100,"")</f>
        <v>90</v>
      </c>
      <c r="AM328" s="24">
        <f>IF(AND(A328&lt;&gt;"",V328&gt;0),SUM(V328,$AM$8)/$AM$2*100,"")</f>
        <v>98</v>
      </c>
      <c r="AN328" s="24" t="str">
        <f>IF(AND(A328&lt;&gt;"",P328&lt;&gt;0),SUM(P328,$AN$8)/$AN$2*100,"")</f>
        <v/>
      </c>
      <c r="AO328" s="24" t="str">
        <f>IF(AND(A328&lt;&gt;"",Q328&lt;&gt;0),SUM(Q328,$AO$8)/$AO$2*100,"")</f>
        <v/>
      </c>
      <c r="AP328" s="24">
        <f>IF(AND(A328&lt;&gt;"",R328&lt;&gt;0),SUM(R328,$AP$8)/$AP$2*100,"")</f>
        <v>83.002659574468083</v>
      </c>
      <c r="AQ328" s="24" t="str">
        <f>IF(AND(A328&lt;&gt;"",W328&gt;0),SUM(W328,$AQ$8)/$AQ$2*100,"")</f>
        <v/>
      </c>
      <c r="AR328" s="24">
        <f>IF(AND(A328&lt;&gt;"",T328&gt;0),SUM(T328,$AR$8)/$AR$2*100,"")</f>
        <v>93.363804247460763</v>
      </c>
      <c r="AS328" s="24">
        <f>IF(AND(A328&lt;&gt;"",X328&lt;&gt;0),SUM(X328,$AS$8)/$AS$2*100,"")</f>
        <v>93.363804247460763</v>
      </c>
      <c r="AT328" s="86">
        <f>IF(A328&lt;&gt;"",SUM(W328:X328,$AT$8)/$AT$2*100,"")</f>
        <v>93.363804247460763</v>
      </c>
      <c r="AU328" s="24">
        <f>AA328</f>
        <v>94.38190212373037</v>
      </c>
      <c r="AV328" s="24"/>
      <c r="AW328" s="27">
        <f>IF(A328&lt;&gt;"",AE328-AA328,"")</f>
        <v>-1.0180978762696071</v>
      </c>
      <c r="AY328" s="27">
        <f>AR328-AP328</f>
        <v>10.36114467299268</v>
      </c>
      <c r="AZ328" s="27">
        <f>ABS(AY328)</f>
        <v>10.36114467299268</v>
      </c>
    </row>
    <row r="329" spans="1:52" s="27" customFormat="1" ht="12.75" customHeight="1" x14ac:dyDescent="0.2">
      <c r="A329" s="10">
        <v>866372</v>
      </c>
      <c r="B329" s="2">
        <v>3</v>
      </c>
      <c r="C329" s="10">
        <v>11</v>
      </c>
      <c r="D329" s="10">
        <v>17</v>
      </c>
      <c r="E329" s="10" t="s">
        <v>69</v>
      </c>
      <c r="F329" s="10">
        <v>20</v>
      </c>
      <c r="G329" s="10">
        <v>12</v>
      </c>
      <c r="H329" s="10">
        <v>24</v>
      </c>
      <c r="I329" s="10">
        <v>22</v>
      </c>
      <c r="J329" s="2"/>
      <c r="K329" s="10">
        <v>53</v>
      </c>
      <c r="L329" s="10">
        <v>24</v>
      </c>
      <c r="M329" s="10">
        <v>0</v>
      </c>
      <c r="N329" s="51">
        <v>11</v>
      </c>
      <c r="O329" s="11">
        <v>41</v>
      </c>
      <c r="P329" s="10"/>
      <c r="Q329" s="40"/>
      <c r="R329" s="2">
        <v>98</v>
      </c>
      <c r="S329" s="10">
        <f>IF(T329="",R329,MAX((R329+$R$8)/$R$2,(T329+$T$8)/$T$2)*$R$2-$R$8)</f>
        <v>134.38895601265202</v>
      </c>
      <c r="T329" s="12">
        <v>199</v>
      </c>
      <c r="U329" s="68">
        <f>IF(A329&lt;&gt;"",SUM(B329:I329),"")</f>
        <v>109</v>
      </c>
      <c r="V329" s="10">
        <f>IF(A329&lt;&gt;"",SUM(J329:O329),"")</f>
        <v>129</v>
      </c>
      <c r="W329" s="10">
        <f>IF(A329&lt;&gt;"",SUM(P329:Q329),"")</f>
        <v>0</v>
      </c>
      <c r="X329" s="10">
        <f>IF(A329&lt;&gt;"",SUM(S329:T329),"")</f>
        <v>333.38895601265199</v>
      </c>
      <c r="Y329" s="12">
        <v>3</v>
      </c>
      <c r="Z329" s="12">
        <f>IF(A329&lt;&gt;"",SUM(U329:Y329),"")</f>
        <v>574.38895601265199</v>
      </c>
      <c r="AA329" s="27">
        <f>IF(A329&lt;&gt;"",(Z329+Normalize_To_Add)/(Point_Total_So_Far)*100,"")</f>
        <v>64.948568790397047</v>
      </c>
      <c r="AB329" s="10">
        <f>IF(A329&lt;&gt;"",RANK(AA329,All_Student_XC),"")</f>
        <v>336</v>
      </c>
      <c r="AC329" s="31" t="str">
        <f>IF(A329&lt;&gt;"",CHOOSE(10-MIN(9,TRUNC((AA329+0.5)/10)),"A","B","C","D","F","F","F","F","F","F"),"")</f>
        <v>D</v>
      </c>
      <c r="AD329" s="31" t="str">
        <f>IF(A329&lt;&gt;"",IF(OR(AA329+0.5&gt;=93,AA329+0.5&lt;60),"",IF(MOD(AA329+0.5,10)&gt;=7,"+",IF(MOD(AA329+0.5,10)&lt;3,"-",""))),"")</f>
        <v/>
      </c>
      <c r="AE329" s="31">
        <f>IF(A329&lt;&gt;"",SUM(W329:X329,$W$8:$X$8)/SUM($W$2:$X$2)*100,"")</f>
        <v>81.697137580794092</v>
      </c>
      <c r="AF329" s="31" t="str">
        <f>IF(A329&lt;&gt;"",CHOOSE(10-MIN(9,TRUNC((AE329+0.5)/10)),"A","B","C","D","F","F","F","F","F","F"),"")</f>
        <v>B</v>
      </c>
      <c r="AG329" s="31" t="str">
        <f>IF(A329&lt;&gt;"",IF(OR(AE329+0.5&gt;=93,AE329+0.5&lt;60),"",IF(MOD(AE329+0.5,10)&gt;=7,"+",IF(MOD(AE329+0.5,10)&lt;3,"-",""))),"")</f>
        <v>-</v>
      </c>
      <c r="AH329" s="35">
        <f>IF(A329&lt;&gt;"",MIN(MAX(AA329,AE329),AA329+$AH$8,AE329+$AH$8),"")</f>
        <v>81.697137580794092</v>
      </c>
      <c r="AI329" s="31" t="str">
        <f>IF(A329&lt;&gt;"",CHOOSE(10-MIN(9,TRUNC((AH329+0.5)/10)),"A","B","C","D","F","F","F","F","F","F"),"")</f>
        <v>B</v>
      </c>
      <c r="AJ329" s="31" t="str">
        <f>IF(A329&lt;&gt;"",IF(OR(AH329+0.5&gt;=93,AH329+0.5&lt;60),"",IF(MOD(AH329+0.5,10)&gt;=7,"+",IF(MOD(AH329+0.5,10)&lt;3,"-",""))),"")</f>
        <v>-</v>
      </c>
      <c r="AK329" s="31" t="b">
        <f>IF(A329&lt;&gt;"",OR(AI329&lt;&gt;AC329,AJ329&lt;&gt;AD329),"")</f>
        <v>1</v>
      </c>
      <c r="AL329" s="81">
        <f>IF(AND(A329&lt;&gt;"",U329&gt;0),SUM(U329,$AL$8)/$AL$2*100,"")</f>
        <v>54.500000000000007</v>
      </c>
      <c r="AM329" s="24">
        <f>IF(AND(A329&lt;&gt;"",V329&gt;0),SUM(V329,$AM$8)/$AM$2*100,"")</f>
        <v>43</v>
      </c>
      <c r="AN329" s="24" t="str">
        <f>IF(AND(A329&lt;&gt;"",P329&lt;&gt;0),SUM(P329,$AN$8)/$AN$2*100,"")</f>
        <v/>
      </c>
      <c r="AO329" s="24" t="str">
        <f>IF(AND(A329&lt;&gt;"",Q329&lt;&gt;0),SUM(Q329,$AO$8)/$AO$2*100,"")</f>
        <v/>
      </c>
      <c r="AP329" s="24">
        <f>IF(AND(A329&lt;&gt;"",R329&lt;&gt;0),SUM(R329,$AP$8)/$AP$2*100,"")</f>
        <v>63.502659574468076</v>
      </c>
      <c r="AQ329" s="24" t="str">
        <f>IF(AND(A329&lt;&gt;"",W329&gt;0),SUM(W329,$AQ$8)/$AQ$2*100,"")</f>
        <v/>
      </c>
      <c r="AR329" s="24">
        <f>IF(AND(A329&lt;&gt;"",T329&gt;0),SUM(T329,$AR$8)/$AR$2*100,"")</f>
        <v>81.697137580794092</v>
      </c>
      <c r="AS329" s="24">
        <f>IF(AND(A329&lt;&gt;"",X329&lt;&gt;0),SUM(X329,$AS$8)/$AS$2*100,"")</f>
        <v>81.697137580794092</v>
      </c>
      <c r="AT329" s="86">
        <f>IF(A329&lt;&gt;"",SUM(W329:X329,$AT$8)/$AT$2*100,"")</f>
        <v>81.697137580794092</v>
      </c>
      <c r="AU329" s="24">
        <f>AA329</f>
        <v>64.948568790397047</v>
      </c>
      <c r="AV329" s="24"/>
      <c r="AW329" s="27">
        <f>IF(A329&lt;&gt;"",AE329-AA329,"")</f>
        <v>16.748568790397044</v>
      </c>
      <c r="AY329" s="27">
        <f>AR329-AP329</f>
        <v>18.194478006326015</v>
      </c>
      <c r="AZ329" s="27">
        <f>ABS(AY329)</f>
        <v>18.194478006326015</v>
      </c>
    </row>
    <row r="330" spans="1:52" s="27" customFormat="1" ht="12.75" customHeight="1" x14ac:dyDescent="0.2">
      <c r="A330" s="10">
        <v>869362</v>
      </c>
      <c r="B330" s="2">
        <v>23</v>
      </c>
      <c r="C330" s="10">
        <v>19</v>
      </c>
      <c r="D330" s="10">
        <v>16</v>
      </c>
      <c r="E330" s="10">
        <v>25</v>
      </c>
      <c r="F330" s="10">
        <v>21</v>
      </c>
      <c r="G330" s="10">
        <v>25</v>
      </c>
      <c r="H330" s="10">
        <v>24</v>
      </c>
      <c r="I330" s="10">
        <v>25</v>
      </c>
      <c r="J330" s="2"/>
      <c r="K330" s="10">
        <v>58</v>
      </c>
      <c r="L330" s="10">
        <v>42</v>
      </c>
      <c r="M330" s="10">
        <v>55</v>
      </c>
      <c r="N330" s="51">
        <v>54</v>
      </c>
      <c r="O330" s="11">
        <v>60</v>
      </c>
      <c r="P330" s="10"/>
      <c r="Q330" s="40"/>
      <c r="R330" s="2">
        <v>103</v>
      </c>
      <c r="S330" s="10">
        <f>IF(T330="",R330,MAX((R330+$R$8)/$R$2,(T330+$T$8)/$T$2)*$R$2-$R$8)</f>
        <v>103</v>
      </c>
      <c r="T330" s="12">
        <v>71</v>
      </c>
      <c r="U330" s="68">
        <f>IF(A330&lt;&gt;"",SUM(B330:I330),"")</f>
        <v>178</v>
      </c>
      <c r="V330" s="10">
        <f>IF(A330&lt;&gt;"",SUM(J330:O330),"")</f>
        <v>269</v>
      </c>
      <c r="W330" s="10">
        <f>IF(A330&lt;&gt;"",SUM(P330:Q330),"")</f>
        <v>0</v>
      </c>
      <c r="X330" s="10">
        <f>IF(A330&lt;&gt;"",SUM(S330:T330),"")</f>
        <v>174</v>
      </c>
      <c r="Y330" s="12" t="s">
        <v>69</v>
      </c>
      <c r="Z330" s="12">
        <f>IF(A330&lt;&gt;"",SUM(U330:Y330),"")</f>
        <v>621</v>
      </c>
      <c r="AA330" s="27">
        <f>IF(A330&lt;&gt;"",(Z330+Normalize_To_Add)/(Point_Total_So_Far)*100,"")</f>
        <v>69.60967318913184</v>
      </c>
      <c r="AB330" s="10">
        <f>IF(A330&lt;&gt;"",RANK(AA330,All_Student_XC),"")</f>
        <v>316</v>
      </c>
      <c r="AC330" s="31" t="str">
        <f>IF(A330&lt;&gt;"",CHOOSE(10-MIN(9,TRUNC((AA330+0.5)/10)),"A","B","C","D","F","F","F","F","F","F"),"")</f>
        <v>C</v>
      </c>
      <c r="AD330" s="31" t="str">
        <f>IF(A330&lt;&gt;"",IF(OR(AA330+0.5&gt;=93,AA330+0.5&lt;60),"",IF(MOD(AA330+0.5,10)&gt;=7,"+",IF(MOD(AA330+0.5,10)&lt;3,"-",""))),"")</f>
        <v>-</v>
      </c>
      <c r="AE330" s="31">
        <f>IF(A330&lt;&gt;"",SUM(W330:X330,$W$8:$X$8)/SUM($W$2:$X$2)*100,"")</f>
        <v>49.819346378263688</v>
      </c>
      <c r="AF330" s="31" t="str">
        <f>IF(A330&lt;&gt;"",CHOOSE(10-MIN(9,TRUNC((AE330+0.5)/10)),"A","B","C","D","F","F","F","F","F","F"),"")</f>
        <v>F</v>
      </c>
      <c r="AG330" s="31" t="str">
        <f>IF(A330&lt;&gt;"",IF(OR(AE330+0.5&gt;=93,AE330+0.5&lt;60),"",IF(MOD(AE330+0.5,10)&gt;=7,"+",IF(MOD(AE330+0.5,10)&lt;3,"-",""))),"")</f>
        <v/>
      </c>
      <c r="AH330" s="35">
        <f>IF(A330&lt;&gt;"",MIN(MAX(AA330,AE330),AA330+$AH$8,AE330+$AH$8),"")</f>
        <v>69.60967318913184</v>
      </c>
      <c r="AI330" s="31" t="str">
        <f>IF(A330&lt;&gt;"",CHOOSE(10-MIN(9,TRUNC((AH330+0.5)/10)),"A","B","C","D","F","F","F","F","F","F"),"")</f>
        <v>C</v>
      </c>
      <c r="AJ330" s="31" t="str">
        <f>IF(A330&lt;&gt;"",IF(OR(AH330+0.5&gt;=93,AH330+0.5&lt;60),"",IF(MOD(AH330+0.5,10)&gt;=7,"+",IF(MOD(AH330+0.5,10)&lt;3,"-",""))),"")</f>
        <v>-</v>
      </c>
      <c r="AK330" s="31" t="b">
        <f>IF(A330&lt;&gt;"",OR(AI330&lt;&gt;AC330,AJ330&lt;&gt;AD330),"")</f>
        <v>0</v>
      </c>
      <c r="AL330" s="81">
        <f>IF(AND(A330&lt;&gt;"",U330&gt;0),SUM(U330,$AL$8)/$AL$2*100,"")</f>
        <v>89</v>
      </c>
      <c r="AM330" s="24">
        <f>IF(AND(A330&lt;&gt;"",V330&gt;0),SUM(V330,$AM$8)/$AM$2*100,"")</f>
        <v>89.666666666666657</v>
      </c>
      <c r="AN330" s="24" t="str">
        <f>IF(AND(A330&lt;&gt;"",P330&lt;&gt;0),SUM(P330,$AN$8)/$AN$2*100,"")</f>
        <v/>
      </c>
      <c r="AO330" s="24" t="str">
        <f>IF(AND(A330&lt;&gt;"",Q330&lt;&gt;0),SUM(Q330,$AO$8)/$AO$2*100,"")</f>
        <v/>
      </c>
      <c r="AP330" s="24">
        <f>IF(AND(A330&lt;&gt;"",R330&lt;&gt;0),SUM(R330,$AP$8)/$AP$2*100,"")</f>
        <v>66.002659574468083</v>
      </c>
      <c r="AQ330" s="24" t="str">
        <f>IF(AND(A330&lt;&gt;"",W330&gt;0),SUM(W330,$AQ$8)/$AQ$2*100,"")</f>
        <v/>
      </c>
      <c r="AR330" s="24">
        <f>IF(AND(A330&lt;&gt;"",T330&gt;0),SUM(T330,$AR$8)/$AR$2*100,"")</f>
        <v>39.03047091412742</v>
      </c>
      <c r="AS330" s="24">
        <f>IF(AND(A330&lt;&gt;"",X330&lt;&gt;0),SUM(X330,$AS$8)/$AS$2*100,"")</f>
        <v>49.819346378263688</v>
      </c>
      <c r="AT330" s="86">
        <f>IF(A330&lt;&gt;"",SUM(W330:X330,$AT$8)/$AT$2*100,"")</f>
        <v>49.819346378263688</v>
      </c>
      <c r="AU330" s="24">
        <f>AA330</f>
        <v>69.60967318913184</v>
      </c>
      <c r="AV330" s="24"/>
      <c r="AW330" s="27">
        <f>IF(A330&lt;&gt;"",AE330-AA330,"")</f>
        <v>-19.790326810868152</v>
      </c>
      <c r="AY330" s="27">
        <f>AR330-AP330</f>
        <v>-26.972188660340663</v>
      </c>
      <c r="AZ330" s="27">
        <f>ABS(AY330)</f>
        <v>26.972188660340663</v>
      </c>
    </row>
    <row r="331" spans="1:52" s="27" customFormat="1" ht="12.75" customHeight="1" x14ac:dyDescent="0.2">
      <c r="A331" s="10">
        <v>872544</v>
      </c>
      <c r="B331" s="2">
        <v>25</v>
      </c>
      <c r="C331" s="10">
        <v>25</v>
      </c>
      <c r="D331" s="10">
        <v>24</v>
      </c>
      <c r="E331" s="10">
        <v>25</v>
      </c>
      <c r="F331" s="10">
        <v>23</v>
      </c>
      <c r="G331" s="10">
        <v>17</v>
      </c>
      <c r="H331" s="10">
        <v>24</v>
      </c>
      <c r="I331" s="10">
        <v>25</v>
      </c>
      <c r="J331" s="2"/>
      <c r="K331" s="10">
        <v>63</v>
      </c>
      <c r="L331" s="10">
        <v>62</v>
      </c>
      <c r="M331" s="10">
        <v>61</v>
      </c>
      <c r="N331" s="51">
        <v>56</v>
      </c>
      <c r="O331" s="11">
        <v>62</v>
      </c>
      <c r="P331" s="10"/>
      <c r="Q331" s="40"/>
      <c r="R331" s="2">
        <v>129</v>
      </c>
      <c r="S331" s="10">
        <f>IF(T331="",R331,MAX((R331+$R$8)/$R$2,(T331+$T$8)/$T$2)*$R$2-$R$8)</f>
        <v>133.05562267931867</v>
      </c>
      <c r="T331" s="12">
        <v>197</v>
      </c>
      <c r="U331" s="68">
        <f>IF(A331&lt;&gt;"",SUM(B331:I331),"")</f>
        <v>188</v>
      </c>
      <c r="V331" s="10">
        <f>IF(A331&lt;&gt;"",SUM(J331:O331),"")</f>
        <v>304</v>
      </c>
      <c r="W331" s="10">
        <f>IF(A331&lt;&gt;"",SUM(P331:Q331),"")</f>
        <v>0</v>
      </c>
      <c r="X331" s="10">
        <f>IF(A331&lt;&gt;"",SUM(S331:T331),"")</f>
        <v>330.05562267931867</v>
      </c>
      <c r="Y331" s="12">
        <v>3</v>
      </c>
      <c r="Z331" s="12">
        <f>IF(A331&lt;&gt;"",SUM(U331:Y331),"")</f>
        <v>825.05562267931873</v>
      </c>
      <c r="AA331" s="27">
        <f>IF(A331&lt;&gt;"",(Z331+Normalize_To_Add)/(Point_Total_So_Far)*100,"")</f>
        <v>90.01523545706371</v>
      </c>
      <c r="AB331" s="10">
        <f>IF(A331&lt;&gt;"",RANK(AA331,All_Student_XC),"")</f>
        <v>75</v>
      </c>
      <c r="AC331" s="31" t="str">
        <f>IF(A331&lt;&gt;"",CHOOSE(10-MIN(9,TRUNC((AA331+0.5)/10)),"A","B","C","D","F","F","F","F","F","F"),"")</f>
        <v>A</v>
      </c>
      <c r="AD331" s="31" t="str">
        <f>IF(A331&lt;&gt;"",IF(OR(AA331+0.5&gt;=93,AA331+0.5&lt;60),"",IF(MOD(AA331+0.5,10)&gt;=7,"+",IF(MOD(AA331+0.5,10)&lt;3,"-",""))),"")</f>
        <v>-</v>
      </c>
      <c r="AE331" s="31">
        <f>IF(A331&lt;&gt;"",SUM(W331:X331,$W$8:$X$8)/SUM($W$2:$X$2)*100,"")</f>
        <v>81.03047091412742</v>
      </c>
      <c r="AF331" s="31" t="str">
        <f>IF(A331&lt;&gt;"",CHOOSE(10-MIN(9,TRUNC((AE331+0.5)/10)),"A","B","C","D","F","F","F","F","F","F"),"")</f>
        <v>B</v>
      </c>
      <c r="AG331" s="31" t="str">
        <f>IF(A331&lt;&gt;"",IF(OR(AE331+0.5&gt;=93,AE331+0.5&lt;60),"",IF(MOD(AE331+0.5,10)&gt;=7,"+",IF(MOD(AE331+0.5,10)&lt;3,"-",""))),"")</f>
        <v>-</v>
      </c>
      <c r="AH331" s="35">
        <f>IF(A331&lt;&gt;"",MIN(MAX(AA331,AE331),AA331+$AH$8,AE331+$AH$8),"")</f>
        <v>90.01523545706371</v>
      </c>
      <c r="AI331" s="31" t="str">
        <f>IF(A331&lt;&gt;"",CHOOSE(10-MIN(9,TRUNC((AH331+0.5)/10)),"A","B","C","D","F","F","F","F","F","F"),"")</f>
        <v>A</v>
      </c>
      <c r="AJ331" s="31" t="str">
        <f>IF(A331&lt;&gt;"",IF(OR(AH331+0.5&gt;=93,AH331+0.5&lt;60),"",IF(MOD(AH331+0.5,10)&gt;=7,"+",IF(MOD(AH331+0.5,10)&lt;3,"-",""))),"")</f>
        <v>-</v>
      </c>
      <c r="AK331" s="31" t="b">
        <f>IF(A331&lt;&gt;"",OR(AI331&lt;&gt;AC331,AJ331&lt;&gt;AD331),"")</f>
        <v>0</v>
      </c>
      <c r="AL331" s="81">
        <f>IF(AND(A331&lt;&gt;"",U331&gt;0),SUM(U331,$AL$8)/$AL$2*100,"")</f>
        <v>94</v>
      </c>
      <c r="AM331" s="24">
        <f>IF(AND(A331&lt;&gt;"",V331&gt;0),SUM(V331,$AM$8)/$AM$2*100,"")</f>
        <v>101.33333333333334</v>
      </c>
      <c r="AN331" s="24" t="str">
        <f>IF(AND(A331&lt;&gt;"",P331&lt;&gt;0),SUM(P331,$AN$8)/$AN$2*100,"")</f>
        <v/>
      </c>
      <c r="AO331" s="24" t="str">
        <f>IF(AND(A331&lt;&gt;"",Q331&lt;&gt;0),SUM(Q331,$AO$8)/$AO$2*100,"")</f>
        <v/>
      </c>
      <c r="AP331" s="24">
        <f>IF(AND(A331&lt;&gt;"",R331&lt;&gt;0),SUM(R331,$AP$8)/$AP$2*100,"")</f>
        <v>79.002659574468083</v>
      </c>
      <c r="AQ331" s="24" t="str">
        <f>IF(AND(A331&lt;&gt;"",W331&gt;0),SUM(W331,$AQ$8)/$AQ$2*100,"")</f>
        <v/>
      </c>
      <c r="AR331" s="24">
        <f>IF(AND(A331&lt;&gt;"",T331&gt;0),SUM(T331,$AR$8)/$AR$2*100,"")</f>
        <v>81.03047091412742</v>
      </c>
      <c r="AS331" s="24">
        <f>IF(AND(A331&lt;&gt;"",X331&lt;&gt;0),SUM(X331,$AS$8)/$AS$2*100,"")</f>
        <v>81.03047091412742</v>
      </c>
      <c r="AT331" s="86">
        <f>IF(A331&lt;&gt;"",SUM(W331:X331,$AT$8)/$AT$2*100,"")</f>
        <v>81.03047091412742</v>
      </c>
      <c r="AU331" s="24">
        <f>AA331</f>
        <v>90.01523545706371</v>
      </c>
      <c r="AV331" s="24"/>
      <c r="AW331" s="27">
        <f>IF(A331&lt;&gt;"",AE331-AA331,"")</f>
        <v>-8.9847645429362899</v>
      </c>
      <c r="AY331" s="27">
        <f>AR331-AP331</f>
        <v>2.0278113396593369</v>
      </c>
      <c r="AZ331" s="27">
        <f>ABS(AY331)</f>
        <v>2.0278113396593369</v>
      </c>
    </row>
    <row r="332" spans="1:52" s="27" customFormat="1" ht="12.75" customHeight="1" x14ac:dyDescent="0.2">
      <c r="A332" s="10">
        <v>875022</v>
      </c>
      <c r="B332" s="2">
        <v>25</v>
      </c>
      <c r="C332" s="10">
        <v>25</v>
      </c>
      <c r="D332" s="10">
        <v>24</v>
      </c>
      <c r="E332" s="10">
        <v>23</v>
      </c>
      <c r="F332" s="10">
        <v>20</v>
      </c>
      <c r="G332" s="10">
        <v>25</v>
      </c>
      <c r="H332" s="10">
        <v>24</v>
      </c>
      <c r="I332" s="10">
        <v>25</v>
      </c>
      <c r="J332" s="2"/>
      <c r="K332" s="10">
        <v>54</v>
      </c>
      <c r="L332" s="10">
        <v>60</v>
      </c>
      <c r="M332" s="10">
        <v>59</v>
      </c>
      <c r="N332" s="51">
        <v>57</v>
      </c>
      <c r="O332" s="11">
        <v>61</v>
      </c>
      <c r="P332" s="10"/>
      <c r="Q332" s="40"/>
      <c r="R332" s="2">
        <v>112</v>
      </c>
      <c r="S332" s="10">
        <f>IF(T332="",R332,MAX((R332+$R$8)/$R$2,(T332+$T$8)/$T$2)*$R$2-$R$8)</f>
        <v>140.38895601265202</v>
      </c>
      <c r="T332" s="12">
        <v>208</v>
      </c>
      <c r="U332" s="1">
        <f>IF(A332&lt;&gt;"",SUM(B332:I332),"")</f>
        <v>191</v>
      </c>
      <c r="V332" s="10">
        <f>IF(A332&lt;&gt;"",SUM(J332:O332),"")</f>
        <v>291</v>
      </c>
      <c r="W332" s="10">
        <f>IF(A332&lt;&gt;"",SUM(P332:Q332),"")</f>
        <v>0</v>
      </c>
      <c r="X332" s="10">
        <f>IF(A332&lt;&gt;"",SUM(S332:T332),"")</f>
        <v>348.38895601265199</v>
      </c>
      <c r="Y332" s="12">
        <v>3</v>
      </c>
      <c r="Z332" s="12">
        <f>IF(A332&lt;&gt;"",SUM(U332:Y332),"")</f>
        <v>833.38895601265199</v>
      </c>
      <c r="AA332" s="27">
        <f>IF(A332&lt;&gt;"",(Z332+Normalize_To_Add)/(Point_Total_So_Far)*100,"")</f>
        <v>90.848568790397039</v>
      </c>
      <c r="AB332" s="10">
        <f>IF(A332&lt;&gt;"",RANK(AA332,All_Student_XC),"")</f>
        <v>69</v>
      </c>
      <c r="AC332" s="31" t="str">
        <f>IF(A332&lt;&gt;"",CHOOSE(10-MIN(9,TRUNC((AA332+0.5)/10)),"A","B","C","D","F","F","F","F","F","F"),"")</f>
        <v>A</v>
      </c>
      <c r="AD332" s="31" t="str">
        <f>IF(A332&lt;&gt;"",IF(OR(AA332+0.5&gt;=93,AA332+0.5&lt;60),"",IF(MOD(AA332+0.5,10)&gt;=7,"+",IF(MOD(AA332+0.5,10)&lt;3,"-",""))),"")</f>
        <v>-</v>
      </c>
      <c r="AE332" s="31">
        <f>IF(A332&lt;&gt;"",SUM(W332:X332,$W$8:$X$8)/SUM($W$2:$X$2)*100,"")</f>
        <v>84.697137580794077</v>
      </c>
      <c r="AF332" s="43" t="str">
        <f>IF(A332&lt;&gt;"",CHOOSE(10-MIN(9,TRUNC((AE332+0.5)/10)),"A","B","C","D","F","F","F","F","F","F"),"")</f>
        <v>B</v>
      </c>
      <c r="AG332" s="43" t="str">
        <f>IF(A332&lt;&gt;"",IF(OR(AE332+0.5&gt;=93,AE332+0.5&lt;60),"",IF(MOD(AE332+0.5,10)&gt;=7,"+",IF(MOD(AE332+0.5,10)&lt;3,"-",""))),"")</f>
        <v/>
      </c>
      <c r="AH332" s="35">
        <f>IF(A332&lt;&gt;"",MIN(MAX(AA332,AE332),AA332+$AH$8,AE332+$AH$8),"")</f>
        <v>90.848568790397039</v>
      </c>
      <c r="AI332" s="31" t="str">
        <f>IF(A332&lt;&gt;"",CHOOSE(10-MIN(9,TRUNC((AH332+0.5)/10)),"A","B","C","D","F","F","F","F","F","F"),"")</f>
        <v>A</v>
      </c>
      <c r="AJ332" s="31" t="str">
        <f>IF(A332&lt;&gt;"",IF(OR(AH332+0.5&gt;=93,AH332+0.5&lt;60),"",IF(MOD(AH332+0.5,10)&gt;=7,"+",IF(MOD(AH332+0.5,10)&lt;3,"-",""))),"")</f>
        <v>-</v>
      </c>
      <c r="AK332" s="31" t="b">
        <f>IF(A332&lt;&gt;"",OR(AI332&lt;&gt;AC332,AJ332&lt;&gt;AD332),"")</f>
        <v>0</v>
      </c>
      <c r="AL332" s="81">
        <f>IF(AND(A332&lt;&gt;"",U332&gt;0),SUM(U332,$AL$8)/$AL$2*100,"")</f>
        <v>95.5</v>
      </c>
      <c r="AM332" s="24">
        <f>IF(AND(A332&lt;&gt;"",V332&gt;0),SUM(V332,$AM$8)/$AM$2*100,"")</f>
        <v>97</v>
      </c>
      <c r="AN332" s="24" t="str">
        <f>IF(AND(A332&lt;&gt;"",P332&lt;&gt;0),SUM(P332,$AN$8)/$AN$2*100,"")</f>
        <v/>
      </c>
      <c r="AO332" s="24" t="str">
        <f>IF(AND(A332&lt;&gt;"",Q332&lt;&gt;0),SUM(Q332,$AO$8)/$AO$2*100,"")</f>
        <v/>
      </c>
      <c r="AP332" s="24">
        <f>IF(AND(A332&lt;&gt;"",R332&lt;&gt;0),SUM(R332,$AP$8)/$AP$2*100,"")</f>
        <v>70.502659574468083</v>
      </c>
      <c r="AQ332" s="24" t="str">
        <f>IF(AND(A332&lt;&gt;"",W332&gt;0),SUM(W332,$AQ$8)/$AQ$2*100,"")</f>
        <v/>
      </c>
      <c r="AR332" s="24">
        <f>IF(AND(A332&lt;&gt;"",T332&gt;0),SUM(T332,$AR$8)/$AR$2*100,"")</f>
        <v>84.697137580794092</v>
      </c>
      <c r="AS332" s="24">
        <f>IF(AND(A332&lt;&gt;"",X332&lt;&gt;0),SUM(X332,$AS$8)/$AS$2*100,"")</f>
        <v>84.697137580794077</v>
      </c>
      <c r="AT332" s="86">
        <f>IF(A332&lt;&gt;"",SUM(W332:X332,$AT$8)/$AT$2*100,"")</f>
        <v>84.697137580794077</v>
      </c>
      <c r="AU332" s="24">
        <f>AA332</f>
        <v>90.848568790397039</v>
      </c>
      <c r="AV332" s="24"/>
      <c r="AW332" s="27">
        <f>IF(A332&lt;&gt;"",AE332-AA332,"")</f>
        <v>-6.1514312096029613</v>
      </c>
      <c r="AY332" s="27">
        <f>AR332-AP332</f>
        <v>14.194478006326008</v>
      </c>
      <c r="AZ332" s="27">
        <f>ABS(AY332)</f>
        <v>14.194478006326008</v>
      </c>
    </row>
    <row r="333" spans="1:52" s="27" customFormat="1" ht="12.75" customHeight="1" x14ac:dyDescent="0.2">
      <c r="A333" s="10">
        <v>878008</v>
      </c>
      <c r="B333" s="2">
        <v>25</v>
      </c>
      <c r="C333" s="10">
        <v>25</v>
      </c>
      <c r="D333" s="10">
        <v>22</v>
      </c>
      <c r="E333" s="10">
        <v>25</v>
      </c>
      <c r="F333" s="10">
        <v>18</v>
      </c>
      <c r="G333" s="10">
        <v>25</v>
      </c>
      <c r="H333" s="10">
        <v>25</v>
      </c>
      <c r="I333" s="10">
        <v>25</v>
      </c>
      <c r="J333" s="2"/>
      <c r="K333" s="10">
        <v>62</v>
      </c>
      <c r="L333" s="10">
        <v>58</v>
      </c>
      <c r="M333" s="10">
        <v>57</v>
      </c>
      <c r="N333" s="51">
        <v>62</v>
      </c>
      <c r="O333" s="11">
        <v>62</v>
      </c>
      <c r="P333" s="10"/>
      <c r="Q333" s="40"/>
      <c r="R333" s="2">
        <v>137</v>
      </c>
      <c r="S333" s="10">
        <f>IF(T333="",R333,MAX((R333+$R$8)/$R$2,(T333+$T$8)/$T$2)*$R$2-$R$8)</f>
        <v>149.72228934598533</v>
      </c>
      <c r="T333" s="12">
        <v>222</v>
      </c>
      <c r="U333" s="68">
        <f>IF(A333&lt;&gt;"",SUM(B333:I333),"")</f>
        <v>190</v>
      </c>
      <c r="V333" s="10">
        <f>IF(A333&lt;&gt;"",SUM(J333:O333),"")</f>
        <v>301</v>
      </c>
      <c r="W333" s="10">
        <f>IF(A333&lt;&gt;"",SUM(P333:Q333),"")</f>
        <v>0</v>
      </c>
      <c r="X333" s="10">
        <f>IF(A333&lt;&gt;"",SUM(S333:T333),"")</f>
        <v>371.72228934598536</v>
      </c>
      <c r="Y333" s="12">
        <v>3</v>
      </c>
      <c r="Z333" s="12">
        <f>IF(A333&lt;&gt;"",SUM(U333:Y333),"")</f>
        <v>865.72228934598536</v>
      </c>
      <c r="AA333" s="27">
        <f>IF(A333&lt;&gt;"",(Z333+Normalize_To_Add)/(Point_Total_So_Far)*100,"")</f>
        <v>94.081902123730373</v>
      </c>
      <c r="AB333" s="10">
        <f>IF(A333&lt;&gt;"",RANK(AA333,All_Student_XC),"")</f>
        <v>40</v>
      </c>
      <c r="AC333" s="31" t="str">
        <f>IF(A333&lt;&gt;"",CHOOSE(10-MIN(9,TRUNC((AA333+0.5)/10)),"A","B","C","D","F","F","F","F","F","F"),"")</f>
        <v>A</v>
      </c>
      <c r="AD333" s="31" t="str">
        <f>IF(A333&lt;&gt;"",IF(OR(AA333+0.5&gt;=93,AA333+0.5&lt;60),"",IF(MOD(AA333+0.5,10)&gt;=7,"+",IF(MOD(AA333+0.5,10)&lt;3,"-",""))),"")</f>
        <v/>
      </c>
      <c r="AE333" s="31">
        <f>IF(A333&lt;&gt;"",SUM(W333:X333,$W$8:$X$8)/SUM($W$2:$X$2)*100,"")</f>
        <v>89.363804247460749</v>
      </c>
      <c r="AF333" s="31" t="str">
        <f>IF(A333&lt;&gt;"",CHOOSE(10-MIN(9,TRUNC((AE333+0.5)/10)),"A","B","C","D","F","F","F","F","F","F"),"")</f>
        <v>B</v>
      </c>
      <c r="AG333" s="31" t="str">
        <f>IF(A333&lt;&gt;"",IF(OR(AE333+0.5&gt;=93,AE333+0.5&lt;60),"",IF(MOD(AE333+0.5,10)&gt;=7,"+",IF(MOD(AE333+0.5,10)&lt;3,"-",""))),"")</f>
        <v>+</v>
      </c>
      <c r="AH333" s="35">
        <f>IF(A333&lt;&gt;"",MIN(MAX(AA333,AE333),AA333+$AH$8,AE333+$AH$8),"")</f>
        <v>94.081902123730373</v>
      </c>
      <c r="AI333" s="31" t="str">
        <f>IF(A333&lt;&gt;"",CHOOSE(10-MIN(9,TRUNC((AH333+0.5)/10)),"A","B","C","D","F","F","F","F","F","F"),"")</f>
        <v>A</v>
      </c>
      <c r="AJ333" s="31" t="str">
        <f>IF(A333&lt;&gt;"",IF(OR(AH333+0.5&gt;=93,AH333+0.5&lt;60),"",IF(MOD(AH333+0.5,10)&gt;=7,"+",IF(MOD(AH333+0.5,10)&lt;3,"-",""))),"")</f>
        <v/>
      </c>
      <c r="AK333" s="31" t="b">
        <f>IF(A333&lt;&gt;"",OR(AI333&lt;&gt;AC333,AJ333&lt;&gt;AD333),"")</f>
        <v>0</v>
      </c>
      <c r="AL333" s="81">
        <f>IF(AND(A333&lt;&gt;"",U333&gt;0),SUM(U333,$AL$8)/$AL$2*100,"")</f>
        <v>95</v>
      </c>
      <c r="AM333" s="24">
        <f>IF(AND(A333&lt;&gt;"",V333&gt;0),SUM(V333,$AM$8)/$AM$2*100,"")</f>
        <v>100.33333333333334</v>
      </c>
      <c r="AN333" s="24" t="str">
        <f>IF(AND(A333&lt;&gt;"",P333&lt;&gt;0),SUM(P333,$AN$8)/$AN$2*100,"")</f>
        <v/>
      </c>
      <c r="AO333" s="24" t="str">
        <f>IF(AND(A333&lt;&gt;"",Q333&lt;&gt;0),SUM(Q333,$AO$8)/$AO$2*100,"")</f>
        <v/>
      </c>
      <c r="AP333" s="24">
        <f>IF(AND(A333&lt;&gt;"",R333&lt;&gt;0),SUM(R333,$AP$8)/$AP$2*100,"")</f>
        <v>83.002659574468083</v>
      </c>
      <c r="AQ333" s="24" t="str">
        <f>IF(AND(A333&lt;&gt;"",W333&gt;0),SUM(W333,$AQ$8)/$AQ$2*100,"")</f>
        <v/>
      </c>
      <c r="AR333" s="24">
        <f>IF(AND(A333&lt;&gt;"",T333&gt;0),SUM(T333,$AR$8)/$AR$2*100,"")</f>
        <v>89.363804247460749</v>
      </c>
      <c r="AS333" s="24">
        <f>IF(AND(A333&lt;&gt;"",X333&lt;&gt;0),SUM(X333,$AS$8)/$AS$2*100,"")</f>
        <v>89.363804247460749</v>
      </c>
      <c r="AT333" s="86">
        <f>IF(A333&lt;&gt;"",SUM(W333:X333,$AT$8)/$AT$2*100,"")</f>
        <v>89.363804247460749</v>
      </c>
      <c r="AU333" s="24">
        <f>AA333</f>
        <v>94.081902123730373</v>
      </c>
      <c r="AV333" s="24"/>
      <c r="AW333" s="27">
        <f>IF(A333&lt;&gt;"",AE333-AA333,"")</f>
        <v>-4.7180978762696242</v>
      </c>
      <c r="AY333" s="27">
        <f>AR333-AP333</f>
        <v>6.3611446729926655</v>
      </c>
      <c r="AZ333" s="27">
        <f>ABS(AY333)</f>
        <v>6.3611446729926655</v>
      </c>
    </row>
    <row r="334" spans="1:52" s="27" customFormat="1" ht="12.75" customHeight="1" x14ac:dyDescent="0.2">
      <c r="A334" s="50">
        <v>884764</v>
      </c>
      <c r="B334" s="2">
        <v>25</v>
      </c>
      <c r="C334" s="50">
        <v>25</v>
      </c>
      <c r="D334" s="10">
        <v>23</v>
      </c>
      <c r="E334" s="10">
        <v>25</v>
      </c>
      <c r="F334" s="10">
        <v>23</v>
      </c>
      <c r="G334" s="10">
        <v>25</v>
      </c>
      <c r="H334" s="10">
        <v>25</v>
      </c>
      <c r="I334" s="10">
        <v>23</v>
      </c>
      <c r="J334" s="2"/>
      <c r="K334" s="10">
        <v>43</v>
      </c>
      <c r="L334" s="10">
        <v>62</v>
      </c>
      <c r="M334" s="10">
        <v>60</v>
      </c>
      <c r="N334" s="51">
        <v>59</v>
      </c>
      <c r="O334" s="11">
        <v>62</v>
      </c>
      <c r="P334" s="10"/>
      <c r="Q334" s="40"/>
      <c r="R334" s="2">
        <v>142</v>
      </c>
      <c r="S334" s="10">
        <f>IF(T334="",R334,MAX((R334+$R$8)/$R$2,(T334+$T$8)/$T$2)*$R$2-$R$8)</f>
        <v>159.72228934598536</v>
      </c>
      <c r="T334" s="62">
        <v>237</v>
      </c>
      <c r="U334" s="2">
        <f>IF(A334&lt;&gt;"",SUM(B334:I334),"")</f>
        <v>194</v>
      </c>
      <c r="V334" s="10">
        <f>IF(A334&lt;&gt;"",SUM(J334:O334),"")</f>
        <v>286</v>
      </c>
      <c r="W334" s="10">
        <f>IF(A334&lt;&gt;"",SUM(P334:Q334),"")</f>
        <v>0</v>
      </c>
      <c r="X334" s="10">
        <f>IF(A334&lt;&gt;"",SUM(S334:T334),"")</f>
        <v>396.72228934598536</v>
      </c>
      <c r="Y334" s="12">
        <v>3</v>
      </c>
      <c r="Z334" s="12">
        <f>IF(A334&lt;&gt;"",SUM(U334:Y334),"")</f>
        <v>879.72228934598536</v>
      </c>
      <c r="AA334" s="27">
        <f>IF(A334&lt;&gt;"",(Z334+Normalize_To_Add)/(Point_Total_So_Far)*100,"")</f>
        <v>95.481902123730379</v>
      </c>
      <c r="AB334" s="10">
        <f>IF(A334&lt;&gt;"",RANK(AA334,All_Student_XC),"")</f>
        <v>26</v>
      </c>
      <c r="AC334" s="31" t="str">
        <f>IF(A334&lt;&gt;"",CHOOSE(10-MIN(9,TRUNC((AA334+0.5)/10)),"A","B","C","D","F","F","F","F","F","F"),"")</f>
        <v>A</v>
      </c>
      <c r="AD334" s="31" t="str">
        <f>IF(A334&lt;&gt;"",IF(OR(AA334+0.5&gt;=93,AA334+0.5&lt;60),"",IF(MOD(AA334+0.5,10)&gt;=7,"+",IF(MOD(AA334+0.5,10)&lt;3,"-",""))),"")</f>
        <v/>
      </c>
      <c r="AE334" s="31">
        <f>IF(A334&lt;&gt;"",SUM(W334:X334,$W$8:$X$8)/SUM($W$2:$X$2)*100,"")</f>
        <v>94.363804247460763</v>
      </c>
      <c r="AF334" s="43" t="str">
        <f>IF(A334&lt;&gt;"",CHOOSE(10-MIN(9,TRUNC((AE334+0.5)/10)),"A","B","C","D","F","F","F","F","F","F"),"")</f>
        <v>A</v>
      </c>
      <c r="AG334" s="43" t="str">
        <f>IF(A334&lt;&gt;"",IF(OR(AE334+0.5&gt;=93,AE334+0.5&lt;60),"",IF(MOD(AE334+0.5,10)&gt;=7,"+",IF(MOD(AE334+0.5,10)&lt;3,"-",""))),"")</f>
        <v/>
      </c>
      <c r="AH334" s="35">
        <f>IF(A334&lt;&gt;"",MIN(MAX(AA334,AE334),AA334+$AH$8,AE334+$AH$8),"")</f>
        <v>95.481902123730379</v>
      </c>
      <c r="AI334" s="31" t="str">
        <f>IF(A334&lt;&gt;"",CHOOSE(10-MIN(9,TRUNC((AH334+0.5)/10)),"A","B","C","D","F","F","F","F","F","F"),"")</f>
        <v>A</v>
      </c>
      <c r="AJ334" s="31" t="str">
        <f>IF(A334&lt;&gt;"",IF(OR(AH334+0.5&gt;=93,AH334+0.5&lt;60),"",IF(MOD(AH334+0.5,10)&gt;=7,"+",IF(MOD(AH334+0.5,10)&lt;3,"-",""))),"")</f>
        <v/>
      </c>
      <c r="AK334" s="31" t="b">
        <f>IF(A334&lt;&gt;"",OR(AI334&lt;&gt;AC334,AJ334&lt;&gt;AD334),"")</f>
        <v>0</v>
      </c>
      <c r="AL334" s="81">
        <f>IF(AND(A334&lt;&gt;"",U334&gt;0),SUM(U334,$AL$8)/$AL$2*100,"")</f>
        <v>97</v>
      </c>
      <c r="AM334" s="24">
        <f>IF(AND(A334&lt;&gt;"",V334&gt;0),SUM(V334,$AM$8)/$AM$2*100,"")</f>
        <v>95.333333333333343</v>
      </c>
      <c r="AN334" s="24" t="str">
        <f>IF(AND(A334&lt;&gt;"",P334&lt;&gt;0),SUM(P334,$AN$8)/$AN$2*100,"")</f>
        <v/>
      </c>
      <c r="AO334" s="24" t="str">
        <f>IF(AND(A334&lt;&gt;"",Q334&lt;&gt;0),SUM(Q334,$AO$8)/$AO$2*100,"")</f>
        <v/>
      </c>
      <c r="AP334" s="24">
        <f>IF(AND(A334&lt;&gt;"",R334&lt;&gt;0),SUM(R334,$AP$8)/$AP$2*100,"")</f>
        <v>85.502659574468083</v>
      </c>
      <c r="AQ334" s="24" t="str">
        <f>IF(AND(A334&lt;&gt;"",W334&gt;0),SUM(W334,$AQ$8)/$AQ$2*100,"")</f>
        <v/>
      </c>
      <c r="AR334" s="24">
        <f>IF(AND(A334&lt;&gt;"",T334&gt;0),SUM(T334,$AR$8)/$AR$2*100,"")</f>
        <v>94.363804247460763</v>
      </c>
      <c r="AS334" s="24">
        <f>IF(AND(A334&lt;&gt;"",X334&lt;&gt;0),SUM(X334,$AS$8)/$AS$2*100,"")</f>
        <v>94.363804247460763</v>
      </c>
      <c r="AT334" s="86">
        <f>IF(A334&lt;&gt;"",SUM(W334:X334,$AT$8)/$AT$2*100,"")</f>
        <v>94.363804247460763</v>
      </c>
      <c r="AU334" s="24">
        <f>AA334</f>
        <v>95.481902123730379</v>
      </c>
      <c r="AV334" s="24"/>
      <c r="AW334" s="27">
        <f>IF(A334&lt;&gt;"",AE334-AA334,"")</f>
        <v>-1.1180978762696157</v>
      </c>
      <c r="AY334" s="27">
        <f>AR334-AP334</f>
        <v>8.8611446729926797</v>
      </c>
      <c r="AZ334" s="27">
        <f>ABS(AY334)</f>
        <v>8.8611446729926797</v>
      </c>
    </row>
    <row r="335" spans="1:52" s="27" customFormat="1" ht="12.75" customHeight="1" x14ac:dyDescent="0.2">
      <c r="A335" s="10">
        <v>888194</v>
      </c>
      <c r="B335" s="2">
        <v>23</v>
      </c>
      <c r="C335" s="10">
        <v>25</v>
      </c>
      <c r="D335" s="10">
        <v>20</v>
      </c>
      <c r="E335" s="10">
        <v>23</v>
      </c>
      <c r="F335" s="10">
        <v>24</v>
      </c>
      <c r="G335" s="10">
        <v>25</v>
      </c>
      <c r="H335" s="10">
        <v>25</v>
      </c>
      <c r="I335" s="10">
        <v>25</v>
      </c>
      <c r="J335" s="2"/>
      <c r="K335" s="10">
        <v>59</v>
      </c>
      <c r="L335" s="10">
        <v>61</v>
      </c>
      <c r="M335" s="10">
        <v>60</v>
      </c>
      <c r="N335" s="51">
        <v>58</v>
      </c>
      <c r="O335" s="11">
        <v>62</v>
      </c>
      <c r="P335" s="10"/>
      <c r="Q335" s="40"/>
      <c r="R335" s="2">
        <v>158</v>
      </c>
      <c r="S335" s="10">
        <f>IF(T335="",R335,MAX((R335+$R$8)/$R$2,(T335+$T$8)/$T$2)*$R$2-$R$8)</f>
        <v>158</v>
      </c>
      <c r="T335" s="12">
        <v>191</v>
      </c>
      <c r="U335" s="68">
        <f>IF(A335&lt;&gt;"",SUM(B335:I335),"")</f>
        <v>190</v>
      </c>
      <c r="V335" s="10">
        <f>IF(A335&lt;&gt;"",SUM(J335:O335),"")</f>
        <v>300</v>
      </c>
      <c r="W335" s="10">
        <f>IF(A335&lt;&gt;"",SUM(P335:Q335),"")</f>
        <v>0</v>
      </c>
      <c r="X335" s="10">
        <f>IF(A335&lt;&gt;"",SUM(S335:T335),"")</f>
        <v>349</v>
      </c>
      <c r="Y335" s="12">
        <v>3</v>
      </c>
      <c r="Z335" s="12">
        <f>IF(A335&lt;&gt;"",SUM(U335:Y335),"")</f>
        <v>842</v>
      </c>
      <c r="AA335" s="27">
        <f>IF(A335&lt;&gt;"",(Z335+Normalize_To_Add)/(Point_Total_So_Far)*100,"")</f>
        <v>91.709673189131848</v>
      </c>
      <c r="AB335" s="10">
        <f>IF(A335&lt;&gt;"",RANK(AA335,All_Student_XC),"")</f>
        <v>58</v>
      </c>
      <c r="AC335" s="31" t="str">
        <f>IF(A335&lt;&gt;"",CHOOSE(10-MIN(9,TRUNC((AA335+0.5)/10)),"A","B","C","D","F","F","F","F","F","F"),"")</f>
        <v>A</v>
      </c>
      <c r="AD335" s="31" t="str">
        <f>IF(A335&lt;&gt;"",IF(OR(AA335+0.5&gt;=93,AA335+0.5&lt;60),"",IF(MOD(AA335+0.5,10)&gt;=7,"+",IF(MOD(AA335+0.5,10)&lt;3,"-",""))),"")</f>
        <v>-</v>
      </c>
      <c r="AE335" s="31">
        <f>IF(A335&lt;&gt;"",SUM(W335:X335,$W$8:$X$8)/SUM($W$2:$X$2)*100,"")</f>
        <v>84.819346378263688</v>
      </c>
      <c r="AF335" s="31" t="str">
        <f>IF(A335&lt;&gt;"",CHOOSE(10-MIN(9,TRUNC((AE335+0.5)/10)),"A","B","C","D","F","F","F","F","F","F"),"")</f>
        <v>B</v>
      </c>
      <c r="AG335" s="31" t="str">
        <f>IF(A335&lt;&gt;"",IF(OR(AE335+0.5&gt;=93,AE335+0.5&lt;60),"",IF(MOD(AE335+0.5,10)&gt;=7,"+",IF(MOD(AE335+0.5,10)&lt;3,"-",""))),"")</f>
        <v/>
      </c>
      <c r="AH335" s="35">
        <f>IF(A335&lt;&gt;"",MIN(MAX(AA335,AE335),AA335+$AH$8,AE335+$AH$8),"")</f>
        <v>91.709673189131848</v>
      </c>
      <c r="AI335" s="31" t="str">
        <f>IF(A335&lt;&gt;"",CHOOSE(10-MIN(9,TRUNC((AH335+0.5)/10)),"A","B","C","D","F","F","F","F","F","F"),"")</f>
        <v>A</v>
      </c>
      <c r="AJ335" s="31" t="str">
        <f>IF(A335&lt;&gt;"",IF(OR(AH335+0.5&gt;=93,AH335+0.5&lt;60),"",IF(MOD(AH335+0.5,10)&gt;=7,"+",IF(MOD(AH335+0.5,10)&lt;3,"-",""))),"")</f>
        <v>-</v>
      </c>
      <c r="AK335" s="31" t="b">
        <f>IF(A335&lt;&gt;"",OR(AI335&lt;&gt;AC335,AJ335&lt;&gt;AD335),"")</f>
        <v>0</v>
      </c>
      <c r="AL335" s="81">
        <f>IF(AND(A335&lt;&gt;"",U335&gt;0),SUM(U335,$AL$8)/$AL$2*100,"")</f>
        <v>95</v>
      </c>
      <c r="AM335" s="24">
        <f>IF(AND(A335&lt;&gt;"",V335&gt;0),SUM(V335,$AM$8)/$AM$2*100,"")</f>
        <v>100</v>
      </c>
      <c r="AN335" s="24" t="str">
        <f>IF(AND(A335&lt;&gt;"",P335&lt;&gt;0),SUM(P335,$AN$8)/$AN$2*100,"")</f>
        <v/>
      </c>
      <c r="AO335" s="24" t="str">
        <f>IF(AND(A335&lt;&gt;"",Q335&lt;&gt;0),SUM(Q335,$AO$8)/$AO$2*100,"")</f>
        <v/>
      </c>
      <c r="AP335" s="24">
        <f>IF(AND(A335&lt;&gt;"",R335&lt;&gt;0),SUM(R335,$AP$8)/$AP$2*100,"")</f>
        <v>93.502659574468083</v>
      </c>
      <c r="AQ335" s="24" t="str">
        <f>IF(AND(A335&lt;&gt;"",W335&gt;0),SUM(W335,$AQ$8)/$AQ$2*100,"")</f>
        <v/>
      </c>
      <c r="AR335" s="24">
        <f>IF(AND(A335&lt;&gt;"",T335&gt;0),SUM(T335,$AR$8)/$AR$2*100,"")</f>
        <v>79.03047091412742</v>
      </c>
      <c r="AS335" s="24">
        <f>IF(AND(A335&lt;&gt;"",X335&lt;&gt;0),SUM(X335,$AS$8)/$AS$2*100,"")</f>
        <v>84.819346378263688</v>
      </c>
      <c r="AT335" s="86">
        <f>IF(A335&lt;&gt;"",SUM(W335:X335,$AT$8)/$AT$2*100,"")</f>
        <v>84.819346378263688</v>
      </c>
      <c r="AU335" s="24">
        <f>AA335</f>
        <v>91.709673189131848</v>
      </c>
      <c r="AV335" s="24"/>
      <c r="AW335" s="27">
        <f>IF(A335&lt;&gt;"",AE335-AA335,"")</f>
        <v>-6.8903268108681601</v>
      </c>
      <c r="AY335" s="27">
        <f>AR335-AP335</f>
        <v>-14.472188660340663</v>
      </c>
      <c r="AZ335" s="27">
        <f>ABS(AY335)</f>
        <v>14.472188660340663</v>
      </c>
    </row>
    <row r="336" spans="1:52" s="27" customFormat="1" ht="12.75" customHeight="1" x14ac:dyDescent="0.2">
      <c r="A336" s="10">
        <v>889152</v>
      </c>
      <c r="B336" s="2">
        <v>18</v>
      </c>
      <c r="C336" s="10">
        <v>15</v>
      </c>
      <c r="D336" s="10">
        <v>19</v>
      </c>
      <c r="E336" s="10">
        <v>25</v>
      </c>
      <c r="F336" s="10">
        <v>25</v>
      </c>
      <c r="G336" s="10">
        <v>25</v>
      </c>
      <c r="H336" s="10">
        <v>12</v>
      </c>
      <c r="I336" s="10">
        <v>25</v>
      </c>
      <c r="J336" s="2"/>
      <c r="K336" s="10">
        <v>55</v>
      </c>
      <c r="L336" s="10">
        <v>35</v>
      </c>
      <c r="M336" s="10">
        <v>56</v>
      </c>
      <c r="N336" s="51">
        <v>47</v>
      </c>
      <c r="O336" s="11">
        <v>62</v>
      </c>
      <c r="P336" s="10"/>
      <c r="Q336" s="40"/>
      <c r="R336" s="2">
        <v>157</v>
      </c>
      <c r="S336" s="10">
        <f>IF(T336="",R336,MAX((R336+$R$8)/$R$2,(T336+$T$8)/$T$2)*$R$2-$R$8)</f>
        <v>157</v>
      </c>
      <c r="T336" s="12">
        <v>182</v>
      </c>
      <c r="U336" s="68">
        <f>IF(A336&lt;&gt;"",SUM(B336:I336),"")</f>
        <v>164</v>
      </c>
      <c r="V336" s="10">
        <f>IF(A336&lt;&gt;"",SUM(J336:O336),"")</f>
        <v>255</v>
      </c>
      <c r="W336" s="10">
        <f>IF(A336&lt;&gt;"",SUM(P336:Q336),"")</f>
        <v>0</v>
      </c>
      <c r="X336" s="10">
        <f>IF(A336&lt;&gt;"",SUM(S336:T336),"")</f>
        <v>339</v>
      </c>
      <c r="Y336" s="12" t="s">
        <v>69</v>
      </c>
      <c r="Z336" s="12">
        <f>IF(A336&lt;&gt;"",SUM(U336:Y336),"")</f>
        <v>758</v>
      </c>
      <c r="AA336" s="27">
        <f>IF(A336&lt;&gt;"",(Z336+Normalize_To_Add)/(Point_Total_So_Far)*100,"")</f>
        <v>83.309673189131843</v>
      </c>
      <c r="AB336" s="10">
        <f>IF(A336&lt;&gt;"",RANK(AA336,All_Student_XC),"")</f>
        <v>172</v>
      </c>
      <c r="AC336" s="31" t="str">
        <f>IF(A336&lt;&gt;"",CHOOSE(10-MIN(9,TRUNC((AA336+0.5)/10)),"A","B","C","D","F","F","F","F","F","F"),"")</f>
        <v>B</v>
      </c>
      <c r="AD336" s="31" t="str">
        <f>IF(A336&lt;&gt;"",IF(OR(AA336+0.5&gt;=93,AA336+0.5&lt;60),"",IF(MOD(AA336+0.5,10)&gt;=7,"+",IF(MOD(AA336+0.5,10)&lt;3,"-",""))),"")</f>
        <v/>
      </c>
      <c r="AE336" s="31">
        <f>IF(A336&lt;&gt;"",SUM(W336:X336,$W$8:$X$8)/SUM($W$2:$X$2)*100,"")</f>
        <v>82.819346378263674</v>
      </c>
      <c r="AF336" s="31" t="str">
        <f>IF(A336&lt;&gt;"",CHOOSE(10-MIN(9,TRUNC((AE336+0.5)/10)),"A","B","C","D","F","F","F","F","F","F"),"")</f>
        <v>B</v>
      </c>
      <c r="AG336" s="31" t="str">
        <f>IF(A336&lt;&gt;"",IF(OR(AE336+0.5&gt;=93,AE336+0.5&lt;60),"",IF(MOD(AE336+0.5,10)&gt;=7,"+",IF(MOD(AE336+0.5,10)&lt;3,"-",""))),"")</f>
        <v/>
      </c>
      <c r="AH336" s="35">
        <f>IF(A336&lt;&gt;"",MIN(MAX(AA336,AE336),AA336+$AH$8,AE336+$AH$8),"")</f>
        <v>83.309673189131843</v>
      </c>
      <c r="AI336" s="31" t="str">
        <f>IF(A336&lt;&gt;"",CHOOSE(10-MIN(9,TRUNC((AH336+0.5)/10)),"A","B","C","D","F","F","F","F","F","F"),"")</f>
        <v>B</v>
      </c>
      <c r="AJ336" s="31" t="str">
        <f>IF(A336&lt;&gt;"",IF(OR(AH336+0.5&gt;=93,AH336+0.5&lt;60),"",IF(MOD(AH336+0.5,10)&gt;=7,"+",IF(MOD(AH336+0.5,10)&lt;3,"-",""))),"")</f>
        <v/>
      </c>
      <c r="AK336" s="31" t="b">
        <f>IF(A336&lt;&gt;"",OR(AI336&lt;&gt;AC336,AJ336&lt;&gt;AD336),"")</f>
        <v>0</v>
      </c>
      <c r="AL336" s="81">
        <f>IF(AND(A336&lt;&gt;"",U336&gt;0),SUM(U336,$AL$8)/$AL$2*100,"")</f>
        <v>82</v>
      </c>
      <c r="AM336" s="24">
        <f>IF(AND(A336&lt;&gt;"",V336&gt;0),SUM(V336,$AM$8)/$AM$2*100,"")</f>
        <v>85</v>
      </c>
      <c r="AN336" s="24" t="str">
        <f>IF(AND(A336&lt;&gt;"",P336&lt;&gt;0),SUM(P336,$AN$8)/$AN$2*100,"")</f>
        <v/>
      </c>
      <c r="AO336" s="24" t="str">
        <f>IF(AND(A336&lt;&gt;"",Q336&lt;&gt;0),SUM(Q336,$AO$8)/$AO$2*100,"")</f>
        <v/>
      </c>
      <c r="AP336" s="24">
        <f>IF(AND(A336&lt;&gt;"",R336&lt;&gt;0),SUM(R336,$AP$8)/$AP$2*100,"")</f>
        <v>93.002659574468083</v>
      </c>
      <c r="AQ336" s="24" t="str">
        <f>IF(AND(A336&lt;&gt;"",W336&gt;0),SUM(W336,$AQ$8)/$AQ$2*100,"")</f>
        <v/>
      </c>
      <c r="AR336" s="24">
        <f>IF(AND(A336&lt;&gt;"",T336&gt;0),SUM(T336,$AR$8)/$AR$2*100,"")</f>
        <v>76.03047091412742</v>
      </c>
      <c r="AS336" s="24">
        <f>IF(AND(A336&lt;&gt;"",X336&lt;&gt;0),SUM(X336,$AS$8)/$AS$2*100,"")</f>
        <v>82.819346378263674</v>
      </c>
      <c r="AT336" s="86">
        <f>IF(A336&lt;&gt;"",SUM(W336:X336,$AT$8)/$AT$2*100,"")</f>
        <v>82.819346378263674</v>
      </c>
      <c r="AU336" s="24">
        <f>AA336</f>
        <v>83.309673189131843</v>
      </c>
      <c r="AV336" s="24"/>
      <c r="AW336" s="27">
        <f>IF(A336&lt;&gt;"",AE336-AA336,"")</f>
        <v>-0.49032681086816865</v>
      </c>
      <c r="AY336" s="27">
        <f>AR336-AP336</f>
        <v>-16.972188660340663</v>
      </c>
      <c r="AZ336" s="27">
        <f>ABS(AY336)</f>
        <v>16.972188660340663</v>
      </c>
    </row>
    <row r="337" spans="1:52" s="27" customFormat="1" ht="12.75" customHeight="1" x14ac:dyDescent="0.2">
      <c r="A337" s="10">
        <v>897272</v>
      </c>
      <c r="B337" s="2">
        <v>25</v>
      </c>
      <c r="C337" s="10">
        <v>25</v>
      </c>
      <c r="D337" s="10">
        <v>23</v>
      </c>
      <c r="E337" s="10">
        <v>21</v>
      </c>
      <c r="F337" s="10">
        <v>21</v>
      </c>
      <c r="G337" s="10">
        <v>17</v>
      </c>
      <c r="H337" s="10">
        <v>25</v>
      </c>
      <c r="I337" s="10">
        <v>21</v>
      </c>
      <c r="J337" s="2"/>
      <c r="K337" s="10">
        <v>63</v>
      </c>
      <c r="L337" s="10">
        <v>62</v>
      </c>
      <c r="M337" s="10">
        <v>59</v>
      </c>
      <c r="N337" s="51">
        <v>57</v>
      </c>
      <c r="O337" s="11">
        <v>62</v>
      </c>
      <c r="P337" s="10"/>
      <c r="Q337" s="40"/>
      <c r="R337" s="2">
        <v>139</v>
      </c>
      <c r="S337" s="10">
        <f>IF(T337="",R337,MAX((R337+$R$8)/$R$2,(T337+$T$8)/$T$2)*$R$2-$R$8)</f>
        <v>139</v>
      </c>
      <c r="T337" s="12">
        <v>165</v>
      </c>
      <c r="U337" s="1">
        <f>IF(A337&lt;&gt;"",SUM(B337:I337),"")</f>
        <v>178</v>
      </c>
      <c r="V337" s="10">
        <f>IF(A337&lt;&gt;"",SUM(J337:O337),"")</f>
        <v>303</v>
      </c>
      <c r="W337" s="10">
        <f>IF(A337&lt;&gt;"",SUM(P337:Q337),"")</f>
        <v>0</v>
      </c>
      <c r="X337" s="10">
        <f>IF(A337&lt;&gt;"",SUM(S337:T337),"")</f>
        <v>304</v>
      </c>
      <c r="Y337" s="12">
        <v>3</v>
      </c>
      <c r="Z337" s="12">
        <f>IF(A337&lt;&gt;"",SUM(U337:Y337),"")</f>
        <v>788</v>
      </c>
      <c r="AA337" s="27">
        <f>IF(A337&lt;&gt;"",(Z337+Normalize_To_Add)/(Point_Total_So_Far)*100,"")</f>
        <v>86.309673189131843</v>
      </c>
      <c r="AB337" s="10">
        <f>IF(A337&lt;&gt;"",RANK(AA337,All_Student_XC),"")</f>
        <v>132</v>
      </c>
      <c r="AC337" s="31" t="str">
        <f>IF(A337&lt;&gt;"",CHOOSE(10-MIN(9,TRUNC((AA337+0.5)/10)),"A","B","C","D","F","F","F","F","F","F"),"")</f>
        <v>B</v>
      </c>
      <c r="AD337" s="31" t="str">
        <f>IF(A337&lt;&gt;"",IF(OR(AA337+0.5&gt;=93,AA337+0.5&lt;60),"",IF(MOD(AA337+0.5,10)&gt;=7,"+",IF(MOD(AA337+0.5,10)&lt;3,"-",""))),"")</f>
        <v/>
      </c>
      <c r="AE337" s="31">
        <f>IF(A337&lt;&gt;"",SUM(W337:X337,$W$8:$X$8)/SUM($W$2:$X$2)*100,"")</f>
        <v>75.819346378263688</v>
      </c>
      <c r="AF337" s="31" t="str">
        <f>IF(A337&lt;&gt;"",CHOOSE(10-MIN(9,TRUNC((AE337+0.5)/10)),"A","B","C","D","F","F","F","F","F","F"),"")</f>
        <v>C</v>
      </c>
      <c r="AG337" s="31" t="str">
        <f>IF(A337&lt;&gt;"",IF(OR(AE337+0.5&gt;=93,AE337+0.5&lt;60),"",IF(MOD(AE337+0.5,10)&gt;=7,"+",IF(MOD(AE337+0.5,10)&lt;3,"-",""))),"")</f>
        <v/>
      </c>
      <c r="AH337" s="35">
        <f>IF(A337&lt;&gt;"",MIN(MAX(AA337,AE337),AA337+$AH$8,AE337+$AH$8),"")</f>
        <v>86.309673189131843</v>
      </c>
      <c r="AI337" s="31" t="str">
        <f>IF(A337&lt;&gt;"",CHOOSE(10-MIN(9,TRUNC((AH337+0.5)/10)),"A","B","C","D","F","F","F","F","F","F"),"")</f>
        <v>B</v>
      </c>
      <c r="AJ337" s="31" t="str">
        <f>IF(A337&lt;&gt;"",IF(OR(AH337+0.5&gt;=93,AH337+0.5&lt;60),"",IF(MOD(AH337+0.5,10)&gt;=7,"+",IF(MOD(AH337+0.5,10)&lt;3,"-",""))),"")</f>
        <v/>
      </c>
      <c r="AK337" s="31" t="b">
        <f>IF(A337&lt;&gt;"",OR(AI337&lt;&gt;AC337,AJ337&lt;&gt;AD337),"")</f>
        <v>0</v>
      </c>
      <c r="AL337" s="81">
        <f>IF(AND(A337&lt;&gt;"",U337&gt;0),SUM(U337,$AL$8)/$AL$2*100,"")</f>
        <v>89</v>
      </c>
      <c r="AM337" s="24">
        <f>IF(AND(A337&lt;&gt;"",V337&gt;0),SUM(V337,$AM$8)/$AM$2*100,"")</f>
        <v>101</v>
      </c>
      <c r="AN337" s="24" t="str">
        <f>IF(AND(A337&lt;&gt;"",P337&lt;&gt;0),SUM(P337,$AN$8)/$AN$2*100,"")</f>
        <v/>
      </c>
      <c r="AO337" s="24" t="str">
        <f>IF(AND(A337&lt;&gt;"",Q337&lt;&gt;0),SUM(Q337,$AO$8)/$AO$2*100,"")</f>
        <v/>
      </c>
      <c r="AP337" s="24">
        <f>IF(AND(A337&lt;&gt;"",R337&lt;&gt;0),SUM(R337,$AP$8)/$AP$2*100,"")</f>
        <v>84.002659574468083</v>
      </c>
      <c r="AQ337" s="24" t="str">
        <f>IF(AND(A337&lt;&gt;"",W337&gt;0),SUM(W337,$AQ$8)/$AQ$2*100,"")</f>
        <v/>
      </c>
      <c r="AR337" s="24">
        <f>IF(AND(A337&lt;&gt;"",T337&gt;0),SUM(T337,$AR$8)/$AR$2*100,"")</f>
        <v>70.363804247460749</v>
      </c>
      <c r="AS337" s="24">
        <f>IF(AND(A337&lt;&gt;"",X337&lt;&gt;0),SUM(X337,$AS$8)/$AS$2*100,"")</f>
        <v>75.819346378263688</v>
      </c>
      <c r="AT337" s="86">
        <f>IF(A337&lt;&gt;"",SUM(W337:X337,$AT$8)/$AT$2*100,"")</f>
        <v>75.819346378263688</v>
      </c>
      <c r="AU337" s="24">
        <f>AA337</f>
        <v>86.309673189131843</v>
      </c>
      <c r="AV337" s="24"/>
      <c r="AW337" s="27">
        <f>IF(A337&lt;&gt;"",AE337-AA337,"")</f>
        <v>-10.490326810868154</v>
      </c>
      <c r="AY337" s="27">
        <f>AR337-AP337</f>
        <v>-13.638855327007334</v>
      </c>
      <c r="AZ337" s="27">
        <f>ABS(AY337)</f>
        <v>13.638855327007334</v>
      </c>
    </row>
    <row r="338" spans="1:52" s="27" customFormat="1" ht="12.75" customHeight="1" x14ac:dyDescent="0.2">
      <c r="A338" s="50">
        <v>898660</v>
      </c>
      <c r="B338" s="2">
        <v>25</v>
      </c>
      <c r="C338" s="10">
        <v>23</v>
      </c>
      <c r="D338" s="10">
        <v>24</v>
      </c>
      <c r="E338" s="10">
        <v>25</v>
      </c>
      <c r="F338" s="10">
        <v>21</v>
      </c>
      <c r="G338" s="10">
        <v>25</v>
      </c>
      <c r="H338" s="10">
        <v>19</v>
      </c>
      <c r="I338" s="10">
        <v>25</v>
      </c>
      <c r="J338" s="2"/>
      <c r="K338" s="10">
        <v>62</v>
      </c>
      <c r="L338" s="10">
        <v>59</v>
      </c>
      <c r="M338" s="10">
        <v>59</v>
      </c>
      <c r="N338" s="51">
        <v>57</v>
      </c>
      <c r="O338" s="11">
        <v>62</v>
      </c>
      <c r="P338" s="10"/>
      <c r="Q338" s="40"/>
      <c r="R338" s="2">
        <v>135</v>
      </c>
      <c r="S338" s="10">
        <f>IF(T338="",R338,MAX((R338+$R$8)/$R$2,(T338+$T$8)/$T$2)*$R$2-$R$8)</f>
        <v>156.38895601265202</v>
      </c>
      <c r="T338" s="12">
        <v>232</v>
      </c>
      <c r="U338" s="1">
        <f>IF(A338&lt;&gt;"",SUM(B338:I338),"")</f>
        <v>187</v>
      </c>
      <c r="V338" s="10">
        <f>IF(A338&lt;&gt;"",SUM(J338:O338),"")</f>
        <v>299</v>
      </c>
      <c r="W338" s="10">
        <f>IF(A338&lt;&gt;"",SUM(P338:Q338),"")</f>
        <v>0</v>
      </c>
      <c r="X338" s="10">
        <f>IF(A338&lt;&gt;"",SUM(S338:T338),"")</f>
        <v>388.38895601265199</v>
      </c>
      <c r="Y338" s="12">
        <v>3</v>
      </c>
      <c r="Z338" s="12">
        <f>IF(A338&lt;&gt;"",SUM(U338:Y338),"")</f>
        <v>877.38895601265199</v>
      </c>
      <c r="AA338" s="27">
        <f>IF(A338&lt;&gt;"",(Z338+Normalize_To_Add)/(Point_Total_So_Far)*100,"")</f>
        <v>95.24856879039703</v>
      </c>
      <c r="AB338" s="10">
        <f>IF(A338&lt;&gt;"",RANK(AA338,All_Student_XC),"")</f>
        <v>30</v>
      </c>
      <c r="AC338" s="31" t="str">
        <f>IF(A338&lt;&gt;"",CHOOSE(10-MIN(9,TRUNC((AA338+0.5)/10)),"A","B","C","D","F","F","F","F","F","F"),"")</f>
        <v>A</v>
      </c>
      <c r="AD338" s="31" t="str">
        <f>IF(A338&lt;&gt;"",IF(OR(AA338+0.5&gt;=93,AA338+0.5&lt;60),"",IF(MOD(AA338+0.5,10)&gt;=7,"+",IF(MOD(AA338+0.5,10)&lt;3,"-",""))),"")</f>
        <v/>
      </c>
      <c r="AE338" s="31">
        <f>IF(A338&lt;&gt;"",SUM(W338:X338,$W$8:$X$8)/SUM($W$2:$X$2)*100,"")</f>
        <v>92.697137580794092</v>
      </c>
      <c r="AF338" s="31" t="str">
        <f>IF(A338&lt;&gt;"",CHOOSE(10-MIN(9,TRUNC((AE338+0.5)/10)),"A","B","C","D","F","F","F","F","F","F"),"")</f>
        <v>A</v>
      </c>
      <c r="AG338" s="31" t="str">
        <f>IF(A338&lt;&gt;"",IF(OR(AE338+0.5&gt;=93,AE338+0.5&lt;60),"",IF(MOD(AE338+0.5,10)&gt;=7,"+",IF(MOD(AE338+0.5,10)&lt;3,"-",""))),"")</f>
        <v/>
      </c>
      <c r="AH338" s="35">
        <f>IF(A338&lt;&gt;"",MIN(MAX(AA338,AE338),AA338+$AH$8,AE338+$AH$8),"")</f>
        <v>95.24856879039703</v>
      </c>
      <c r="AI338" s="31" t="str">
        <f>IF(A338&lt;&gt;"",CHOOSE(10-MIN(9,TRUNC((AH338+0.5)/10)),"A","B","C","D","F","F","F","F","F","F"),"")</f>
        <v>A</v>
      </c>
      <c r="AJ338" s="31" t="str">
        <f>IF(A338&lt;&gt;"",IF(OR(AH338+0.5&gt;=93,AH338+0.5&lt;60),"",IF(MOD(AH338+0.5,10)&gt;=7,"+",IF(MOD(AH338+0.5,10)&lt;3,"-",""))),"")</f>
        <v/>
      </c>
      <c r="AK338" s="31" t="b">
        <f>IF(A338&lt;&gt;"",OR(AI338&lt;&gt;AC338,AJ338&lt;&gt;AD338),"")</f>
        <v>0</v>
      </c>
      <c r="AL338" s="81">
        <f>IF(AND(A338&lt;&gt;"",U338&gt;0),SUM(U338,$AL$8)/$AL$2*100,"")</f>
        <v>93.5</v>
      </c>
      <c r="AM338" s="24">
        <f>IF(AND(A338&lt;&gt;"",V338&gt;0),SUM(V338,$AM$8)/$AM$2*100,"")</f>
        <v>99.666666666666671</v>
      </c>
      <c r="AN338" s="24" t="str">
        <f>IF(AND(A338&lt;&gt;"",P338&lt;&gt;0),SUM(P338,$AN$8)/$AN$2*100,"")</f>
        <v/>
      </c>
      <c r="AO338" s="24" t="str">
        <f>IF(AND(A338&lt;&gt;"",Q338&lt;&gt;0),SUM(Q338,$AO$8)/$AO$2*100,"")</f>
        <v/>
      </c>
      <c r="AP338" s="24">
        <f>IF(AND(A338&lt;&gt;"",R338&lt;&gt;0),SUM(R338,$AP$8)/$AP$2*100,"")</f>
        <v>82.002659574468083</v>
      </c>
      <c r="AQ338" s="24" t="str">
        <f>IF(AND(A338&lt;&gt;"",W338&gt;0),SUM(W338,$AQ$8)/$AQ$2*100,"")</f>
        <v/>
      </c>
      <c r="AR338" s="24">
        <f>IF(AND(A338&lt;&gt;"",T338&gt;0),SUM(T338,$AR$8)/$AR$2*100,"")</f>
        <v>92.697137580794092</v>
      </c>
      <c r="AS338" s="24">
        <f>IF(AND(A338&lt;&gt;"",X338&lt;&gt;0),SUM(X338,$AS$8)/$AS$2*100,"")</f>
        <v>92.697137580794092</v>
      </c>
      <c r="AT338" s="86">
        <f>IF(A338&lt;&gt;"",SUM(W338:X338,$AT$8)/$AT$2*100,"")</f>
        <v>92.697137580794092</v>
      </c>
      <c r="AU338" s="24">
        <f>AA338</f>
        <v>95.24856879039703</v>
      </c>
      <c r="AV338" s="24"/>
      <c r="AW338" s="27">
        <f>IF(A338&lt;&gt;"",AE338-AA338,"")</f>
        <v>-2.5514312096029386</v>
      </c>
      <c r="AY338" s="27">
        <f>AR338-AP338</f>
        <v>10.694478006326008</v>
      </c>
      <c r="AZ338" s="27">
        <f>ABS(AY338)</f>
        <v>10.694478006326008</v>
      </c>
    </row>
    <row r="339" spans="1:52" s="27" customFormat="1" ht="12.75" customHeight="1" x14ac:dyDescent="0.2">
      <c r="A339" s="10">
        <v>899412</v>
      </c>
      <c r="B339" s="2">
        <v>25</v>
      </c>
      <c r="C339" s="10">
        <v>22</v>
      </c>
      <c r="D339" s="10">
        <v>24</v>
      </c>
      <c r="E339" s="10">
        <v>23</v>
      </c>
      <c r="F339" s="10">
        <v>24</v>
      </c>
      <c r="G339" s="10">
        <v>16</v>
      </c>
      <c r="H339" s="10">
        <v>25</v>
      </c>
      <c r="I339" s="10">
        <v>25</v>
      </c>
      <c r="J339" s="2"/>
      <c r="K339" s="10">
        <v>56</v>
      </c>
      <c r="L339" s="10">
        <v>60</v>
      </c>
      <c r="M339" s="10">
        <v>60</v>
      </c>
      <c r="N339" s="51">
        <v>61</v>
      </c>
      <c r="O339" s="11">
        <v>58</v>
      </c>
      <c r="P339" s="10"/>
      <c r="Q339" s="40"/>
      <c r="R339" s="2">
        <v>98</v>
      </c>
      <c r="S339" s="10">
        <f>IF(T339="",R339,MAX((R339+$R$8)/$R$2,(T339+$T$8)/$T$2)*$R$2-$R$8)</f>
        <v>97.999999999999986</v>
      </c>
      <c r="T339" s="12">
        <v>135</v>
      </c>
      <c r="U339" s="1">
        <f>IF(A339&lt;&gt;"",SUM(B339:I339),"")</f>
        <v>184</v>
      </c>
      <c r="V339" s="10">
        <f>IF(A339&lt;&gt;"",SUM(J339:O339),"")</f>
        <v>295</v>
      </c>
      <c r="W339" s="10">
        <f>IF(A339&lt;&gt;"",SUM(P339:Q339),"")</f>
        <v>0</v>
      </c>
      <c r="X339" s="10">
        <f>IF(A339&lt;&gt;"",SUM(S339:T339),"")</f>
        <v>233</v>
      </c>
      <c r="Y339" s="12">
        <v>3</v>
      </c>
      <c r="Z339" s="12">
        <f>IF(A339&lt;&gt;"",SUM(U339:Y339),"")</f>
        <v>715</v>
      </c>
      <c r="AA339" s="27">
        <f>IF(A339&lt;&gt;"",(Z339+Normalize_To_Add)/(Point_Total_So_Far)*100,"")</f>
        <v>79.009673189131846</v>
      </c>
      <c r="AB339" s="10">
        <f>IF(A339&lt;&gt;"",RANK(AA339,All_Student_XC),"")</f>
        <v>224</v>
      </c>
      <c r="AC339" s="31" t="str">
        <f>IF(A339&lt;&gt;"",CHOOSE(10-MIN(9,TRUNC((AA339+0.5)/10)),"A","B","C","D","F","F","F","F","F","F"),"")</f>
        <v>C</v>
      </c>
      <c r="AD339" s="31" t="str">
        <f>IF(A339&lt;&gt;"",IF(OR(AA339+0.5&gt;=93,AA339+0.5&lt;60),"",IF(MOD(AA339+0.5,10)&gt;=7,"+",IF(MOD(AA339+0.5,10)&lt;3,"-",""))),"")</f>
        <v>+</v>
      </c>
      <c r="AE339" s="31">
        <f>IF(A339&lt;&gt;"",SUM(W339:X339,$W$8:$X$8)/SUM($W$2:$X$2)*100,"")</f>
        <v>61.619346378263685</v>
      </c>
      <c r="AF339" s="43" t="str">
        <f>IF(A339&lt;&gt;"",CHOOSE(10-MIN(9,TRUNC((AE339+0.5)/10)),"A","B","C","D","F","F","F","F","F","F"),"")</f>
        <v>D</v>
      </c>
      <c r="AG339" s="43" t="str">
        <f>IF(A339&lt;&gt;"",IF(OR(AE339+0.5&gt;=93,AE339+0.5&lt;60),"",IF(MOD(AE339+0.5,10)&gt;=7,"+",IF(MOD(AE339+0.5,10)&lt;3,"-",""))),"")</f>
        <v>-</v>
      </c>
      <c r="AH339" s="35">
        <f>IF(A339&lt;&gt;"",MIN(MAX(AA339,AE339),AA339+$AH$8,AE339+$AH$8),"")</f>
        <v>79.009673189131846</v>
      </c>
      <c r="AI339" s="31" t="str">
        <f>IF(A339&lt;&gt;"",CHOOSE(10-MIN(9,TRUNC((AH339+0.5)/10)),"A","B","C","D","F","F","F","F","F","F"),"")</f>
        <v>C</v>
      </c>
      <c r="AJ339" s="31" t="str">
        <f>IF(A339&lt;&gt;"",IF(OR(AH339+0.5&gt;=93,AH339+0.5&lt;60),"",IF(MOD(AH339+0.5,10)&gt;=7,"+",IF(MOD(AH339+0.5,10)&lt;3,"-",""))),"")</f>
        <v>+</v>
      </c>
      <c r="AK339" s="31" t="b">
        <f>IF(A339&lt;&gt;"",OR(AI339&lt;&gt;AC339,AJ339&lt;&gt;AD339),"")</f>
        <v>0</v>
      </c>
      <c r="AL339" s="81">
        <f>IF(AND(A339&lt;&gt;"",U339&gt;0),SUM(U339,$AL$8)/$AL$2*100,"")</f>
        <v>92</v>
      </c>
      <c r="AM339" s="24">
        <f>IF(AND(A339&lt;&gt;"",V339&gt;0),SUM(V339,$AM$8)/$AM$2*100,"")</f>
        <v>98.333333333333329</v>
      </c>
      <c r="AN339" s="24" t="str">
        <f>IF(AND(A339&lt;&gt;"",P339&lt;&gt;0),SUM(P339,$AN$8)/$AN$2*100,"")</f>
        <v/>
      </c>
      <c r="AO339" s="24" t="str">
        <f>IF(AND(A339&lt;&gt;"",Q339&lt;&gt;0),SUM(Q339,$AO$8)/$AO$2*100,"")</f>
        <v/>
      </c>
      <c r="AP339" s="24">
        <f>IF(AND(A339&lt;&gt;"",R339&lt;&gt;0),SUM(R339,$AP$8)/$AP$2*100,"")</f>
        <v>63.502659574468076</v>
      </c>
      <c r="AQ339" s="24" t="str">
        <f>IF(AND(A339&lt;&gt;"",W339&gt;0),SUM(W339,$AQ$8)/$AQ$2*100,"")</f>
        <v/>
      </c>
      <c r="AR339" s="24">
        <f>IF(AND(A339&lt;&gt;"",T339&gt;0),SUM(T339,$AR$8)/$AR$2*100,"")</f>
        <v>60.363804247460749</v>
      </c>
      <c r="AS339" s="24">
        <f>IF(AND(A339&lt;&gt;"",X339&lt;&gt;0),SUM(X339,$AS$8)/$AS$2*100,"")</f>
        <v>61.619346378263685</v>
      </c>
      <c r="AT339" s="86">
        <f>IF(A339&lt;&gt;"",SUM(W339:X339,$AT$8)/$AT$2*100,"")</f>
        <v>61.619346378263685</v>
      </c>
      <c r="AU339" s="24">
        <f>AA339</f>
        <v>79.009673189131846</v>
      </c>
      <c r="AV339" s="24"/>
      <c r="AW339" s="27">
        <f>IF(A339&lt;&gt;"",AE339-AA339,"")</f>
        <v>-17.39032681086816</v>
      </c>
      <c r="AY339" s="27">
        <f>AR339-AP339</f>
        <v>-3.1388553270073274</v>
      </c>
      <c r="AZ339" s="27">
        <f>ABS(AY339)</f>
        <v>3.1388553270073274</v>
      </c>
    </row>
    <row r="340" spans="1:52" s="27" customFormat="1" ht="12.75" customHeight="1" x14ac:dyDescent="0.2">
      <c r="A340" s="10">
        <v>900812</v>
      </c>
      <c r="B340" s="2">
        <v>24</v>
      </c>
      <c r="C340" s="10">
        <v>20</v>
      </c>
      <c r="D340" s="10">
        <v>22</v>
      </c>
      <c r="E340" s="10">
        <v>25</v>
      </c>
      <c r="F340" s="10">
        <v>20</v>
      </c>
      <c r="G340" s="10">
        <v>25</v>
      </c>
      <c r="H340" s="10" t="s">
        <v>69</v>
      </c>
      <c r="I340" s="10">
        <v>17</v>
      </c>
      <c r="J340" s="2"/>
      <c r="K340" s="10">
        <v>46</v>
      </c>
      <c r="L340" s="10" t="s">
        <v>69</v>
      </c>
      <c r="M340" s="10">
        <v>20</v>
      </c>
      <c r="N340" s="51">
        <v>10</v>
      </c>
      <c r="O340" s="11">
        <v>37</v>
      </c>
      <c r="P340" s="10"/>
      <c r="Q340" s="40"/>
      <c r="R340" s="2">
        <v>128</v>
      </c>
      <c r="S340" s="10">
        <f>IF(T340="",R340,MAX((R340+$R$8)/$R$2,(T340+$T$8)/$T$2)*$R$2-$R$8)</f>
        <v>128</v>
      </c>
      <c r="T340" s="12">
        <v>73</v>
      </c>
      <c r="U340" s="68">
        <f>IF(A340&lt;&gt;"",SUM(B340:I340),"")</f>
        <v>153</v>
      </c>
      <c r="V340" s="10">
        <f>IF(A340&lt;&gt;"",SUM(J340:O340),"")</f>
        <v>113</v>
      </c>
      <c r="W340" s="10">
        <f>IF(A340&lt;&gt;"",SUM(P340:Q340),"")</f>
        <v>0</v>
      </c>
      <c r="X340" s="10">
        <f>IF(A340&lt;&gt;"",SUM(S340:T340),"")</f>
        <v>201</v>
      </c>
      <c r="Y340" s="12">
        <v>3</v>
      </c>
      <c r="Z340" s="12">
        <f>IF(A340&lt;&gt;"",SUM(U340:Y340),"")</f>
        <v>470</v>
      </c>
      <c r="AA340" s="27">
        <f>IF(A340&lt;&gt;"",(Z340+Normalize_To_Add)/(Point_Total_So_Far)*100,"")</f>
        <v>54.509673189131846</v>
      </c>
      <c r="AB340" s="10">
        <f>IF(A340&lt;&gt;"",RANK(AA340,All_Student_XC),"")</f>
        <v>351</v>
      </c>
      <c r="AC340" s="31" t="str">
        <f>IF(A340&lt;&gt;"",CHOOSE(10-MIN(9,TRUNC((AA340+0.5)/10)),"A","B","C","D","F","F","F","F","F","F"),"")</f>
        <v>F</v>
      </c>
      <c r="AD340" s="31" t="str">
        <f>IF(A340&lt;&gt;"",IF(OR(AA340+0.5&gt;=93,AA340+0.5&lt;60),"",IF(MOD(AA340+0.5,10)&gt;=7,"+",IF(MOD(AA340+0.5,10)&lt;3,"-",""))),"")</f>
        <v/>
      </c>
      <c r="AE340" s="31">
        <f>IF(A340&lt;&gt;"",SUM(W340:X340,$W$8:$X$8)/SUM($W$2:$X$2)*100,"")</f>
        <v>55.219346378263687</v>
      </c>
      <c r="AF340" s="31" t="str">
        <f>IF(A340&lt;&gt;"",CHOOSE(10-MIN(9,TRUNC((AE340+0.5)/10)),"A","B","C","D","F","F","F","F","F","F"),"")</f>
        <v>F</v>
      </c>
      <c r="AG340" s="31" t="str">
        <f>IF(A340&lt;&gt;"",IF(OR(AE340+0.5&gt;=93,AE340+0.5&lt;60),"",IF(MOD(AE340+0.5,10)&gt;=7,"+",IF(MOD(AE340+0.5,10)&lt;3,"-",""))),"")</f>
        <v/>
      </c>
      <c r="AH340" s="35">
        <f>IF(A340&lt;&gt;"",MIN(MAX(AA340,AE340),AA340+$AH$8,AE340+$AH$8),"")</f>
        <v>55.219346378263687</v>
      </c>
      <c r="AI340" s="31" t="str">
        <f>IF(A340&lt;&gt;"",CHOOSE(10-MIN(9,TRUNC((AH340+0.5)/10)),"A","B","C","D","F","F","F","F","F","F"),"")</f>
        <v>F</v>
      </c>
      <c r="AJ340" s="31" t="str">
        <f>IF(A340&lt;&gt;"",IF(OR(AH340+0.5&gt;=93,AH340+0.5&lt;60),"",IF(MOD(AH340+0.5,10)&gt;=7,"+",IF(MOD(AH340+0.5,10)&lt;3,"-",""))),"")</f>
        <v/>
      </c>
      <c r="AK340" s="31" t="b">
        <f>IF(A340&lt;&gt;"",OR(AI340&lt;&gt;AC340,AJ340&lt;&gt;AD340),"")</f>
        <v>0</v>
      </c>
      <c r="AL340" s="81">
        <f>IF(AND(A340&lt;&gt;"",U340&gt;0),SUM(U340,$AL$8)/$AL$2*100,"")</f>
        <v>76.5</v>
      </c>
      <c r="AM340" s="24">
        <f>IF(AND(A340&lt;&gt;"",V340&gt;0),SUM(V340,$AM$8)/$AM$2*100,"")</f>
        <v>37.666666666666664</v>
      </c>
      <c r="AN340" s="24" t="str">
        <f>IF(AND(A340&lt;&gt;"",P340&lt;&gt;0),SUM(P340,$AN$8)/$AN$2*100,"")</f>
        <v/>
      </c>
      <c r="AO340" s="24" t="str">
        <f>IF(AND(A340&lt;&gt;"",Q340&lt;&gt;0),SUM(Q340,$AO$8)/$AO$2*100,"")</f>
        <v/>
      </c>
      <c r="AP340" s="24">
        <f>IF(AND(A340&lt;&gt;"",R340&lt;&gt;0),SUM(R340,$AP$8)/$AP$2*100,"")</f>
        <v>78.502659574468083</v>
      </c>
      <c r="AQ340" s="24" t="str">
        <f>IF(AND(A340&lt;&gt;"",W340&gt;0),SUM(W340,$AQ$8)/$AQ$2*100,"")</f>
        <v/>
      </c>
      <c r="AR340" s="24">
        <f>IF(AND(A340&lt;&gt;"",T340&gt;0),SUM(T340,$AR$8)/$AR$2*100,"")</f>
        <v>39.697137580794092</v>
      </c>
      <c r="AS340" s="24">
        <f>IF(AND(A340&lt;&gt;"",X340&lt;&gt;0),SUM(X340,$AS$8)/$AS$2*100,"")</f>
        <v>55.219346378263687</v>
      </c>
      <c r="AT340" s="86">
        <f>IF(A340&lt;&gt;"",SUM(W340:X340,$AT$8)/$AT$2*100,"")</f>
        <v>55.219346378263687</v>
      </c>
      <c r="AU340" s="24">
        <f>AA340</f>
        <v>54.509673189131846</v>
      </c>
      <c r="AV340" s="24"/>
      <c r="AW340" s="27">
        <f>IF(A340&lt;&gt;"",AE340-AA340,"")</f>
        <v>0.7096731891318413</v>
      </c>
      <c r="AY340" s="27">
        <f>AR340-AP340</f>
        <v>-38.805521993673992</v>
      </c>
      <c r="AZ340" s="27">
        <f>ABS(AY340)</f>
        <v>38.805521993673992</v>
      </c>
    </row>
    <row r="341" spans="1:52" s="27" customFormat="1" ht="12.75" customHeight="1" x14ac:dyDescent="0.2">
      <c r="A341" s="10">
        <v>902074</v>
      </c>
      <c r="B341" s="2">
        <v>22</v>
      </c>
      <c r="C341" s="10">
        <v>18</v>
      </c>
      <c r="D341" s="10">
        <v>16</v>
      </c>
      <c r="E341" s="10">
        <v>15</v>
      </c>
      <c r="F341" s="10">
        <v>17</v>
      </c>
      <c r="G341" s="10">
        <v>25</v>
      </c>
      <c r="H341" s="10">
        <v>14</v>
      </c>
      <c r="I341" s="10">
        <v>25</v>
      </c>
      <c r="J341" s="2"/>
      <c r="K341" s="10">
        <v>58</v>
      </c>
      <c r="L341" s="10">
        <v>49</v>
      </c>
      <c r="M341" s="10">
        <v>60</v>
      </c>
      <c r="N341" s="51">
        <v>62</v>
      </c>
      <c r="O341" s="11">
        <v>60</v>
      </c>
      <c r="P341" s="10"/>
      <c r="Q341" s="40"/>
      <c r="R341" s="2">
        <v>123</v>
      </c>
      <c r="S341" s="10">
        <f>IF(T341="",R341,MAX((R341+$R$8)/$R$2,(T341+$T$8)/$T$2)*$R$2-$R$8)</f>
        <v>133.72228934598536</v>
      </c>
      <c r="T341" s="12">
        <v>198</v>
      </c>
      <c r="U341" s="68">
        <f>IF(A341&lt;&gt;"",SUM(B341:I341),"")</f>
        <v>152</v>
      </c>
      <c r="V341" s="10">
        <f>IF(A341&lt;&gt;"",SUM(J341:O341),"")</f>
        <v>289</v>
      </c>
      <c r="W341" s="10">
        <f>IF(A341&lt;&gt;"",SUM(P341:Q341),"")</f>
        <v>0</v>
      </c>
      <c r="X341" s="10">
        <f>IF(A341&lt;&gt;"",SUM(S341:T341),"")</f>
        <v>331.72228934598536</v>
      </c>
      <c r="Y341" s="12" t="s">
        <v>69</v>
      </c>
      <c r="Z341" s="12">
        <f>IF(A341&lt;&gt;"",SUM(U341:Y341),"")</f>
        <v>772.72228934598536</v>
      </c>
      <c r="AA341" s="27">
        <f>IF(A341&lt;&gt;"",(Z341+Normalize_To_Add)/(Point_Total_So_Far)*100,"")</f>
        <v>84.781902123730376</v>
      </c>
      <c r="AB341" s="10">
        <f>IF(A341&lt;&gt;"",RANK(AA341,All_Student_XC),"")</f>
        <v>162</v>
      </c>
      <c r="AC341" s="31" t="str">
        <f>IF(A341&lt;&gt;"",CHOOSE(10-MIN(9,TRUNC((AA341+0.5)/10)),"A","B","C","D","F","F","F","F","F","F"),"")</f>
        <v>B</v>
      </c>
      <c r="AD341" s="31" t="str">
        <f>IF(A341&lt;&gt;"",IF(OR(AA341+0.5&gt;=93,AA341+0.5&lt;60),"",IF(MOD(AA341+0.5,10)&gt;=7,"+",IF(MOD(AA341+0.5,10)&lt;3,"-",""))),"")</f>
        <v/>
      </c>
      <c r="AE341" s="31">
        <f>IF(A341&lt;&gt;"",SUM(W341:X341,$W$8:$X$8)/SUM($W$2:$X$2)*100,"")</f>
        <v>81.363804247460763</v>
      </c>
      <c r="AF341" s="31" t="str">
        <f>IF(A341&lt;&gt;"",CHOOSE(10-MIN(9,TRUNC((AE341+0.5)/10)),"A","B","C","D","F","F","F","F","F","F"),"")</f>
        <v>B</v>
      </c>
      <c r="AG341" s="31" t="str">
        <f>IF(A341&lt;&gt;"",IF(OR(AE341+0.5&gt;=93,AE341+0.5&lt;60),"",IF(MOD(AE341+0.5,10)&gt;=7,"+",IF(MOD(AE341+0.5,10)&lt;3,"-",""))),"")</f>
        <v>-</v>
      </c>
      <c r="AH341" s="35">
        <f>IF(A341&lt;&gt;"",MIN(MAX(AA341,AE341),AA341+$AH$8,AE341+$AH$8),"")</f>
        <v>84.781902123730376</v>
      </c>
      <c r="AI341" s="31" t="str">
        <f>IF(A341&lt;&gt;"",CHOOSE(10-MIN(9,TRUNC((AH341+0.5)/10)),"A","B","C","D","F","F","F","F","F","F"),"")</f>
        <v>B</v>
      </c>
      <c r="AJ341" s="31" t="str">
        <f>IF(A341&lt;&gt;"",IF(OR(AH341+0.5&gt;=93,AH341+0.5&lt;60),"",IF(MOD(AH341+0.5,10)&gt;=7,"+",IF(MOD(AH341+0.5,10)&lt;3,"-",""))),"")</f>
        <v/>
      </c>
      <c r="AK341" s="31" t="b">
        <f>IF(A341&lt;&gt;"",OR(AI341&lt;&gt;AC341,AJ341&lt;&gt;AD341),"")</f>
        <v>0</v>
      </c>
      <c r="AL341" s="81">
        <f>IF(AND(A341&lt;&gt;"",U341&gt;0),SUM(U341,$AL$8)/$AL$2*100,"")</f>
        <v>76</v>
      </c>
      <c r="AM341" s="24">
        <f>IF(AND(A341&lt;&gt;"",V341&gt;0),SUM(V341,$AM$8)/$AM$2*100,"")</f>
        <v>96.333333333333343</v>
      </c>
      <c r="AN341" s="24" t="str">
        <f>IF(AND(A341&lt;&gt;"",P341&lt;&gt;0),SUM(P341,$AN$8)/$AN$2*100,"")</f>
        <v/>
      </c>
      <c r="AO341" s="24" t="str">
        <f>IF(AND(A341&lt;&gt;"",Q341&lt;&gt;0),SUM(Q341,$AO$8)/$AO$2*100,"")</f>
        <v/>
      </c>
      <c r="AP341" s="24">
        <f>IF(AND(A341&lt;&gt;"",R341&lt;&gt;0),SUM(R341,$AP$8)/$AP$2*100,"")</f>
        <v>76.002659574468083</v>
      </c>
      <c r="AQ341" s="24" t="str">
        <f>IF(AND(A341&lt;&gt;"",W341&gt;0),SUM(W341,$AQ$8)/$AQ$2*100,"")</f>
        <v/>
      </c>
      <c r="AR341" s="24">
        <f>IF(AND(A341&lt;&gt;"",T341&gt;0),SUM(T341,$AR$8)/$AR$2*100,"")</f>
        <v>81.363804247460763</v>
      </c>
      <c r="AS341" s="24">
        <f>IF(AND(A341&lt;&gt;"",X341&lt;&gt;0),SUM(X341,$AS$8)/$AS$2*100,"")</f>
        <v>81.363804247460763</v>
      </c>
      <c r="AT341" s="86">
        <f>IF(A341&lt;&gt;"",SUM(W341:X341,$AT$8)/$AT$2*100,"")</f>
        <v>81.363804247460763</v>
      </c>
      <c r="AU341" s="24">
        <f>AA341</f>
        <v>84.781902123730376</v>
      </c>
      <c r="AV341" s="24"/>
      <c r="AW341" s="27">
        <f>IF(A341&lt;&gt;"",AE341-AA341,"")</f>
        <v>-3.4180978762696128</v>
      </c>
      <c r="AY341" s="27">
        <f>AR341-AP341</f>
        <v>5.3611446729926797</v>
      </c>
      <c r="AZ341" s="27">
        <f>ABS(AY341)</f>
        <v>5.3611446729926797</v>
      </c>
    </row>
    <row r="342" spans="1:52" s="27" customFormat="1" ht="12.75" customHeight="1" x14ac:dyDescent="0.2">
      <c r="A342" s="10">
        <v>903884</v>
      </c>
      <c r="B342" s="2">
        <v>14</v>
      </c>
      <c r="C342" s="10">
        <v>18</v>
      </c>
      <c r="D342" s="10">
        <v>20</v>
      </c>
      <c r="E342" s="10">
        <v>22</v>
      </c>
      <c r="F342" s="10">
        <v>13</v>
      </c>
      <c r="G342" s="10">
        <v>19</v>
      </c>
      <c r="H342" s="10" t="s">
        <v>69</v>
      </c>
      <c r="I342" s="10">
        <v>25</v>
      </c>
      <c r="J342" s="2"/>
      <c r="K342" s="10">
        <v>53</v>
      </c>
      <c r="L342" s="10">
        <v>39</v>
      </c>
      <c r="M342" s="10">
        <v>25</v>
      </c>
      <c r="N342" s="51">
        <v>59</v>
      </c>
      <c r="O342" s="11">
        <v>39</v>
      </c>
      <c r="P342" s="10"/>
      <c r="Q342" s="40"/>
      <c r="R342" s="2">
        <v>91</v>
      </c>
      <c r="S342" s="10">
        <f>IF(T342="",R342,MAX((R342+$R$8)/$R$2,(T342+$T$8)/$T$2)*$R$2-$R$8)</f>
        <v>91</v>
      </c>
      <c r="T342" s="12">
        <v>106</v>
      </c>
      <c r="U342" s="68">
        <f>IF(A342&lt;&gt;"",SUM(B342:I342),"")</f>
        <v>131</v>
      </c>
      <c r="V342" s="10">
        <f>IF(A342&lt;&gt;"",SUM(J342:O342),"")</f>
        <v>215</v>
      </c>
      <c r="W342" s="10">
        <f>IF(A342&lt;&gt;"",SUM(P342:Q342),"")</f>
        <v>0</v>
      </c>
      <c r="X342" s="10">
        <f>IF(A342&lt;&gt;"",SUM(S342:T342),"")</f>
        <v>197</v>
      </c>
      <c r="Y342" s="12" t="s">
        <v>69</v>
      </c>
      <c r="Z342" s="12">
        <f>IF(A342&lt;&gt;"",SUM(U342:Y342),"")</f>
        <v>543</v>
      </c>
      <c r="AA342" s="27">
        <f>IF(A342&lt;&gt;"",(Z342+Normalize_To_Add)/(Point_Total_So_Far)*100,"")</f>
        <v>61.809673189131843</v>
      </c>
      <c r="AB342" s="10">
        <f>IF(A342&lt;&gt;"",RANK(AA342,All_Student_XC),"")</f>
        <v>342</v>
      </c>
      <c r="AC342" s="31" t="str">
        <f>IF(A342&lt;&gt;"",CHOOSE(10-MIN(9,TRUNC((AA342+0.5)/10)),"A","B","C","D","F","F","F","F","F","F"),"")</f>
        <v>D</v>
      </c>
      <c r="AD342" s="31" t="str">
        <f>IF(A342&lt;&gt;"",IF(OR(AA342+0.5&gt;=93,AA342+0.5&lt;60),"",IF(MOD(AA342+0.5,10)&gt;=7,"+",IF(MOD(AA342+0.5,10)&lt;3,"-",""))),"")</f>
        <v>-</v>
      </c>
      <c r="AE342" s="31">
        <f>IF(A342&lt;&gt;"",SUM(W342:X342,$W$8:$X$8)/SUM($W$2:$X$2)*100,"")</f>
        <v>54.41934637826369</v>
      </c>
      <c r="AF342" s="31" t="str">
        <f>IF(A342&lt;&gt;"",CHOOSE(10-MIN(9,TRUNC((AE342+0.5)/10)),"A","B","C","D","F","F","F","F","F","F"),"")</f>
        <v>F</v>
      </c>
      <c r="AG342" s="31" t="str">
        <f>IF(A342&lt;&gt;"",IF(OR(AE342+0.5&gt;=93,AE342+0.5&lt;60),"",IF(MOD(AE342+0.5,10)&gt;=7,"+",IF(MOD(AE342+0.5,10)&lt;3,"-",""))),"")</f>
        <v/>
      </c>
      <c r="AH342" s="35">
        <f>IF(A342&lt;&gt;"",MIN(MAX(AA342,AE342),AA342+$AH$8,AE342+$AH$8),"")</f>
        <v>61.809673189131843</v>
      </c>
      <c r="AI342" s="31" t="str">
        <f>IF(A342&lt;&gt;"",CHOOSE(10-MIN(9,TRUNC((AH342+0.5)/10)),"A","B","C","D","F","F","F","F","F","F"),"")</f>
        <v>D</v>
      </c>
      <c r="AJ342" s="31" t="str">
        <f>IF(A342&lt;&gt;"",IF(OR(AH342+0.5&gt;=93,AH342+0.5&lt;60),"",IF(MOD(AH342+0.5,10)&gt;=7,"+",IF(MOD(AH342+0.5,10)&lt;3,"-",""))),"")</f>
        <v>-</v>
      </c>
      <c r="AK342" s="31" t="b">
        <f>IF(A342&lt;&gt;"",OR(AI342&lt;&gt;AC342,AJ342&lt;&gt;AD342),"")</f>
        <v>0</v>
      </c>
      <c r="AL342" s="81">
        <f>IF(AND(A342&lt;&gt;"",U342&gt;0),SUM(U342,$AL$8)/$AL$2*100,"")</f>
        <v>65.5</v>
      </c>
      <c r="AM342" s="24">
        <f>IF(AND(A342&lt;&gt;"",V342&gt;0),SUM(V342,$AM$8)/$AM$2*100,"")</f>
        <v>71.666666666666671</v>
      </c>
      <c r="AN342" s="24" t="str">
        <f>IF(AND(A342&lt;&gt;"",P342&lt;&gt;0),SUM(P342,$AN$8)/$AN$2*100,"")</f>
        <v/>
      </c>
      <c r="AO342" s="24" t="str">
        <f>IF(AND(A342&lt;&gt;"",Q342&lt;&gt;0),SUM(Q342,$AO$8)/$AO$2*100,"")</f>
        <v/>
      </c>
      <c r="AP342" s="24">
        <f>IF(AND(A342&lt;&gt;"",R342&lt;&gt;0),SUM(R342,$AP$8)/$AP$2*100,"")</f>
        <v>60.002659574468083</v>
      </c>
      <c r="AQ342" s="24" t="str">
        <f>IF(AND(A342&lt;&gt;"",W342&gt;0),SUM(W342,$AQ$8)/$AQ$2*100,"")</f>
        <v/>
      </c>
      <c r="AR342" s="24">
        <f>IF(AND(A342&lt;&gt;"",T342&gt;0),SUM(T342,$AR$8)/$AR$2*100,"")</f>
        <v>50.697137580794084</v>
      </c>
      <c r="AS342" s="24">
        <f>IF(AND(A342&lt;&gt;"",X342&lt;&gt;0),SUM(X342,$AS$8)/$AS$2*100,"")</f>
        <v>54.41934637826369</v>
      </c>
      <c r="AT342" s="86">
        <f>IF(A342&lt;&gt;"",SUM(W342:X342,$AT$8)/$AT$2*100,"")</f>
        <v>54.41934637826369</v>
      </c>
      <c r="AU342" s="24">
        <f>AA342</f>
        <v>61.809673189131843</v>
      </c>
      <c r="AV342" s="24"/>
      <c r="AW342" s="27">
        <f>IF(A342&lt;&gt;"",AE342-AA342,"")</f>
        <v>-7.390326810868153</v>
      </c>
      <c r="AY342" s="27">
        <f>AR342-AP342</f>
        <v>-9.3055219936739988</v>
      </c>
      <c r="AZ342" s="27">
        <f>ABS(AY342)</f>
        <v>9.3055219936739988</v>
      </c>
    </row>
    <row r="343" spans="1:52" s="27" customFormat="1" ht="12.75" customHeight="1" x14ac:dyDescent="0.2">
      <c r="A343" s="50">
        <v>906950</v>
      </c>
      <c r="B343" s="2">
        <v>23</v>
      </c>
      <c r="C343" s="50">
        <v>23</v>
      </c>
      <c r="D343" s="10">
        <v>23</v>
      </c>
      <c r="E343" s="10">
        <v>18</v>
      </c>
      <c r="F343" s="10">
        <v>18</v>
      </c>
      <c r="G343" s="10">
        <v>19</v>
      </c>
      <c r="H343" s="10">
        <v>14</v>
      </c>
      <c r="I343" s="10">
        <v>23</v>
      </c>
      <c r="J343" s="2"/>
      <c r="K343" s="10">
        <v>59</v>
      </c>
      <c r="L343" s="10">
        <v>62</v>
      </c>
      <c r="M343" s="10">
        <v>55</v>
      </c>
      <c r="N343" s="51">
        <v>57</v>
      </c>
      <c r="O343" s="11">
        <v>62</v>
      </c>
      <c r="P343" s="10"/>
      <c r="Q343" s="40"/>
      <c r="R343" s="2">
        <v>142</v>
      </c>
      <c r="S343" s="10">
        <f>IF(T343="",R343,MAX((R343+$R$8)/$R$2,(T343+$T$8)/$T$2)*$R$2-$R$8)</f>
        <v>142</v>
      </c>
      <c r="T343" s="62">
        <v>180</v>
      </c>
      <c r="U343" s="2">
        <f>IF(A343&lt;&gt;"",SUM(B343:I343),"")</f>
        <v>161</v>
      </c>
      <c r="V343" s="10">
        <f>IF(A343&lt;&gt;"",SUM(J343:O343),"")</f>
        <v>295</v>
      </c>
      <c r="W343" s="10">
        <f>IF(A343&lt;&gt;"",SUM(P343:Q343),"")</f>
        <v>0</v>
      </c>
      <c r="X343" s="10">
        <f>IF(A343&lt;&gt;"",SUM(S343:T343),"")</f>
        <v>322</v>
      </c>
      <c r="Y343" s="12">
        <v>3</v>
      </c>
      <c r="Z343" s="12">
        <f>IF(A343&lt;&gt;"",SUM(U343:Y343),"")</f>
        <v>781</v>
      </c>
      <c r="AA343" s="27">
        <f>IF(A343&lt;&gt;"",(Z343+Normalize_To_Add)/(Point_Total_So_Far)*100,"")</f>
        <v>85.60967318913184</v>
      </c>
      <c r="AB343" s="10">
        <f>IF(A343&lt;&gt;"",RANK(AA343,All_Student_XC),"")</f>
        <v>149</v>
      </c>
      <c r="AC343" s="31" t="str">
        <f>IF(A343&lt;&gt;"",CHOOSE(10-MIN(9,TRUNC((AA343+0.5)/10)),"A","B","C","D","F","F","F","F","F","F"),"")</f>
        <v>B</v>
      </c>
      <c r="AD343" s="31" t="str">
        <f>IF(A343&lt;&gt;"",IF(OR(AA343+0.5&gt;=93,AA343+0.5&lt;60),"",IF(MOD(AA343+0.5,10)&gt;=7,"+",IF(MOD(AA343+0.5,10)&lt;3,"-",""))),"")</f>
        <v/>
      </c>
      <c r="AE343" s="31">
        <f>IF(A343&lt;&gt;"",SUM(W343:X343,$W$8:$X$8)/SUM($W$2:$X$2)*100,"")</f>
        <v>79.419346378263683</v>
      </c>
      <c r="AF343" s="43" t="str">
        <f>IF(A343&lt;&gt;"",CHOOSE(10-MIN(9,TRUNC((AE343+0.5)/10)),"A","B","C","D","F","F","F","F","F","F"),"")</f>
        <v>C</v>
      </c>
      <c r="AG343" s="43" t="str">
        <f>IF(A343&lt;&gt;"",IF(OR(AE343+0.5&gt;=93,AE343+0.5&lt;60),"",IF(MOD(AE343+0.5,10)&gt;=7,"+",IF(MOD(AE343+0.5,10)&lt;3,"-",""))),"")</f>
        <v>+</v>
      </c>
      <c r="AH343" s="35">
        <f>IF(A343&lt;&gt;"",MIN(MAX(AA343,AE343),AA343+$AH$8,AE343+$AH$8),"")</f>
        <v>85.60967318913184</v>
      </c>
      <c r="AI343" s="31" t="str">
        <f>IF(A343&lt;&gt;"",CHOOSE(10-MIN(9,TRUNC((AH343+0.5)/10)),"A","B","C","D","F","F","F","F","F","F"),"")</f>
        <v>B</v>
      </c>
      <c r="AJ343" s="31" t="str">
        <f>IF(A343&lt;&gt;"",IF(OR(AH343+0.5&gt;=93,AH343+0.5&lt;60),"",IF(MOD(AH343+0.5,10)&gt;=7,"+",IF(MOD(AH343+0.5,10)&lt;3,"-",""))),"")</f>
        <v/>
      </c>
      <c r="AK343" s="31" t="b">
        <f>IF(A343&lt;&gt;"",OR(AI343&lt;&gt;AC343,AJ343&lt;&gt;AD343),"")</f>
        <v>0</v>
      </c>
      <c r="AL343" s="81">
        <f>IF(AND(A343&lt;&gt;"",U343&gt;0),SUM(U343,$AL$8)/$AL$2*100,"")</f>
        <v>80.5</v>
      </c>
      <c r="AM343" s="24">
        <f>IF(AND(A343&lt;&gt;"",V343&gt;0),SUM(V343,$AM$8)/$AM$2*100,"")</f>
        <v>98.333333333333329</v>
      </c>
      <c r="AN343" s="24" t="str">
        <f>IF(AND(A343&lt;&gt;"",P343&lt;&gt;0),SUM(P343,$AN$8)/$AN$2*100,"")</f>
        <v/>
      </c>
      <c r="AO343" s="24" t="str">
        <f>IF(AND(A343&lt;&gt;"",Q343&lt;&gt;0),SUM(Q343,$AO$8)/$AO$2*100,"")</f>
        <v/>
      </c>
      <c r="AP343" s="24">
        <f>IF(AND(A343&lt;&gt;"",R343&lt;&gt;0),SUM(R343,$AP$8)/$AP$2*100,"")</f>
        <v>85.502659574468083</v>
      </c>
      <c r="AQ343" s="24" t="str">
        <f>IF(AND(A343&lt;&gt;"",W343&gt;0),SUM(W343,$AQ$8)/$AQ$2*100,"")</f>
        <v/>
      </c>
      <c r="AR343" s="24">
        <f>IF(AND(A343&lt;&gt;"",T343&gt;0),SUM(T343,$AR$8)/$AR$2*100,"")</f>
        <v>75.363804247460749</v>
      </c>
      <c r="AS343" s="24">
        <f>IF(AND(A343&lt;&gt;"",X343&lt;&gt;0),SUM(X343,$AS$8)/$AS$2*100,"")</f>
        <v>79.419346378263683</v>
      </c>
      <c r="AT343" s="86">
        <f>IF(A343&lt;&gt;"",SUM(W343:X343,$AT$8)/$AT$2*100,"")</f>
        <v>79.419346378263683</v>
      </c>
      <c r="AU343" s="24">
        <f>AA343</f>
        <v>85.60967318913184</v>
      </c>
      <c r="AV343" s="24"/>
      <c r="AW343" s="27">
        <f>IF(A343&lt;&gt;"",AE343-AA343,"")</f>
        <v>-6.1903268108681573</v>
      </c>
      <c r="AY343" s="27">
        <f>AR343-AP343</f>
        <v>-10.138855327007334</v>
      </c>
      <c r="AZ343" s="27">
        <f>ABS(AY343)</f>
        <v>10.138855327007334</v>
      </c>
    </row>
    <row r="344" spans="1:52" s="27" customFormat="1" ht="12.75" customHeight="1" x14ac:dyDescent="0.2">
      <c r="A344" s="10">
        <v>913654</v>
      </c>
      <c r="B344" s="2">
        <v>5</v>
      </c>
      <c r="C344" s="10">
        <v>19</v>
      </c>
      <c r="D344" s="10">
        <v>24</v>
      </c>
      <c r="E344" s="10">
        <v>22</v>
      </c>
      <c r="F344" s="10">
        <v>21</v>
      </c>
      <c r="G344" s="10">
        <v>8</v>
      </c>
      <c r="H344" s="10">
        <v>17</v>
      </c>
      <c r="I344" s="10">
        <v>25</v>
      </c>
      <c r="J344" s="2"/>
      <c r="K344" s="10">
        <v>55</v>
      </c>
      <c r="L344" s="10">
        <v>58</v>
      </c>
      <c r="M344" s="10">
        <v>51</v>
      </c>
      <c r="N344" s="51">
        <v>47</v>
      </c>
      <c r="O344" s="11">
        <v>45</v>
      </c>
      <c r="P344" s="10"/>
      <c r="Q344" s="40"/>
      <c r="R344" s="2">
        <v>141</v>
      </c>
      <c r="S344" s="10">
        <f>IF(T344="",R344,MAX((R344+$R$8)/$R$2,(T344+$T$8)/$T$2)*$R$2-$R$8)</f>
        <v>141</v>
      </c>
      <c r="T344" s="12">
        <v>184</v>
      </c>
      <c r="U344" s="68">
        <f>IF(A344&lt;&gt;"",SUM(B344:I344),"")</f>
        <v>141</v>
      </c>
      <c r="V344" s="10">
        <f>IF(A344&lt;&gt;"",SUM(J344:O344),"")</f>
        <v>256</v>
      </c>
      <c r="W344" s="10">
        <f>IF(A344&lt;&gt;"",SUM(P344:Q344),"")</f>
        <v>0</v>
      </c>
      <c r="X344" s="10">
        <f>IF(A344&lt;&gt;"",SUM(S344:T344),"")</f>
        <v>325</v>
      </c>
      <c r="Y344" s="12">
        <v>3</v>
      </c>
      <c r="Z344" s="12">
        <f>IF(A344&lt;&gt;"",SUM(U344:Y344),"")</f>
        <v>725</v>
      </c>
      <c r="AA344" s="27">
        <f>IF(A344&lt;&gt;"",(Z344+Normalize_To_Add)/(Point_Total_So_Far)*100,"")</f>
        <v>80.009673189131846</v>
      </c>
      <c r="AB344" s="10">
        <f>IF(A344&lt;&gt;"",RANK(AA344,All_Student_XC),"")</f>
        <v>210</v>
      </c>
      <c r="AC344" s="31" t="str">
        <f>IF(A344&lt;&gt;"",CHOOSE(10-MIN(9,TRUNC((AA344+0.5)/10)),"A","B","C","D","F","F","F","F","F","F"),"")</f>
        <v>B</v>
      </c>
      <c r="AD344" s="31" t="str">
        <f>IF(A344&lt;&gt;"",IF(OR(AA344+0.5&gt;=93,AA344+0.5&lt;60),"",IF(MOD(AA344+0.5,10)&gt;=7,"+",IF(MOD(AA344+0.5,10)&lt;3,"-",""))),"")</f>
        <v>-</v>
      </c>
      <c r="AE344" s="31">
        <f>IF(A344&lt;&gt;"",SUM(W344:X344,$W$8:$X$8)/SUM($W$2:$X$2)*100,"")</f>
        <v>80.019346378263691</v>
      </c>
      <c r="AF344" s="31" t="str">
        <f>IF(A344&lt;&gt;"",CHOOSE(10-MIN(9,TRUNC((AE344+0.5)/10)),"A","B","C","D","F","F","F","F","F","F"),"")</f>
        <v>B</v>
      </c>
      <c r="AG344" s="31" t="str">
        <f>IF(A344&lt;&gt;"",IF(OR(AE344+0.5&gt;=93,AE344+0.5&lt;60),"",IF(MOD(AE344+0.5,10)&gt;=7,"+",IF(MOD(AE344+0.5,10)&lt;3,"-",""))),"")</f>
        <v>-</v>
      </c>
      <c r="AH344" s="35">
        <f>IF(A344&lt;&gt;"",MIN(MAX(AA344,AE344),AA344+$AH$8,AE344+$AH$8),"")</f>
        <v>80.019346378263691</v>
      </c>
      <c r="AI344" s="31" t="str">
        <f>IF(A344&lt;&gt;"",CHOOSE(10-MIN(9,TRUNC((AH344+0.5)/10)),"A","B","C","D","F","F","F","F","F","F"),"")</f>
        <v>B</v>
      </c>
      <c r="AJ344" s="31" t="str">
        <f>IF(A344&lt;&gt;"",IF(OR(AH344+0.5&gt;=93,AH344+0.5&lt;60),"",IF(MOD(AH344+0.5,10)&gt;=7,"+",IF(MOD(AH344+0.5,10)&lt;3,"-",""))),"")</f>
        <v>-</v>
      </c>
      <c r="AK344" s="31" t="b">
        <f>IF(A344&lt;&gt;"",OR(AI344&lt;&gt;AC344,AJ344&lt;&gt;AD344),"")</f>
        <v>0</v>
      </c>
      <c r="AL344" s="81">
        <f>IF(AND(A344&lt;&gt;"",U344&gt;0),SUM(U344,$AL$8)/$AL$2*100,"")</f>
        <v>70.5</v>
      </c>
      <c r="AM344" s="24">
        <f>IF(AND(A344&lt;&gt;"",V344&gt;0),SUM(V344,$AM$8)/$AM$2*100,"")</f>
        <v>85.333333333333343</v>
      </c>
      <c r="AN344" s="24" t="str">
        <f>IF(AND(A344&lt;&gt;"",P344&lt;&gt;0),SUM(P344,$AN$8)/$AN$2*100,"")</f>
        <v/>
      </c>
      <c r="AO344" s="24" t="str">
        <f>IF(AND(A344&lt;&gt;"",Q344&lt;&gt;0),SUM(Q344,$AO$8)/$AO$2*100,"")</f>
        <v/>
      </c>
      <c r="AP344" s="24">
        <f>IF(AND(A344&lt;&gt;"",R344&lt;&gt;0),SUM(R344,$AP$8)/$AP$2*100,"")</f>
        <v>85.002659574468083</v>
      </c>
      <c r="AQ344" s="24" t="str">
        <f>IF(AND(A344&lt;&gt;"",W344&gt;0),SUM(W344,$AQ$8)/$AQ$2*100,"")</f>
        <v/>
      </c>
      <c r="AR344" s="24">
        <f>IF(AND(A344&lt;&gt;"",T344&gt;0),SUM(T344,$AR$8)/$AR$2*100,"")</f>
        <v>76.697137580794077</v>
      </c>
      <c r="AS344" s="24">
        <f>IF(AND(A344&lt;&gt;"",X344&lt;&gt;0),SUM(X344,$AS$8)/$AS$2*100,"")</f>
        <v>80.019346378263691</v>
      </c>
      <c r="AT344" s="86">
        <f>IF(A344&lt;&gt;"",SUM(W344:X344,$AT$8)/$AT$2*100,"")</f>
        <v>80.019346378263691</v>
      </c>
      <c r="AU344" s="24">
        <f>AA344</f>
        <v>80.009673189131846</v>
      </c>
      <c r="AV344" s="24"/>
      <c r="AW344" s="27">
        <f>IF(A344&lt;&gt;"",AE344-AA344,"")</f>
        <v>9.673189131845561E-3</v>
      </c>
      <c r="AY344" s="27">
        <f>AR344-AP344</f>
        <v>-8.3055219936740059</v>
      </c>
      <c r="AZ344" s="27">
        <f>ABS(AY344)</f>
        <v>8.3055219936740059</v>
      </c>
    </row>
    <row r="345" spans="1:52" s="27" customFormat="1" ht="12.75" customHeight="1" x14ac:dyDescent="0.2">
      <c r="A345" s="50">
        <v>916946</v>
      </c>
      <c r="B345" s="2">
        <v>25</v>
      </c>
      <c r="C345" s="50">
        <v>22</v>
      </c>
      <c r="D345" s="10">
        <v>23</v>
      </c>
      <c r="E345" s="10">
        <v>22</v>
      </c>
      <c r="F345" s="10">
        <v>16</v>
      </c>
      <c r="G345" s="10">
        <v>25</v>
      </c>
      <c r="H345" s="10">
        <v>14</v>
      </c>
      <c r="I345" s="10">
        <v>20</v>
      </c>
      <c r="J345" s="2"/>
      <c r="K345" s="10">
        <v>62</v>
      </c>
      <c r="L345" s="10">
        <v>61</v>
      </c>
      <c r="M345" s="10">
        <v>55</v>
      </c>
      <c r="N345" s="51">
        <v>54</v>
      </c>
      <c r="O345" s="11">
        <v>45</v>
      </c>
      <c r="P345" s="10"/>
      <c r="Q345" s="40"/>
      <c r="R345" s="2">
        <v>142</v>
      </c>
      <c r="S345" s="10">
        <f>IF(T345="",R345,MAX((R345+$R$8)/$R$2,(T345+$T$8)/$T$2)*$R$2-$R$8)</f>
        <v>142</v>
      </c>
      <c r="T345" s="62">
        <v>116</v>
      </c>
      <c r="U345" s="2">
        <f>IF(A345&lt;&gt;"",SUM(B345:I345),"")</f>
        <v>167</v>
      </c>
      <c r="V345" s="10">
        <f>IF(A345&lt;&gt;"",SUM(J345:O345),"")</f>
        <v>277</v>
      </c>
      <c r="W345" s="10">
        <f>IF(A345&lt;&gt;"",SUM(P345:Q345),"")</f>
        <v>0</v>
      </c>
      <c r="X345" s="10">
        <f>IF(A345&lt;&gt;"",SUM(S345:T345),"")</f>
        <v>258</v>
      </c>
      <c r="Y345" s="12" t="s">
        <v>69</v>
      </c>
      <c r="Z345" s="12">
        <f>IF(A345&lt;&gt;"",SUM(U345:Y345),"")</f>
        <v>702</v>
      </c>
      <c r="AA345" s="27">
        <f>IF(A345&lt;&gt;"",(Z345+Normalize_To_Add)/(Point_Total_So_Far)*100,"")</f>
        <v>77.709673189131848</v>
      </c>
      <c r="AB345" s="10">
        <f>IF(A345&lt;&gt;"",RANK(AA345,All_Student_XC),"")</f>
        <v>246</v>
      </c>
      <c r="AC345" s="31" t="str">
        <f>IF(A345&lt;&gt;"",CHOOSE(10-MIN(9,TRUNC((AA345+0.5)/10)),"A","B","C","D","F","F","F","F","F","F"),"")</f>
        <v>C</v>
      </c>
      <c r="AD345" s="31" t="str">
        <f>IF(A345&lt;&gt;"",IF(OR(AA345+0.5&gt;=93,AA345+0.5&lt;60),"",IF(MOD(AA345+0.5,10)&gt;=7,"+",IF(MOD(AA345+0.5,10)&lt;3,"-",""))),"")</f>
        <v>+</v>
      </c>
      <c r="AE345" s="31">
        <f>IF(A345&lt;&gt;"",SUM(W345:X345,$W$8:$X$8)/SUM($W$2:$X$2)*100,"")</f>
        <v>66.619346378263685</v>
      </c>
      <c r="AF345" s="43" t="str">
        <f>IF(A345&lt;&gt;"",CHOOSE(10-MIN(9,TRUNC((AE345+0.5)/10)),"A","B","C","D","F","F","F","F","F","F"),"")</f>
        <v>D</v>
      </c>
      <c r="AG345" s="43" t="str">
        <f>IF(A345&lt;&gt;"",IF(OR(AE345+0.5&gt;=93,AE345+0.5&lt;60),"",IF(MOD(AE345+0.5,10)&gt;=7,"+",IF(MOD(AE345+0.5,10)&lt;3,"-",""))),"")</f>
        <v>+</v>
      </c>
      <c r="AH345" s="35">
        <f>IF(A345&lt;&gt;"",MIN(MAX(AA345,AE345),AA345+$AH$8,AE345+$AH$8),"")</f>
        <v>77.709673189131848</v>
      </c>
      <c r="AI345" s="31" t="str">
        <f>IF(A345&lt;&gt;"",CHOOSE(10-MIN(9,TRUNC((AH345+0.5)/10)),"A","B","C","D","F","F","F","F","F","F"),"")</f>
        <v>C</v>
      </c>
      <c r="AJ345" s="31" t="str">
        <f>IF(A345&lt;&gt;"",IF(OR(AH345+0.5&gt;=93,AH345+0.5&lt;60),"",IF(MOD(AH345+0.5,10)&gt;=7,"+",IF(MOD(AH345+0.5,10)&lt;3,"-",""))),"")</f>
        <v>+</v>
      </c>
      <c r="AK345" s="31" t="b">
        <f>IF(A345&lt;&gt;"",OR(AI345&lt;&gt;AC345,AJ345&lt;&gt;AD345),"")</f>
        <v>0</v>
      </c>
      <c r="AL345" s="81">
        <f>IF(AND(A345&lt;&gt;"",U345&gt;0),SUM(U345,$AL$8)/$AL$2*100,"")</f>
        <v>83.5</v>
      </c>
      <c r="AM345" s="24">
        <f>IF(AND(A345&lt;&gt;"",V345&gt;0),SUM(V345,$AM$8)/$AM$2*100,"")</f>
        <v>92.333333333333329</v>
      </c>
      <c r="AN345" s="24" t="str">
        <f>IF(AND(A345&lt;&gt;"",P345&lt;&gt;0),SUM(P345,$AN$8)/$AN$2*100,"")</f>
        <v/>
      </c>
      <c r="AO345" s="24" t="str">
        <f>IF(AND(A345&lt;&gt;"",Q345&lt;&gt;0),SUM(Q345,$AO$8)/$AO$2*100,"")</f>
        <v/>
      </c>
      <c r="AP345" s="24">
        <f>IF(AND(A345&lt;&gt;"",R345&lt;&gt;0),SUM(R345,$AP$8)/$AP$2*100,"")</f>
        <v>85.502659574468083</v>
      </c>
      <c r="AQ345" s="24" t="str">
        <f>IF(AND(A345&lt;&gt;"",W345&gt;0),SUM(W345,$AQ$8)/$AQ$2*100,"")</f>
        <v/>
      </c>
      <c r="AR345" s="24">
        <f>IF(AND(A345&lt;&gt;"",T345&gt;0),SUM(T345,$AR$8)/$AR$2*100,"")</f>
        <v>54.030470914127413</v>
      </c>
      <c r="AS345" s="24">
        <f>IF(AND(A345&lt;&gt;"",X345&lt;&gt;0),SUM(X345,$AS$8)/$AS$2*100,"")</f>
        <v>66.619346378263685</v>
      </c>
      <c r="AT345" s="86">
        <f>IF(A345&lt;&gt;"",SUM(W345:X345,$AT$8)/$AT$2*100,"")</f>
        <v>66.619346378263685</v>
      </c>
      <c r="AU345" s="24">
        <f>AA345</f>
        <v>77.709673189131848</v>
      </c>
      <c r="AV345" s="24"/>
      <c r="AW345" s="27">
        <f>IF(A345&lt;&gt;"",AE345-AA345,"")</f>
        <v>-11.090326810868163</v>
      </c>
      <c r="AY345" s="27">
        <f>AR345-AP345</f>
        <v>-31.47218866034067</v>
      </c>
      <c r="AZ345" s="27">
        <f>ABS(AY345)</f>
        <v>31.47218866034067</v>
      </c>
    </row>
    <row r="346" spans="1:52" s="27" customFormat="1" ht="12.75" customHeight="1" x14ac:dyDescent="0.2">
      <c r="A346" s="50">
        <v>917634</v>
      </c>
      <c r="B346" s="2">
        <v>23</v>
      </c>
      <c r="C346" s="50">
        <v>17</v>
      </c>
      <c r="D346" s="10">
        <v>20</v>
      </c>
      <c r="E346" s="10">
        <v>19</v>
      </c>
      <c r="F346" s="10">
        <v>21</v>
      </c>
      <c r="G346" s="10">
        <v>25</v>
      </c>
      <c r="H346" s="10">
        <v>18</v>
      </c>
      <c r="I346" s="10">
        <v>24</v>
      </c>
      <c r="J346" s="2"/>
      <c r="K346" s="10">
        <v>58</v>
      </c>
      <c r="L346" s="10">
        <v>40</v>
      </c>
      <c r="M346" s="10">
        <v>59</v>
      </c>
      <c r="N346" s="51">
        <v>57</v>
      </c>
      <c r="O346" s="11">
        <v>60</v>
      </c>
      <c r="P346" s="10"/>
      <c r="Q346" s="40"/>
      <c r="R346" s="2">
        <v>108</v>
      </c>
      <c r="S346" s="10">
        <f>IF(T346="",R346,MAX((R346+$R$8)/$R$2,(T346+$T$8)/$T$2)*$R$2-$R$8)</f>
        <v>134.38895601265202</v>
      </c>
      <c r="T346" s="62">
        <v>199</v>
      </c>
      <c r="U346" s="2">
        <f>IF(A346&lt;&gt;"",SUM(B346:I346),"")</f>
        <v>167</v>
      </c>
      <c r="V346" s="10">
        <f>IF(A346&lt;&gt;"",SUM(J346:O346),"")</f>
        <v>274</v>
      </c>
      <c r="W346" s="10">
        <f>IF(A346&lt;&gt;"",SUM(P346:Q346),"")</f>
        <v>0</v>
      </c>
      <c r="X346" s="10">
        <f>IF(A346&lt;&gt;"",SUM(S346:T346),"")</f>
        <v>333.38895601265199</v>
      </c>
      <c r="Y346" s="12">
        <v>3</v>
      </c>
      <c r="Z346" s="12">
        <f>IF(A346&lt;&gt;"",SUM(U346:Y346),"")</f>
        <v>777.38895601265199</v>
      </c>
      <c r="AA346" s="27">
        <f>IF(A346&lt;&gt;"",(Z346+Normalize_To_Add)/(Point_Total_So_Far)*100,"")</f>
        <v>85.248568790397044</v>
      </c>
      <c r="AB346" s="10">
        <f>IF(A346&lt;&gt;"",RANK(AA346,All_Student_XC),"")</f>
        <v>155</v>
      </c>
      <c r="AC346" s="31" t="str">
        <f>IF(A346&lt;&gt;"",CHOOSE(10-MIN(9,TRUNC((AA346+0.5)/10)),"A","B","C","D","F","F","F","F","F","F"),"")</f>
        <v>B</v>
      </c>
      <c r="AD346" s="31" t="str">
        <f>IF(A346&lt;&gt;"",IF(OR(AA346+0.5&gt;=93,AA346+0.5&lt;60),"",IF(MOD(AA346+0.5,10)&gt;=7,"+",IF(MOD(AA346+0.5,10)&lt;3,"-",""))),"")</f>
        <v/>
      </c>
      <c r="AE346" s="31">
        <f>IF(A346&lt;&gt;"",SUM(W346:X346,$W$8:$X$8)/SUM($W$2:$X$2)*100,"")</f>
        <v>81.697137580794092</v>
      </c>
      <c r="AF346" s="43" t="str">
        <f>IF(A346&lt;&gt;"",CHOOSE(10-MIN(9,TRUNC((AE346+0.5)/10)),"A","B","C","D","F","F","F","F","F","F"),"")</f>
        <v>B</v>
      </c>
      <c r="AG346" s="43" t="str">
        <f>IF(A346&lt;&gt;"",IF(OR(AE346+0.5&gt;=93,AE346+0.5&lt;60),"",IF(MOD(AE346+0.5,10)&gt;=7,"+",IF(MOD(AE346+0.5,10)&lt;3,"-",""))),"")</f>
        <v>-</v>
      </c>
      <c r="AH346" s="35">
        <f>IF(A346&lt;&gt;"",MIN(MAX(AA346,AE346),AA346+$AH$8,AE346+$AH$8),"")</f>
        <v>85.248568790397044</v>
      </c>
      <c r="AI346" s="31" t="str">
        <f>IF(A346&lt;&gt;"",CHOOSE(10-MIN(9,TRUNC((AH346+0.5)/10)),"A","B","C","D","F","F","F","F","F","F"),"")</f>
        <v>B</v>
      </c>
      <c r="AJ346" s="31" t="str">
        <f>IF(A346&lt;&gt;"",IF(OR(AH346+0.5&gt;=93,AH346+0.5&lt;60),"",IF(MOD(AH346+0.5,10)&gt;=7,"+",IF(MOD(AH346+0.5,10)&lt;3,"-",""))),"")</f>
        <v/>
      </c>
      <c r="AK346" s="31" t="b">
        <f>IF(A346&lt;&gt;"",OR(AI346&lt;&gt;AC346,AJ346&lt;&gt;AD346),"")</f>
        <v>0</v>
      </c>
      <c r="AL346" s="81">
        <f>IF(AND(A346&lt;&gt;"",U346&gt;0),SUM(U346,$AL$8)/$AL$2*100,"")</f>
        <v>83.5</v>
      </c>
      <c r="AM346" s="24">
        <f>IF(AND(A346&lt;&gt;"",V346&gt;0),SUM(V346,$AM$8)/$AM$2*100,"")</f>
        <v>91.333333333333329</v>
      </c>
      <c r="AN346" s="24" t="str">
        <f>IF(AND(A346&lt;&gt;"",P346&lt;&gt;0),SUM(P346,$AN$8)/$AN$2*100,"")</f>
        <v/>
      </c>
      <c r="AO346" s="24" t="str">
        <f>IF(AND(A346&lt;&gt;"",Q346&lt;&gt;0),SUM(Q346,$AO$8)/$AO$2*100,"")</f>
        <v/>
      </c>
      <c r="AP346" s="24">
        <f>IF(AND(A346&lt;&gt;"",R346&lt;&gt;0),SUM(R346,$AP$8)/$AP$2*100,"")</f>
        <v>68.502659574468083</v>
      </c>
      <c r="AQ346" s="24" t="str">
        <f>IF(AND(A346&lt;&gt;"",W346&gt;0),SUM(W346,$AQ$8)/$AQ$2*100,"")</f>
        <v/>
      </c>
      <c r="AR346" s="24">
        <f>IF(AND(A346&lt;&gt;"",T346&gt;0),SUM(T346,$AR$8)/$AR$2*100,"")</f>
        <v>81.697137580794092</v>
      </c>
      <c r="AS346" s="24">
        <f>IF(AND(A346&lt;&gt;"",X346&lt;&gt;0),SUM(X346,$AS$8)/$AS$2*100,"")</f>
        <v>81.697137580794092</v>
      </c>
      <c r="AT346" s="86">
        <f>IF(A346&lt;&gt;"",SUM(W346:X346,$AT$8)/$AT$2*100,"")</f>
        <v>81.697137580794092</v>
      </c>
      <c r="AU346" s="24">
        <f>AA346</f>
        <v>85.248568790397044</v>
      </c>
      <c r="AV346" s="24"/>
      <c r="AW346" s="27">
        <f>IF(A346&lt;&gt;"",AE346-AA346,"")</f>
        <v>-3.5514312096029528</v>
      </c>
      <c r="AY346" s="27">
        <f>AR346-AP346</f>
        <v>13.194478006326008</v>
      </c>
      <c r="AZ346" s="27">
        <f>ABS(AY346)</f>
        <v>13.194478006326008</v>
      </c>
    </row>
    <row r="347" spans="1:52" s="27" customFormat="1" ht="12.75" customHeight="1" x14ac:dyDescent="0.2">
      <c r="A347" s="50">
        <v>918352</v>
      </c>
      <c r="B347" s="2">
        <v>25</v>
      </c>
      <c r="C347" s="10">
        <v>25</v>
      </c>
      <c r="D347" s="10">
        <v>24</v>
      </c>
      <c r="E347" s="10">
        <v>19</v>
      </c>
      <c r="F347" s="10">
        <v>21</v>
      </c>
      <c r="G347" s="10">
        <v>25</v>
      </c>
      <c r="H347" s="10">
        <v>24</v>
      </c>
      <c r="I347" s="10">
        <v>23</v>
      </c>
      <c r="J347" s="2"/>
      <c r="K347" s="10">
        <v>54</v>
      </c>
      <c r="L347" s="10">
        <v>60</v>
      </c>
      <c r="M347" s="10">
        <v>48</v>
      </c>
      <c r="N347" s="51">
        <v>55</v>
      </c>
      <c r="O347" s="11">
        <v>57</v>
      </c>
      <c r="P347" s="10"/>
      <c r="Q347" s="40"/>
      <c r="R347" s="2">
        <v>132</v>
      </c>
      <c r="S347" s="10">
        <f>IF(T347="",R347,MAX((R347+$R$8)/$R$2,(T347+$T$8)/$T$2)*$R$2-$R$8)</f>
        <v>135.05562267931867</v>
      </c>
      <c r="T347" s="12">
        <v>200</v>
      </c>
      <c r="U347" s="1">
        <f>IF(A347&lt;&gt;"",SUM(B347:I347),"")</f>
        <v>186</v>
      </c>
      <c r="V347" s="10">
        <f>IF(A347&lt;&gt;"",SUM(J347:O347),"")</f>
        <v>274</v>
      </c>
      <c r="W347" s="10">
        <f>IF(A347&lt;&gt;"",SUM(P347:Q347),"")</f>
        <v>0</v>
      </c>
      <c r="X347" s="10">
        <f>IF(A347&lt;&gt;"",SUM(S347:T347),"")</f>
        <v>335.05562267931867</v>
      </c>
      <c r="Y347" s="12">
        <v>3</v>
      </c>
      <c r="Z347" s="12">
        <f>IF(A347&lt;&gt;"",SUM(U347:Y347),"")</f>
        <v>798.05562267931873</v>
      </c>
      <c r="AA347" s="27">
        <f>IF(A347&lt;&gt;"",(Z347+Normalize_To_Add)/(Point_Total_So_Far)*100,"")</f>
        <v>87.315235457063707</v>
      </c>
      <c r="AB347" s="10">
        <f>IF(A347&lt;&gt;"",RANK(AA347,All_Student_XC),"")</f>
        <v>123</v>
      </c>
      <c r="AC347" s="31" t="str">
        <f>IF(A347&lt;&gt;"",CHOOSE(10-MIN(9,TRUNC((AA347+0.5)/10)),"A","B","C","D","F","F","F","F","F","F"),"")</f>
        <v>B</v>
      </c>
      <c r="AD347" s="31" t="str">
        <f>IF(A347&lt;&gt;"",IF(OR(AA347+0.5&gt;=93,AA347+0.5&lt;60),"",IF(MOD(AA347+0.5,10)&gt;=7,"+",IF(MOD(AA347+0.5,10)&lt;3,"-",""))),"")</f>
        <v>+</v>
      </c>
      <c r="AE347" s="31">
        <f>IF(A347&lt;&gt;"",SUM(W347:X347,$W$8:$X$8)/SUM($W$2:$X$2)*100,"")</f>
        <v>82.03047091412742</v>
      </c>
      <c r="AF347" s="31" t="str">
        <f>IF(A347&lt;&gt;"",CHOOSE(10-MIN(9,TRUNC((AE347+0.5)/10)),"A","B","C","D","F","F","F","F","F","F"),"")</f>
        <v>B</v>
      </c>
      <c r="AG347" s="31" t="str">
        <f>IF(A347&lt;&gt;"",IF(OR(AE347+0.5&gt;=93,AE347+0.5&lt;60),"",IF(MOD(AE347+0.5,10)&gt;=7,"+",IF(MOD(AE347+0.5,10)&lt;3,"-",""))),"")</f>
        <v>-</v>
      </c>
      <c r="AH347" s="35">
        <f>IF(A347&lt;&gt;"",MIN(MAX(AA347,AE347),AA347+$AH$8,AE347+$AH$8),"")</f>
        <v>87.315235457063707</v>
      </c>
      <c r="AI347" s="31" t="str">
        <f>IF(A347&lt;&gt;"",CHOOSE(10-MIN(9,TRUNC((AH347+0.5)/10)),"A","B","C","D","F","F","F","F","F","F"),"")</f>
        <v>B</v>
      </c>
      <c r="AJ347" s="31" t="str">
        <f>IF(A347&lt;&gt;"",IF(OR(AH347+0.5&gt;=93,AH347+0.5&lt;60),"",IF(MOD(AH347+0.5,10)&gt;=7,"+",IF(MOD(AH347+0.5,10)&lt;3,"-",""))),"")</f>
        <v>+</v>
      </c>
      <c r="AK347" s="31" t="b">
        <f>IF(A347&lt;&gt;"",OR(AI347&lt;&gt;AC347,AJ347&lt;&gt;AD347),"")</f>
        <v>0</v>
      </c>
      <c r="AL347" s="81">
        <f>IF(AND(A347&lt;&gt;"",U347&gt;0),SUM(U347,$AL$8)/$AL$2*100,"")</f>
        <v>93</v>
      </c>
      <c r="AM347" s="24">
        <f>IF(AND(A347&lt;&gt;"",V347&gt;0),SUM(V347,$AM$8)/$AM$2*100,"")</f>
        <v>91.333333333333329</v>
      </c>
      <c r="AN347" s="24" t="str">
        <f>IF(AND(A347&lt;&gt;"",P347&lt;&gt;0),SUM(P347,$AN$8)/$AN$2*100,"")</f>
        <v/>
      </c>
      <c r="AO347" s="24" t="str">
        <f>IF(AND(A347&lt;&gt;"",Q347&lt;&gt;0),SUM(Q347,$AO$8)/$AO$2*100,"")</f>
        <v/>
      </c>
      <c r="AP347" s="24">
        <f>IF(AND(A347&lt;&gt;"",R347&lt;&gt;0),SUM(R347,$AP$8)/$AP$2*100,"")</f>
        <v>80.502659574468083</v>
      </c>
      <c r="AQ347" s="24" t="str">
        <f>IF(AND(A347&lt;&gt;"",W347&gt;0),SUM(W347,$AQ$8)/$AQ$2*100,"")</f>
        <v/>
      </c>
      <c r="AR347" s="24">
        <f>IF(AND(A347&lt;&gt;"",T347&gt;0),SUM(T347,$AR$8)/$AR$2*100,"")</f>
        <v>82.03047091412742</v>
      </c>
      <c r="AS347" s="24">
        <f>IF(AND(A347&lt;&gt;"",X347&lt;&gt;0),SUM(X347,$AS$8)/$AS$2*100,"")</f>
        <v>82.03047091412742</v>
      </c>
      <c r="AT347" s="86">
        <f>IF(A347&lt;&gt;"",SUM(W347:X347,$AT$8)/$AT$2*100,"")</f>
        <v>82.03047091412742</v>
      </c>
      <c r="AU347" s="24">
        <f>AA347</f>
        <v>87.315235457063707</v>
      </c>
      <c r="AV347" s="24"/>
      <c r="AW347" s="27">
        <f>IF(A347&lt;&gt;"",AE347-AA347,"")</f>
        <v>-5.2847645429362871</v>
      </c>
      <c r="AY347" s="27">
        <f>AR347-AP347</f>
        <v>1.5278113396593369</v>
      </c>
      <c r="AZ347" s="27">
        <f>ABS(AY347)</f>
        <v>1.5278113396593369</v>
      </c>
    </row>
    <row r="348" spans="1:52" s="27" customFormat="1" ht="12.75" customHeight="1" x14ac:dyDescent="0.2">
      <c r="A348" s="50">
        <v>918700</v>
      </c>
      <c r="B348" s="2">
        <v>23</v>
      </c>
      <c r="C348" s="50">
        <v>25</v>
      </c>
      <c r="D348" s="10">
        <v>22</v>
      </c>
      <c r="E348" s="10">
        <v>23</v>
      </c>
      <c r="F348" s="10">
        <v>22</v>
      </c>
      <c r="G348" s="10">
        <v>25</v>
      </c>
      <c r="H348" s="10">
        <v>25</v>
      </c>
      <c r="I348" s="10">
        <v>25</v>
      </c>
      <c r="J348" s="2"/>
      <c r="K348" s="10">
        <v>62</v>
      </c>
      <c r="L348" s="10">
        <v>60</v>
      </c>
      <c r="M348" s="10">
        <v>60</v>
      </c>
      <c r="N348" s="51">
        <v>60</v>
      </c>
      <c r="O348" s="11">
        <v>62</v>
      </c>
      <c r="P348" s="10"/>
      <c r="Q348" s="40"/>
      <c r="R348" s="2">
        <v>165</v>
      </c>
      <c r="S348" s="10">
        <f>IF(T348="",R348,MAX((R348+$R$8)/$R$2,(T348+$T$8)/$T$2)*$R$2-$R$8)</f>
        <v>165</v>
      </c>
      <c r="T348" s="62">
        <v>228</v>
      </c>
      <c r="U348" s="2">
        <f>IF(A348&lt;&gt;"",SUM(B348:I348),"")</f>
        <v>190</v>
      </c>
      <c r="V348" s="10">
        <f>IF(A348&lt;&gt;"",SUM(J348:O348),"")</f>
        <v>304</v>
      </c>
      <c r="W348" s="10">
        <f>IF(A348&lt;&gt;"",SUM(P348:Q348),"")</f>
        <v>0</v>
      </c>
      <c r="X348" s="10">
        <f>IF(A348&lt;&gt;"",SUM(S348:T348),"")</f>
        <v>393</v>
      </c>
      <c r="Y348" s="12">
        <v>3</v>
      </c>
      <c r="Z348" s="12">
        <f>IF(A348&lt;&gt;"",SUM(U348:Y348),"")</f>
        <v>890</v>
      </c>
      <c r="AA348" s="27">
        <f>IF(A348&lt;&gt;"",(Z348+Normalize_To_Add)/(Point_Total_So_Far)*100,"")</f>
        <v>96.509673189131846</v>
      </c>
      <c r="AB348" s="10">
        <f>IF(A348&lt;&gt;"",RANK(AA348,All_Student_XC),"")</f>
        <v>20</v>
      </c>
      <c r="AC348" s="31" t="str">
        <f>IF(A348&lt;&gt;"",CHOOSE(10-MIN(9,TRUNC((AA348+0.5)/10)),"A","B","C","D","F","F","F","F","F","F"),"")</f>
        <v>A</v>
      </c>
      <c r="AD348" s="31" t="str">
        <f>IF(A348&lt;&gt;"",IF(OR(AA348+0.5&gt;=93,AA348+0.5&lt;60),"",IF(MOD(AA348+0.5,10)&gt;=7,"+",IF(MOD(AA348+0.5,10)&lt;3,"-",""))),"")</f>
        <v/>
      </c>
      <c r="AE348" s="31">
        <f>IF(A348&lt;&gt;"",SUM(W348:X348,$W$8:$X$8)/SUM($W$2:$X$2)*100,"")</f>
        <v>93.619346378263685</v>
      </c>
      <c r="AF348" s="43" t="str">
        <f>IF(A348&lt;&gt;"",CHOOSE(10-MIN(9,TRUNC((AE348+0.5)/10)),"A","B","C","D","F","F","F","F","F","F"),"")</f>
        <v>A</v>
      </c>
      <c r="AG348" s="43" t="str">
        <f>IF(A348&lt;&gt;"",IF(OR(AE348+0.5&gt;=93,AE348+0.5&lt;60),"",IF(MOD(AE348+0.5,10)&gt;=7,"+",IF(MOD(AE348+0.5,10)&lt;3,"-",""))),"")</f>
        <v/>
      </c>
      <c r="AH348" s="35">
        <f>IF(A348&lt;&gt;"",MIN(MAX(AA348,AE348),AA348+$AH$8,AE348+$AH$8),"")</f>
        <v>96.509673189131846</v>
      </c>
      <c r="AI348" s="31" t="str">
        <f>IF(A348&lt;&gt;"",CHOOSE(10-MIN(9,TRUNC((AH348+0.5)/10)),"A","B","C","D","F","F","F","F","F","F"),"")</f>
        <v>A</v>
      </c>
      <c r="AJ348" s="31" t="str">
        <f>IF(A348&lt;&gt;"",IF(OR(AH348+0.5&gt;=93,AH348+0.5&lt;60),"",IF(MOD(AH348+0.5,10)&gt;=7,"+",IF(MOD(AH348+0.5,10)&lt;3,"-",""))),"")</f>
        <v/>
      </c>
      <c r="AK348" s="31" t="b">
        <f>IF(A348&lt;&gt;"",OR(AI348&lt;&gt;AC348,AJ348&lt;&gt;AD348),"")</f>
        <v>0</v>
      </c>
      <c r="AL348" s="81">
        <f>IF(AND(A348&lt;&gt;"",U348&gt;0),SUM(U348,$AL$8)/$AL$2*100,"")</f>
        <v>95</v>
      </c>
      <c r="AM348" s="24">
        <f>IF(AND(A348&lt;&gt;"",V348&gt;0),SUM(V348,$AM$8)/$AM$2*100,"")</f>
        <v>101.33333333333334</v>
      </c>
      <c r="AN348" s="24" t="str">
        <f>IF(AND(A348&lt;&gt;"",P348&lt;&gt;0),SUM(P348,$AN$8)/$AN$2*100,"")</f>
        <v/>
      </c>
      <c r="AO348" s="24" t="str">
        <f>IF(AND(A348&lt;&gt;"",Q348&lt;&gt;0),SUM(Q348,$AO$8)/$AO$2*100,"")</f>
        <v/>
      </c>
      <c r="AP348" s="24">
        <f>IF(AND(A348&lt;&gt;"",R348&lt;&gt;0),SUM(R348,$AP$8)/$AP$2*100,"")</f>
        <v>97.002659574468083</v>
      </c>
      <c r="AQ348" s="24" t="str">
        <f>IF(AND(A348&lt;&gt;"",W348&gt;0),SUM(W348,$AQ$8)/$AQ$2*100,"")</f>
        <v/>
      </c>
      <c r="AR348" s="24">
        <f>IF(AND(A348&lt;&gt;"",T348&gt;0),SUM(T348,$AR$8)/$AR$2*100,"")</f>
        <v>91.363804247460763</v>
      </c>
      <c r="AS348" s="24">
        <f>IF(AND(A348&lt;&gt;"",X348&lt;&gt;0),SUM(X348,$AS$8)/$AS$2*100,"")</f>
        <v>93.619346378263685</v>
      </c>
      <c r="AT348" s="86">
        <f>IF(A348&lt;&gt;"",SUM(W348:X348,$AT$8)/$AT$2*100,"")</f>
        <v>93.619346378263685</v>
      </c>
      <c r="AU348" s="24">
        <f>AA348</f>
        <v>96.509673189131846</v>
      </c>
      <c r="AV348" s="24"/>
      <c r="AW348" s="27">
        <f>IF(A348&lt;&gt;"",AE348-AA348,"")</f>
        <v>-2.8903268108681601</v>
      </c>
      <c r="AY348" s="27">
        <f>AR348-AP348</f>
        <v>-5.6388553270073203</v>
      </c>
      <c r="AZ348" s="27">
        <f>ABS(AY348)</f>
        <v>5.6388553270073203</v>
      </c>
    </row>
    <row r="349" spans="1:52" s="27" customFormat="1" ht="12.75" customHeight="1" x14ac:dyDescent="0.2">
      <c r="A349" s="10">
        <v>918718</v>
      </c>
      <c r="B349" s="2">
        <v>5</v>
      </c>
      <c r="C349" s="10">
        <v>20</v>
      </c>
      <c r="D349" s="10">
        <v>21</v>
      </c>
      <c r="E349" s="10">
        <v>19</v>
      </c>
      <c r="F349" s="10">
        <v>25</v>
      </c>
      <c r="G349" s="10">
        <v>25</v>
      </c>
      <c r="H349" s="10">
        <v>12</v>
      </c>
      <c r="I349" s="10">
        <v>23</v>
      </c>
      <c r="J349" s="2"/>
      <c r="K349" s="10">
        <v>38</v>
      </c>
      <c r="L349" s="10">
        <v>12</v>
      </c>
      <c r="M349" s="10">
        <v>49</v>
      </c>
      <c r="N349" s="10">
        <v>50</v>
      </c>
      <c r="O349" s="11" t="s">
        <v>69</v>
      </c>
      <c r="P349" s="40"/>
      <c r="Q349" s="40"/>
      <c r="R349" s="2">
        <v>70</v>
      </c>
      <c r="S349" s="10">
        <f>IF(T349="",R349,MAX((R349+$R$8)/$R$2,(T349+$T$8)/$T$2)*$R$2-$R$8)</f>
        <v>70</v>
      </c>
      <c r="T349" s="12" t="s">
        <v>69</v>
      </c>
      <c r="U349" s="1">
        <f>IF(A349&lt;&gt;"",SUM(B349:I349),"")</f>
        <v>150</v>
      </c>
      <c r="V349" s="10">
        <f>IF(A349&lt;&gt;"",SUM(J349:O349),"")</f>
        <v>149</v>
      </c>
      <c r="W349" s="10">
        <f>IF(A349&lt;&gt;"",SUM(P349:Q349),"")</f>
        <v>0</v>
      </c>
      <c r="X349" s="10">
        <f>IF(A349&lt;&gt;"",SUM(S349:T349),"")</f>
        <v>70</v>
      </c>
      <c r="Y349" s="12" t="s">
        <v>69</v>
      </c>
      <c r="Z349" s="12">
        <f>IF(A349&lt;&gt;"",SUM(U349:Y349),"")</f>
        <v>369</v>
      </c>
      <c r="AA349" s="27">
        <f>IF(A349&lt;&gt;"",(Z349+Normalize_To_Add)/(Point_Total_So_Far)*100,"")</f>
        <v>44.409673189131844</v>
      </c>
      <c r="AB349" s="10">
        <f>IF(A349&lt;&gt;"",RANK(AA349,All_Student_XC),"")</f>
        <v>361</v>
      </c>
      <c r="AC349" s="31" t="str">
        <f>IF(A349&lt;&gt;"",CHOOSE(10-MIN(9,TRUNC((AA349+0.5)/10)),"A","B","C","D","F","F","F","F","F","F"),"")</f>
        <v>F</v>
      </c>
      <c r="AD349" s="31" t="str">
        <f>IF(A349&lt;&gt;"",IF(OR(AA349+0.5&gt;=93,AA349+0.5&lt;60),"",IF(MOD(AA349+0.5,10)&gt;=7,"+",IF(MOD(AA349+0.5,10)&lt;3,"-",""))),"")</f>
        <v/>
      </c>
      <c r="AE349" s="31">
        <f>IF(A349&lt;&gt;"",SUM(W349:X349,$W$8:$X$8)/SUM($W$2:$X$2)*100,"")</f>
        <v>29.019346378263684</v>
      </c>
      <c r="AF349" s="31" t="str">
        <f>IF(A349&lt;&gt;"",CHOOSE(10-MIN(9,TRUNC((AE349+0.5)/10)),"A","B","C","D","F","F","F","F","F","F"),"")</f>
        <v>F</v>
      </c>
      <c r="AG349" s="31" t="str">
        <f>IF(A349&lt;&gt;"",IF(OR(AE349+0.5&gt;=93,AE349+0.5&lt;60),"",IF(MOD(AE349+0.5,10)&gt;=7,"+",IF(MOD(AE349+0.5,10)&lt;3,"-",""))),"")</f>
        <v/>
      </c>
      <c r="AH349" s="35">
        <f>IF(A349&lt;&gt;"",MIN(MAX(AA349,AE349),AA349+$AH$8,AE349+$AH$8),"")</f>
        <v>44.409673189131844</v>
      </c>
      <c r="AI349" s="31" t="str">
        <f>IF(A349&lt;&gt;"",CHOOSE(10-MIN(9,TRUNC((AH349+0.5)/10)),"A","B","C","D","F","F","F","F","F","F"),"")</f>
        <v>F</v>
      </c>
      <c r="AJ349" s="31" t="str">
        <f>IF(A349&lt;&gt;"",IF(OR(AH349+0.5&gt;=93,AH349+0.5&lt;60),"",IF(MOD(AH349+0.5,10)&gt;=7,"+",IF(MOD(AH349+0.5,10)&lt;3,"-",""))),"")</f>
        <v/>
      </c>
      <c r="AK349" s="31" t="b">
        <f>IF(A349&lt;&gt;"",OR(AI349&lt;&gt;AC349,AJ349&lt;&gt;AD349),"")</f>
        <v>0</v>
      </c>
      <c r="AL349" s="81">
        <f>IF(AND(A349&lt;&gt;"",U349&gt;0),SUM(U349,$AL$8)/$AL$2*100,"")</f>
        <v>75</v>
      </c>
      <c r="AM349" s="24">
        <f>IF(AND(A349&lt;&gt;"",V349&gt;0),SUM(V349,$AM$8)/$AM$2*100,"")</f>
        <v>49.666666666666664</v>
      </c>
      <c r="AN349" s="24" t="str">
        <f>IF(AND(A349&lt;&gt;"",P349&lt;&gt;0),SUM(P349,$AN$8)/$AN$2*100,"")</f>
        <v/>
      </c>
      <c r="AO349" s="24" t="str">
        <f>IF(AND(A349&lt;&gt;"",Q349&lt;&gt;0),SUM(Q349,$AO$8)/$AO$2*100,"")</f>
        <v/>
      </c>
      <c r="AP349" s="24">
        <f>IF(AND(A349&lt;&gt;"",R349&lt;&gt;0),SUM(R349,$AP$8)/$AP$2*100,"")</f>
        <v>49.502659574468083</v>
      </c>
      <c r="AQ349" s="24" t="str">
        <f>IF(AND(A349&lt;&gt;"",W349&gt;0),SUM(W349,$AQ$8)/$AQ$2*100,"")</f>
        <v/>
      </c>
      <c r="AR349" s="24">
        <f>IF(AND(A349&lt;&gt;"",T349&gt;0),SUM(T349,$AR$8)/$AR$2*100,"")</f>
        <v>15.363804247460756</v>
      </c>
      <c r="AS349" s="24">
        <f>IF(AND(A349&lt;&gt;"",X349&lt;&gt;0),SUM(X349,$AS$8)/$AS$2*100,"")</f>
        <v>29.019346378263684</v>
      </c>
      <c r="AT349" s="86">
        <f>IF(A349&lt;&gt;"",SUM(W349:X349,$AT$8)/$AT$2*100,"")</f>
        <v>29.019346378263684</v>
      </c>
      <c r="AU349" s="24">
        <f>AA349</f>
        <v>44.409673189131844</v>
      </c>
      <c r="AV349" s="24"/>
      <c r="AW349" s="27">
        <f>IF(A349&lt;&gt;"",AE349-AA349,"")</f>
        <v>-15.39032681086816</v>
      </c>
      <c r="AY349" s="27">
        <f>AR349-AP349</f>
        <v>-34.138855327007327</v>
      </c>
      <c r="AZ349" s="27">
        <f>ABS(AY349)</f>
        <v>34.138855327007327</v>
      </c>
    </row>
    <row r="350" spans="1:52" s="27" customFormat="1" ht="12.75" customHeight="1" x14ac:dyDescent="0.2">
      <c r="A350" s="10">
        <v>924728</v>
      </c>
      <c r="B350" s="2">
        <v>25</v>
      </c>
      <c r="C350" s="10">
        <v>25</v>
      </c>
      <c r="D350" s="10">
        <v>24</v>
      </c>
      <c r="E350" s="10">
        <v>17</v>
      </c>
      <c r="F350" s="10">
        <v>16</v>
      </c>
      <c r="G350" s="10">
        <v>25</v>
      </c>
      <c r="H350" s="10">
        <v>23</v>
      </c>
      <c r="I350" s="10">
        <v>25</v>
      </c>
      <c r="J350" s="2"/>
      <c r="K350" s="10">
        <v>54</v>
      </c>
      <c r="L350" s="10">
        <v>39</v>
      </c>
      <c r="M350" s="10">
        <v>51</v>
      </c>
      <c r="N350" s="51">
        <v>38</v>
      </c>
      <c r="O350" s="11">
        <v>60</v>
      </c>
      <c r="P350" s="10"/>
      <c r="Q350" s="40"/>
      <c r="R350" s="2">
        <v>141</v>
      </c>
      <c r="S350" s="10">
        <f>IF(T350="",R350,MAX((R350+$R$8)/$R$2,(T350+$T$8)/$T$2)*$R$2-$R$8)</f>
        <v>141</v>
      </c>
      <c r="T350" s="12">
        <v>160</v>
      </c>
      <c r="U350" s="68">
        <f>IF(A350&lt;&gt;"",SUM(B350:I350),"")</f>
        <v>180</v>
      </c>
      <c r="V350" s="10">
        <f>IF(A350&lt;&gt;"",SUM(J350:O350),"")</f>
        <v>242</v>
      </c>
      <c r="W350" s="10">
        <f>IF(A350&lt;&gt;"",SUM(P350:Q350),"")</f>
        <v>0</v>
      </c>
      <c r="X350" s="10">
        <f>IF(A350&lt;&gt;"",SUM(S350:T350),"")</f>
        <v>301</v>
      </c>
      <c r="Y350" s="12">
        <v>3</v>
      </c>
      <c r="Z350" s="12">
        <f>IF(A350&lt;&gt;"",SUM(U350:Y350),"")</f>
        <v>726</v>
      </c>
      <c r="AA350" s="27">
        <f>IF(A350&lt;&gt;"",(Z350+Normalize_To_Add)/(Point_Total_So_Far)*100,"")</f>
        <v>80.109673189131854</v>
      </c>
      <c r="AB350" s="10">
        <f>IF(A350&lt;&gt;"",RANK(AA350,All_Student_XC),"")</f>
        <v>207</v>
      </c>
      <c r="AC350" s="31" t="str">
        <f>IF(A350&lt;&gt;"",CHOOSE(10-MIN(9,TRUNC((AA350+0.5)/10)),"A","B","C","D","F","F","F","F","F","F"),"")</f>
        <v>B</v>
      </c>
      <c r="AD350" s="31" t="str">
        <f>IF(A350&lt;&gt;"",IF(OR(AA350+0.5&gt;=93,AA350+0.5&lt;60),"",IF(MOD(AA350+0.5,10)&gt;=7,"+",IF(MOD(AA350+0.5,10)&lt;3,"-",""))),"")</f>
        <v>-</v>
      </c>
      <c r="AE350" s="31">
        <f>IF(A350&lt;&gt;"",SUM(W350:X350,$W$8:$X$8)/SUM($W$2:$X$2)*100,"")</f>
        <v>75.21934637826368</v>
      </c>
      <c r="AF350" s="31" t="str">
        <f>IF(A350&lt;&gt;"",CHOOSE(10-MIN(9,TRUNC((AE350+0.5)/10)),"A","B","C","D","F","F","F","F","F","F"),"")</f>
        <v>C</v>
      </c>
      <c r="AG350" s="31" t="str">
        <f>IF(A350&lt;&gt;"",IF(OR(AE350+0.5&gt;=93,AE350+0.5&lt;60),"",IF(MOD(AE350+0.5,10)&gt;=7,"+",IF(MOD(AE350+0.5,10)&lt;3,"-",""))),"")</f>
        <v/>
      </c>
      <c r="AH350" s="35">
        <f>IF(A350&lt;&gt;"",MIN(MAX(AA350,AE350),AA350+$AH$8,AE350+$AH$8),"")</f>
        <v>80.109673189131854</v>
      </c>
      <c r="AI350" s="31" t="str">
        <f>IF(A350&lt;&gt;"",CHOOSE(10-MIN(9,TRUNC((AH350+0.5)/10)),"A","B","C","D","F","F","F","F","F","F"),"")</f>
        <v>B</v>
      </c>
      <c r="AJ350" s="31" t="str">
        <f>IF(A350&lt;&gt;"",IF(OR(AH350+0.5&gt;=93,AH350+0.5&lt;60),"",IF(MOD(AH350+0.5,10)&gt;=7,"+",IF(MOD(AH350+0.5,10)&lt;3,"-",""))),"")</f>
        <v>-</v>
      </c>
      <c r="AK350" s="31" t="b">
        <f>IF(A350&lt;&gt;"",OR(AI350&lt;&gt;AC350,AJ350&lt;&gt;AD350),"")</f>
        <v>0</v>
      </c>
      <c r="AL350" s="81">
        <f>IF(AND(A350&lt;&gt;"",U350&gt;0),SUM(U350,$AL$8)/$AL$2*100,"")</f>
        <v>90</v>
      </c>
      <c r="AM350" s="24">
        <f>IF(AND(A350&lt;&gt;"",V350&gt;0),SUM(V350,$AM$8)/$AM$2*100,"")</f>
        <v>80.666666666666657</v>
      </c>
      <c r="AN350" s="24" t="str">
        <f>IF(AND(A350&lt;&gt;"",P350&lt;&gt;0),SUM(P350,$AN$8)/$AN$2*100,"")</f>
        <v/>
      </c>
      <c r="AO350" s="24" t="str">
        <f>IF(AND(A350&lt;&gt;"",Q350&lt;&gt;0),SUM(Q350,$AO$8)/$AO$2*100,"")</f>
        <v/>
      </c>
      <c r="AP350" s="24">
        <f>IF(AND(A350&lt;&gt;"",R350&lt;&gt;0),SUM(R350,$AP$8)/$AP$2*100,"")</f>
        <v>85.002659574468083</v>
      </c>
      <c r="AQ350" s="24" t="str">
        <f>IF(AND(A350&lt;&gt;"",W350&gt;0),SUM(W350,$AQ$8)/$AQ$2*100,"")</f>
        <v/>
      </c>
      <c r="AR350" s="24">
        <f>IF(AND(A350&lt;&gt;"",T350&gt;0),SUM(T350,$AR$8)/$AR$2*100,"")</f>
        <v>68.697137580794092</v>
      </c>
      <c r="AS350" s="24">
        <f>IF(AND(A350&lt;&gt;"",X350&lt;&gt;0),SUM(X350,$AS$8)/$AS$2*100,"")</f>
        <v>75.21934637826368</v>
      </c>
      <c r="AT350" s="86">
        <f>IF(A350&lt;&gt;"",SUM(W350:X350,$AT$8)/$AT$2*100,"")</f>
        <v>75.21934637826368</v>
      </c>
      <c r="AU350" s="24">
        <f>AA350</f>
        <v>80.109673189131854</v>
      </c>
      <c r="AV350" s="24"/>
      <c r="AW350" s="27">
        <f>IF(A350&lt;&gt;"",AE350-AA350,"")</f>
        <v>-4.8903268108681743</v>
      </c>
      <c r="AY350" s="27">
        <f>AR350-AP350</f>
        <v>-16.305521993673992</v>
      </c>
      <c r="AZ350" s="27">
        <f>ABS(AY350)</f>
        <v>16.305521993673992</v>
      </c>
    </row>
    <row r="351" spans="1:52" s="27" customFormat="1" ht="12.75" customHeight="1" x14ac:dyDescent="0.2">
      <c r="A351" s="50">
        <v>925640</v>
      </c>
      <c r="B351" s="2">
        <v>18</v>
      </c>
      <c r="C351" s="10">
        <v>16</v>
      </c>
      <c r="D351" s="10">
        <v>22</v>
      </c>
      <c r="E351" s="10" t="s">
        <v>69</v>
      </c>
      <c r="F351" s="10" t="s">
        <v>69</v>
      </c>
      <c r="G351" s="10" t="s">
        <v>69</v>
      </c>
      <c r="H351" s="10" t="s">
        <v>69</v>
      </c>
      <c r="I351" s="10" t="s">
        <v>69</v>
      </c>
      <c r="J351" s="2"/>
      <c r="K351" s="10">
        <v>42</v>
      </c>
      <c r="L351" s="10" t="s">
        <v>69</v>
      </c>
      <c r="M351" s="10" t="s">
        <v>69</v>
      </c>
      <c r="N351" s="51" t="s">
        <v>69</v>
      </c>
      <c r="O351" s="11" t="s">
        <v>69</v>
      </c>
      <c r="P351" s="10"/>
      <c r="Q351" s="40"/>
      <c r="R351" s="2" t="s">
        <v>69</v>
      </c>
      <c r="S351" s="10" t="str">
        <f>IF(T351="",R351,MAX((R351+$R$8)/$R$2,(T351+$T$8)/$T$2)*$R$2-$R$8)</f>
        <v/>
      </c>
      <c r="T351" s="12" t="s">
        <v>69</v>
      </c>
      <c r="U351" s="1">
        <f>IF(A351&lt;&gt;"",SUM(B351:I351),"")</f>
        <v>56</v>
      </c>
      <c r="V351" s="10">
        <f>IF(A351&lt;&gt;"",SUM(J351:O351),"")</f>
        <v>42</v>
      </c>
      <c r="W351" s="10">
        <f>IF(A351&lt;&gt;"",SUM(P351:Q351),"")</f>
        <v>0</v>
      </c>
      <c r="X351" s="10">
        <f>IF(A351&lt;&gt;"",SUM(S351:T351),"")</f>
        <v>0</v>
      </c>
      <c r="Y351" s="12" t="s">
        <v>69</v>
      </c>
      <c r="Z351" s="12">
        <f>IF(A351&lt;&gt;"",SUM(U351:Y351),"")</f>
        <v>98</v>
      </c>
      <c r="AA351" s="27">
        <f>IF(A351&lt;&gt;"",(Z351+Normalize_To_Add)/(Point_Total_So_Far)*100,"")</f>
        <v>17.309673189131843</v>
      </c>
      <c r="AB351" s="10">
        <f>IF(A351&lt;&gt;"",RANK(AA351,All_Student_XC),"")</f>
        <v>376</v>
      </c>
      <c r="AC351" s="31" t="str">
        <f>IF(A351&lt;&gt;"",CHOOSE(10-MIN(9,TRUNC((AA351+0.5)/10)),"A","B","C","D","F","F","F","F","F","F"),"")</f>
        <v>F</v>
      </c>
      <c r="AD351" s="31" t="str">
        <f>IF(A351&lt;&gt;"",IF(OR(AA351+0.5&gt;=93,AA351+0.5&lt;60),"",IF(MOD(AA351+0.5,10)&gt;=7,"+",IF(MOD(AA351+0.5,10)&lt;3,"-",""))),"")</f>
        <v/>
      </c>
      <c r="AE351" s="31">
        <f>IF(A351&lt;&gt;"",SUM(W351:X351,$W$8:$X$8)/SUM($W$2:$X$2)*100,"")</f>
        <v>15.019346378263684</v>
      </c>
      <c r="AF351" s="31" t="str">
        <f>IF(A351&lt;&gt;"",CHOOSE(10-MIN(9,TRUNC((AE351+0.5)/10)),"A","B","C","D","F","F","F","F","F","F"),"")</f>
        <v>F</v>
      </c>
      <c r="AG351" s="31" t="str">
        <f>IF(A351&lt;&gt;"",IF(OR(AE351+0.5&gt;=93,AE351+0.5&lt;60),"",IF(MOD(AE351+0.5,10)&gt;=7,"+",IF(MOD(AE351+0.5,10)&lt;3,"-",""))),"")</f>
        <v/>
      </c>
      <c r="AH351" s="35">
        <f>IF(A351&lt;&gt;"",MIN(MAX(AA351,AE351),AA351+$AH$8,AE351+$AH$8),"")</f>
        <v>17.309673189131843</v>
      </c>
      <c r="AI351" s="31" t="str">
        <f>IF(A351&lt;&gt;"",CHOOSE(10-MIN(9,TRUNC((AH351+0.5)/10)),"A","B","C","D","F","F","F","F","F","F"),"")</f>
        <v>F</v>
      </c>
      <c r="AJ351" s="31" t="str">
        <f>IF(A351&lt;&gt;"",IF(OR(AH351+0.5&gt;=93,AH351+0.5&lt;60),"",IF(MOD(AH351+0.5,10)&gt;=7,"+",IF(MOD(AH351+0.5,10)&lt;3,"-",""))),"")</f>
        <v/>
      </c>
      <c r="AK351" s="31" t="b">
        <f>IF(A351&lt;&gt;"",OR(AI351&lt;&gt;AC351,AJ351&lt;&gt;AD351),"")</f>
        <v>0</v>
      </c>
      <c r="AL351" s="81">
        <f>IF(AND(A351&lt;&gt;"",U351&gt;0),SUM(U351,$AL$8)/$AL$2*100,"")</f>
        <v>28.000000000000004</v>
      </c>
      <c r="AM351" s="24">
        <f>IF(AND(A351&lt;&gt;"",V351&gt;0),SUM(V351,$AM$8)/$AM$2*100,"")</f>
        <v>14.000000000000002</v>
      </c>
      <c r="AN351" s="24" t="str">
        <f>IF(AND(A351&lt;&gt;"",P351&lt;&gt;0),SUM(P351,$AN$8)/$AN$2*100,"")</f>
        <v/>
      </c>
      <c r="AO351" s="24" t="str">
        <f>IF(AND(A351&lt;&gt;"",Q351&lt;&gt;0),SUM(Q351,$AO$8)/$AO$2*100,"")</f>
        <v/>
      </c>
      <c r="AP351" s="24">
        <f>IF(AND(A351&lt;&gt;"",R351&lt;&gt;0),SUM(R351,$AP$8)/$AP$2*100,"")</f>
        <v>14.502659574468083</v>
      </c>
      <c r="AQ351" s="24" t="str">
        <f>IF(AND(A351&lt;&gt;"",W351&gt;0),SUM(W351,$AQ$8)/$AQ$2*100,"")</f>
        <v/>
      </c>
      <c r="AR351" s="24">
        <f>IF(AND(A351&lt;&gt;"",T351&gt;0),SUM(T351,$AR$8)/$AR$2*100,"")</f>
        <v>15.363804247460756</v>
      </c>
      <c r="AS351" s="24" t="str">
        <f>IF(AND(A351&lt;&gt;"",X351&lt;&gt;0),SUM(X351,$AS$8)/$AS$2*100,"")</f>
        <v/>
      </c>
      <c r="AT351" s="86">
        <f>IF(A351&lt;&gt;"",SUM(W351:X351,$AT$8)/$AT$2*100,"")</f>
        <v>15.019346378263684</v>
      </c>
      <c r="AU351" s="24">
        <f>AA351</f>
        <v>17.309673189131843</v>
      </c>
      <c r="AV351" s="24"/>
      <c r="AW351" s="27">
        <f>IF(A351&lt;&gt;"",AE351-AA351,"")</f>
        <v>-2.2903268108681587</v>
      </c>
      <c r="AY351" s="27">
        <f>AR351-AP351</f>
        <v>0.86114467299267261</v>
      </c>
      <c r="AZ351" s="27">
        <f>ABS(AY351)</f>
        <v>0.86114467299267261</v>
      </c>
    </row>
    <row r="352" spans="1:52" s="27" customFormat="1" ht="12.75" customHeight="1" x14ac:dyDescent="0.2">
      <c r="A352" s="10">
        <v>926234</v>
      </c>
      <c r="B352" s="2">
        <v>24</v>
      </c>
      <c r="C352" s="10">
        <v>21</v>
      </c>
      <c r="D352" s="10">
        <v>23</v>
      </c>
      <c r="E352" s="10">
        <v>25</v>
      </c>
      <c r="F352" s="10">
        <v>19</v>
      </c>
      <c r="G352" s="10">
        <v>25</v>
      </c>
      <c r="H352" s="10">
        <v>25</v>
      </c>
      <c r="I352" s="10">
        <v>25</v>
      </c>
      <c r="J352" s="2"/>
      <c r="K352" s="10">
        <v>62</v>
      </c>
      <c r="L352" s="10">
        <v>60</v>
      </c>
      <c r="M352" s="10">
        <v>60</v>
      </c>
      <c r="N352" s="51">
        <v>59</v>
      </c>
      <c r="O352" s="11">
        <v>62</v>
      </c>
      <c r="P352" s="10"/>
      <c r="Q352" s="40"/>
      <c r="R352" s="2">
        <v>157</v>
      </c>
      <c r="S352" s="10">
        <f>IF(T352="",R352,MAX((R352+$R$8)/$R$2,(T352+$T$8)/$T$2)*$R$2-$R$8)</f>
        <v>157</v>
      </c>
      <c r="T352" s="12">
        <v>208</v>
      </c>
      <c r="U352" s="68">
        <f>IF(A352&lt;&gt;"",SUM(B352:I352),"")</f>
        <v>187</v>
      </c>
      <c r="V352" s="10">
        <f>IF(A352&lt;&gt;"",SUM(J352:O352),"")</f>
        <v>303</v>
      </c>
      <c r="W352" s="10">
        <f>IF(A352&lt;&gt;"",SUM(P352:Q352),"")</f>
        <v>0</v>
      </c>
      <c r="X352" s="10">
        <f>IF(A352&lt;&gt;"",SUM(S352:T352),"")</f>
        <v>365</v>
      </c>
      <c r="Y352" s="12">
        <v>3</v>
      </c>
      <c r="Z352" s="12">
        <f>IF(A352&lt;&gt;"",SUM(U352:Y352),"")</f>
        <v>858</v>
      </c>
      <c r="AA352" s="27">
        <f>IF(A352&lt;&gt;"",(Z352+Normalize_To_Add)/(Point_Total_So_Far)*100,"")</f>
        <v>93.309673189131843</v>
      </c>
      <c r="AB352" s="10">
        <f>IF(A352&lt;&gt;"",RANK(AA352,All_Student_XC),"")</f>
        <v>48</v>
      </c>
      <c r="AC352" s="31" t="str">
        <f>IF(A352&lt;&gt;"",CHOOSE(10-MIN(9,TRUNC((AA352+0.5)/10)),"A","B","C","D","F","F","F","F","F","F"),"")</f>
        <v>A</v>
      </c>
      <c r="AD352" s="31" t="str">
        <f>IF(A352&lt;&gt;"",IF(OR(AA352+0.5&gt;=93,AA352+0.5&lt;60),"",IF(MOD(AA352+0.5,10)&gt;=7,"+",IF(MOD(AA352+0.5,10)&lt;3,"-",""))),"")</f>
        <v/>
      </c>
      <c r="AE352" s="31">
        <f>IF(A352&lt;&gt;"",SUM(W352:X352,$W$8:$X$8)/SUM($W$2:$X$2)*100,"")</f>
        <v>88.019346378263691</v>
      </c>
      <c r="AF352" s="31" t="str">
        <f>IF(A352&lt;&gt;"",CHOOSE(10-MIN(9,TRUNC((AE352+0.5)/10)),"A","B","C","D","F","F","F","F","F","F"),"")</f>
        <v>B</v>
      </c>
      <c r="AG352" s="31" t="str">
        <f>IF(A352&lt;&gt;"",IF(OR(AE352+0.5&gt;=93,AE352+0.5&lt;60),"",IF(MOD(AE352+0.5,10)&gt;=7,"+",IF(MOD(AE352+0.5,10)&lt;3,"-",""))),"")</f>
        <v>+</v>
      </c>
      <c r="AH352" s="35">
        <f>IF(A352&lt;&gt;"",MIN(MAX(AA352,AE352),AA352+$AH$8,AE352+$AH$8),"")</f>
        <v>93.309673189131843</v>
      </c>
      <c r="AI352" s="31" t="str">
        <f>IF(A352&lt;&gt;"",CHOOSE(10-MIN(9,TRUNC((AH352+0.5)/10)),"A","B","C","D","F","F","F","F","F","F"),"")</f>
        <v>A</v>
      </c>
      <c r="AJ352" s="31" t="str">
        <f>IF(A352&lt;&gt;"",IF(OR(AH352+0.5&gt;=93,AH352+0.5&lt;60),"",IF(MOD(AH352+0.5,10)&gt;=7,"+",IF(MOD(AH352+0.5,10)&lt;3,"-",""))),"")</f>
        <v/>
      </c>
      <c r="AK352" s="31" t="b">
        <f>IF(A352&lt;&gt;"",OR(AI352&lt;&gt;AC352,AJ352&lt;&gt;AD352),"")</f>
        <v>0</v>
      </c>
      <c r="AL352" s="81">
        <f>IF(AND(A352&lt;&gt;"",U352&gt;0),SUM(U352,$AL$8)/$AL$2*100,"")</f>
        <v>93.5</v>
      </c>
      <c r="AM352" s="24">
        <f>IF(AND(A352&lt;&gt;"",V352&gt;0),SUM(V352,$AM$8)/$AM$2*100,"")</f>
        <v>101</v>
      </c>
      <c r="AN352" s="24" t="str">
        <f>IF(AND(A352&lt;&gt;"",P352&lt;&gt;0),SUM(P352,$AN$8)/$AN$2*100,"")</f>
        <v/>
      </c>
      <c r="AO352" s="24" t="str">
        <f>IF(AND(A352&lt;&gt;"",Q352&lt;&gt;0),SUM(Q352,$AO$8)/$AO$2*100,"")</f>
        <v/>
      </c>
      <c r="AP352" s="24">
        <f>IF(AND(A352&lt;&gt;"",R352&lt;&gt;0),SUM(R352,$AP$8)/$AP$2*100,"")</f>
        <v>93.002659574468083</v>
      </c>
      <c r="AQ352" s="24" t="str">
        <f>IF(AND(A352&lt;&gt;"",W352&gt;0),SUM(W352,$AQ$8)/$AQ$2*100,"")</f>
        <v/>
      </c>
      <c r="AR352" s="24">
        <f>IF(AND(A352&lt;&gt;"",T352&gt;0),SUM(T352,$AR$8)/$AR$2*100,"")</f>
        <v>84.697137580794092</v>
      </c>
      <c r="AS352" s="24">
        <f>IF(AND(A352&lt;&gt;"",X352&lt;&gt;0),SUM(X352,$AS$8)/$AS$2*100,"")</f>
        <v>88.019346378263691</v>
      </c>
      <c r="AT352" s="86">
        <f>IF(A352&lt;&gt;"",SUM(W352:X352,$AT$8)/$AT$2*100,"")</f>
        <v>88.019346378263691</v>
      </c>
      <c r="AU352" s="24">
        <f>AA352</f>
        <v>93.309673189131843</v>
      </c>
      <c r="AV352" s="24"/>
      <c r="AW352" s="27">
        <f>IF(A352&lt;&gt;"",AE352-AA352,"")</f>
        <v>-5.2903268108681516</v>
      </c>
      <c r="AY352" s="27">
        <f>AR352-AP352</f>
        <v>-8.3055219936739917</v>
      </c>
      <c r="AZ352" s="27">
        <f>ABS(AY352)</f>
        <v>8.3055219936739917</v>
      </c>
    </row>
    <row r="353" spans="1:52" s="27" customFormat="1" ht="12.75" customHeight="1" x14ac:dyDescent="0.2">
      <c r="A353" s="50">
        <v>927300</v>
      </c>
      <c r="B353" s="2">
        <v>23</v>
      </c>
      <c r="C353" s="50">
        <v>24</v>
      </c>
      <c r="D353" s="10">
        <v>24</v>
      </c>
      <c r="E353" s="10">
        <v>20</v>
      </c>
      <c r="F353" s="10">
        <v>22</v>
      </c>
      <c r="G353" s="10">
        <v>25</v>
      </c>
      <c r="H353" s="10">
        <v>12</v>
      </c>
      <c r="I353" s="10">
        <v>21</v>
      </c>
      <c r="J353" s="2"/>
      <c r="K353" s="10">
        <v>53</v>
      </c>
      <c r="L353" s="10">
        <v>61</v>
      </c>
      <c r="M353" s="10">
        <v>56</v>
      </c>
      <c r="N353" s="51">
        <v>52</v>
      </c>
      <c r="O353" s="11">
        <v>61</v>
      </c>
      <c r="P353" s="10"/>
      <c r="Q353" s="40"/>
      <c r="R353" s="2">
        <v>158</v>
      </c>
      <c r="S353" s="10">
        <f>IF(T353="",R353,MAX((R353+$R$8)/$R$2,(T353+$T$8)/$T$2)*$R$2-$R$8)</f>
        <v>158</v>
      </c>
      <c r="T353" s="62">
        <v>206</v>
      </c>
      <c r="U353" s="2">
        <f>IF(A353&lt;&gt;"",SUM(B353:I353),"")</f>
        <v>171</v>
      </c>
      <c r="V353" s="10">
        <f>IF(A353&lt;&gt;"",SUM(J353:O353),"")</f>
        <v>283</v>
      </c>
      <c r="W353" s="10">
        <f>IF(A353&lt;&gt;"",SUM(P353:Q353),"")</f>
        <v>0</v>
      </c>
      <c r="X353" s="10">
        <f>IF(A353&lt;&gt;"",SUM(S353:T353),"")</f>
        <v>364</v>
      </c>
      <c r="Y353" s="12">
        <v>3</v>
      </c>
      <c r="Z353" s="12">
        <f>IF(A353&lt;&gt;"",SUM(U353:Y353),"")</f>
        <v>821</v>
      </c>
      <c r="AA353" s="27">
        <f>IF(A353&lt;&gt;"",(Z353+Normalize_To_Add)/(Point_Total_So_Far)*100,"")</f>
        <v>89.60967318913184</v>
      </c>
      <c r="AB353" s="10">
        <f>IF(A353&lt;&gt;"",RANK(AA353,All_Student_XC),"")</f>
        <v>82</v>
      </c>
      <c r="AC353" s="31" t="str">
        <f>IF(A353&lt;&gt;"",CHOOSE(10-MIN(9,TRUNC((AA353+0.5)/10)),"A","B","C","D","F","F","F","F","F","F"),"")</f>
        <v>A</v>
      </c>
      <c r="AD353" s="31" t="str">
        <f>IF(A353&lt;&gt;"",IF(OR(AA353+0.5&gt;=93,AA353+0.5&lt;60),"",IF(MOD(AA353+0.5,10)&gt;=7,"+",IF(MOD(AA353+0.5,10)&lt;3,"-",""))),"")</f>
        <v>-</v>
      </c>
      <c r="AE353" s="31">
        <f>IF(A353&lt;&gt;"",SUM(W353:X353,$W$8:$X$8)/SUM($W$2:$X$2)*100,"")</f>
        <v>87.819346378263688</v>
      </c>
      <c r="AF353" s="43" t="str">
        <f>IF(A353&lt;&gt;"",CHOOSE(10-MIN(9,TRUNC((AE353+0.5)/10)),"A","B","C","D","F","F","F","F","F","F"),"")</f>
        <v>B</v>
      </c>
      <c r="AG353" s="43" t="str">
        <f>IF(A353&lt;&gt;"",IF(OR(AE353+0.5&gt;=93,AE353+0.5&lt;60),"",IF(MOD(AE353+0.5,10)&gt;=7,"+",IF(MOD(AE353+0.5,10)&lt;3,"-",""))),"")</f>
        <v>+</v>
      </c>
      <c r="AH353" s="35">
        <f>IF(A353&lt;&gt;"",MIN(MAX(AA353,AE353),AA353+$AH$8,AE353+$AH$8),"")</f>
        <v>89.60967318913184</v>
      </c>
      <c r="AI353" s="31" t="str">
        <f>IF(A353&lt;&gt;"",CHOOSE(10-MIN(9,TRUNC((AH353+0.5)/10)),"A","B","C","D","F","F","F","F","F","F"),"")</f>
        <v>A</v>
      </c>
      <c r="AJ353" s="31" t="str">
        <f>IF(A353&lt;&gt;"",IF(OR(AH353+0.5&gt;=93,AH353+0.5&lt;60),"",IF(MOD(AH353+0.5,10)&gt;=7,"+",IF(MOD(AH353+0.5,10)&lt;3,"-",""))),"")</f>
        <v>-</v>
      </c>
      <c r="AK353" s="31" t="b">
        <f>IF(A353&lt;&gt;"",OR(AI353&lt;&gt;AC353,AJ353&lt;&gt;AD353),"")</f>
        <v>0</v>
      </c>
      <c r="AL353" s="81">
        <f>IF(AND(A353&lt;&gt;"",U353&gt;0),SUM(U353,$AL$8)/$AL$2*100,"")</f>
        <v>85.5</v>
      </c>
      <c r="AM353" s="24">
        <f>IF(AND(A353&lt;&gt;"",V353&gt;0),SUM(V353,$AM$8)/$AM$2*100,"")</f>
        <v>94.333333333333343</v>
      </c>
      <c r="AN353" s="24" t="str">
        <f>IF(AND(A353&lt;&gt;"",P353&lt;&gt;0),SUM(P353,$AN$8)/$AN$2*100,"")</f>
        <v/>
      </c>
      <c r="AO353" s="24" t="str">
        <f>IF(AND(A353&lt;&gt;"",Q353&lt;&gt;0),SUM(Q353,$AO$8)/$AO$2*100,"")</f>
        <v/>
      </c>
      <c r="AP353" s="24">
        <f>IF(AND(A353&lt;&gt;"",R353&lt;&gt;0),SUM(R353,$AP$8)/$AP$2*100,"")</f>
        <v>93.502659574468083</v>
      </c>
      <c r="AQ353" s="24" t="str">
        <f>IF(AND(A353&lt;&gt;"",W353&gt;0),SUM(W353,$AQ$8)/$AQ$2*100,"")</f>
        <v/>
      </c>
      <c r="AR353" s="24">
        <f>IF(AND(A353&lt;&gt;"",T353&gt;0),SUM(T353,$AR$8)/$AR$2*100,"")</f>
        <v>84.03047091412742</v>
      </c>
      <c r="AS353" s="24">
        <f>IF(AND(A353&lt;&gt;"",X353&lt;&gt;0),SUM(X353,$AS$8)/$AS$2*100,"")</f>
        <v>87.819346378263688</v>
      </c>
      <c r="AT353" s="86">
        <f>IF(A353&lt;&gt;"",SUM(W353:X353,$AT$8)/$AT$2*100,"")</f>
        <v>87.819346378263688</v>
      </c>
      <c r="AU353" s="24">
        <f>AA353</f>
        <v>89.60967318913184</v>
      </c>
      <c r="AV353" s="24"/>
      <c r="AW353" s="27">
        <f>IF(A353&lt;&gt;"",AE353-AA353,"")</f>
        <v>-1.7903268108681516</v>
      </c>
      <c r="AY353" s="27">
        <f>AR353-AP353</f>
        <v>-9.4721886603406631</v>
      </c>
      <c r="AZ353" s="27">
        <f>ABS(AY353)</f>
        <v>9.4721886603406631</v>
      </c>
    </row>
    <row r="354" spans="1:52" s="27" customFormat="1" ht="12.75" customHeight="1" x14ac:dyDescent="0.2">
      <c r="A354" s="10">
        <v>930142</v>
      </c>
      <c r="B354" s="2">
        <v>25</v>
      </c>
      <c r="C354" s="10">
        <v>21</v>
      </c>
      <c r="D354" s="10">
        <v>23</v>
      </c>
      <c r="E354" s="10">
        <v>25</v>
      </c>
      <c r="F354" s="10">
        <v>20</v>
      </c>
      <c r="G354" s="10">
        <v>25</v>
      </c>
      <c r="H354" s="10">
        <v>14</v>
      </c>
      <c r="I354" s="10">
        <v>23</v>
      </c>
      <c r="J354" s="2"/>
      <c r="K354" s="10">
        <v>61</v>
      </c>
      <c r="L354" s="10">
        <v>60</v>
      </c>
      <c r="M354" s="10">
        <v>52</v>
      </c>
      <c r="N354" s="51">
        <v>15</v>
      </c>
      <c r="O354" s="11">
        <v>60</v>
      </c>
      <c r="P354" s="10"/>
      <c r="Q354" s="40"/>
      <c r="R354" s="2">
        <v>117</v>
      </c>
      <c r="S354" s="10">
        <f>IF(T354="",R354,MAX((R354+$R$8)/$R$2,(T354+$T$8)/$T$2)*$R$2-$R$8)</f>
        <v>117.05562267931867</v>
      </c>
      <c r="T354" s="12">
        <v>173</v>
      </c>
      <c r="U354" s="68">
        <f>IF(A354&lt;&gt;"",SUM(B354:I354),"")</f>
        <v>176</v>
      </c>
      <c r="V354" s="10">
        <f>IF(A354&lt;&gt;"",SUM(J354:O354),"")</f>
        <v>248</v>
      </c>
      <c r="W354" s="10">
        <f>IF(A354&lt;&gt;"",SUM(P354:Q354),"")</f>
        <v>0</v>
      </c>
      <c r="X354" s="10">
        <f>IF(A354&lt;&gt;"",SUM(S354:T354),"")</f>
        <v>290.05562267931867</v>
      </c>
      <c r="Y354" s="12">
        <v>3</v>
      </c>
      <c r="Z354" s="12">
        <f>IF(A354&lt;&gt;"",SUM(U354:Y354),"")</f>
        <v>717.05562267931873</v>
      </c>
      <c r="AA354" s="27">
        <f>IF(A354&lt;&gt;"",(Z354+Normalize_To_Add)/(Point_Total_So_Far)*100,"")</f>
        <v>79.215235457063713</v>
      </c>
      <c r="AB354" s="10">
        <f>IF(A354&lt;&gt;"",RANK(AA354,All_Student_XC),"")</f>
        <v>218</v>
      </c>
      <c r="AC354" s="31" t="str">
        <f>IF(A354&lt;&gt;"",CHOOSE(10-MIN(9,TRUNC((AA354+0.5)/10)),"A","B","C","D","F","F","F","F","F","F"),"")</f>
        <v>C</v>
      </c>
      <c r="AD354" s="31" t="str">
        <f>IF(A354&lt;&gt;"",IF(OR(AA354+0.5&gt;=93,AA354+0.5&lt;60),"",IF(MOD(AA354+0.5,10)&gt;=7,"+",IF(MOD(AA354+0.5,10)&lt;3,"-",""))),"")</f>
        <v>+</v>
      </c>
      <c r="AE354" s="31">
        <f>IF(A354&lt;&gt;"",SUM(W354:X354,$W$8:$X$8)/SUM($W$2:$X$2)*100,"")</f>
        <v>73.03047091412742</v>
      </c>
      <c r="AF354" s="31" t="str">
        <f>IF(A354&lt;&gt;"",CHOOSE(10-MIN(9,TRUNC((AE354+0.5)/10)),"A","B","C","D","F","F","F","F","F","F"),"")</f>
        <v>C</v>
      </c>
      <c r="AG354" s="31" t="str">
        <f>IF(A354&lt;&gt;"",IF(OR(AE354+0.5&gt;=93,AE354+0.5&lt;60),"",IF(MOD(AE354+0.5,10)&gt;=7,"+",IF(MOD(AE354+0.5,10)&lt;3,"-",""))),"")</f>
        <v/>
      </c>
      <c r="AH354" s="35">
        <f>IF(A354&lt;&gt;"",MIN(MAX(AA354,AE354),AA354+$AH$8,AE354+$AH$8),"")</f>
        <v>79.215235457063713</v>
      </c>
      <c r="AI354" s="31" t="str">
        <f>IF(A354&lt;&gt;"",CHOOSE(10-MIN(9,TRUNC((AH354+0.5)/10)),"A","B","C","D","F","F","F","F","F","F"),"")</f>
        <v>C</v>
      </c>
      <c r="AJ354" s="31" t="str">
        <f>IF(A354&lt;&gt;"",IF(OR(AH354+0.5&gt;=93,AH354+0.5&lt;60),"",IF(MOD(AH354+0.5,10)&gt;=7,"+",IF(MOD(AH354+0.5,10)&lt;3,"-",""))),"")</f>
        <v>+</v>
      </c>
      <c r="AK354" s="31" t="b">
        <f>IF(A354&lt;&gt;"",OR(AI354&lt;&gt;AC354,AJ354&lt;&gt;AD354),"")</f>
        <v>0</v>
      </c>
      <c r="AL354" s="81">
        <f>IF(AND(A354&lt;&gt;"",U354&gt;0),SUM(U354,$AL$8)/$AL$2*100,"")</f>
        <v>88</v>
      </c>
      <c r="AM354" s="24">
        <f>IF(AND(A354&lt;&gt;"",V354&gt;0),SUM(V354,$AM$8)/$AM$2*100,"")</f>
        <v>82.666666666666671</v>
      </c>
      <c r="AN354" s="24" t="str">
        <f>IF(AND(A354&lt;&gt;"",P354&lt;&gt;0),SUM(P354,$AN$8)/$AN$2*100,"")</f>
        <v/>
      </c>
      <c r="AO354" s="24" t="str">
        <f>IF(AND(A354&lt;&gt;"",Q354&lt;&gt;0),SUM(Q354,$AO$8)/$AO$2*100,"")</f>
        <v/>
      </c>
      <c r="AP354" s="24">
        <f>IF(AND(A354&lt;&gt;"",R354&lt;&gt;0),SUM(R354,$AP$8)/$AP$2*100,"")</f>
        <v>73.002659574468083</v>
      </c>
      <c r="AQ354" s="24" t="str">
        <f>IF(AND(A354&lt;&gt;"",W354&gt;0),SUM(W354,$AQ$8)/$AQ$2*100,"")</f>
        <v/>
      </c>
      <c r="AR354" s="24">
        <f>IF(AND(A354&lt;&gt;"",T354&gt;0),SUM(T354,$AR$8)/$AR$2*100,"")</f>
        <v>73.03047091412742</v>
      </c>
      <c r="AS354" s="24">
        <f>IF(AND(A354&lt;&gt;"",X354&lt;&gt;0),SUM(X354,$AS$8)/$AS$2*100,"")</f>
        <v>73.03047091412742</v>
      </c>
      <c r="AT354" s="86">
        <f>IF(A354&lt;&gt;"",SUM(W354:X354,$AT$8)/$AT$2*100,"")</f>
        <v>73.03047091412742</v>
      </c>
      <c r="AU354" s="24">
        <f>AA354</f>
        <v>79.215235457063713</v>
      </c>
      <c r="AV354" s="24"/>
      <c r="AW354" s="27">
        <f>IF(A354&lt;&gt;"",AE354-AA354,"")</f>
        <v>-6.1847645429362927</v>
      </c>
      <c r="AY354" s="27">
        <f>AR354-AP354</f>
        <v>2.7811339659336909E-2</v>
      </c>
      <c r="AZ354" s="27">
        <f>ABS(AY354)</f>
        <v>2.7811339659336909E-2</v>
      </c>
    </row>
    <row r="355" spans="1:52" s="27" customFormat="1" ht="12.75" customHeight="1" x14ac:dyDescent="0.2">
      <c r="A355" s="50">
        <v>930644</v>
      </c>
      <c r="B355" s="2">
        <v>23</v>
      </c>
      <c r="C355" s="50">
        <v>24</v>
      </c>
      <c r="D355" s="10">
        <v>24</v>
      </c>
      <c r="E355" s="10">
        <v>19</v>
      </c>
      <c r="F355" s="10">
        <v>5</v>
      </c>
      <c r="G355" s="10">
        <v>25</v>
      </c>
      <c r="H355" s="10">
        <v>14</v>
      </c>
      <c r="I355" s="10">
        <v>25</v>
      </c>
      <c r="J355" s="2"/>
      <c r="K355" s="10">
        <v>58</v>
      </c>
      <c r="L355" s="10">
        <v>55</v>
      </c>
      <c r="M355" s="10">
        <v>52</v>
      </c>
      <c r="N355" s="51">
        <v>36</v>
      </c>
      <c r="O355" s="11">
        <v>61</v>
      </c>
      <c r="P355" s="10"/>
      <c r="Q355" s="40"/>
      <c r="R355" s="2">
        <v>109</v>
      </c>
      <c r="S355" s="10">
        <f>IF(T355="",R355,MAX((R355+$R$8)/$R$2,(T355+$T$8)/$T$2)*$R$2-$R$8)</f>
        <v>119.72228934598533</v>
      </c>
      <c r="T355" s="62">
        <v>177</v>
      </c>
      <c r="U355" s="2">
        <f>IF(A355&lt;&gt;"",SUM(B355:I355),"")</f>
        <v>159</v>
      </c>
      <c r="V355" s="10">
        <f>IF(A355&lt;&gt;"",SUM(J355:O355),"")</f>
        <v>262</v>
      </c>
      <c r="W355" s="10">
        <f>IF(A355&lt;&gt;"",SUM(P355:Q355),"")</f>
        <v>0</v>
      </c>
      <c r="X355" s="10">
        <f>IF(A355&lt;&gt;"",SUM(S355:T355),"")</f>
        <v>296.72228934598536</v>
      </c>
      <c r="Y355" s="12">
        <v>3</v>
      </c>
      <c r="Z355" s="12">
        <f>IF(A355&lt;&gt;"",SUM(U355:Y355),"")</f>
        <v>720.72228934598536</v>
      </c>
      <c r="AA355" s="27">
        <f>IF(A355&lt;&gt;"",(Z355+Normalize_To_Add)/(Point_Total_So_Far)*100,"")</f>
        <v>79.581902123730373</v>
      </c>
      <c r="AB355" s="10">
        <f>IF(A355&lt;&gt;"",RANK(AA355,All_Student_XC),"")</f>
        <v>215</v>
      </c>
      <c r="AC355" s="31" t="str">
        <f>IF(A355&lt;&gt;"",CHOOSE(10-MIN(9,TRUNC((AA355+0.5)/10)),"A","B","C","D","F","F","F","F","F","F"),"")</f>
        <v>B</v>
      </c>
      <c r="AD355" s="31" t="str">
        <f>IF(A355&lt;&gt;"",IF(OR(AA355+0.5&gt;=93,AA355+0.5&lt;60),"",IF(MOD(AA355+0.5,10)&gt;=7,"+",IF(MOD(AA355+0.5,10)&lt;3,"-",""))),"")</f>
        <v>-</v>
      </c>
      <c r="AE355" s="31">
        <f>IF(A355&lt;&gt;"",SUM(W355:X355,$W$8:$X$8)/SUM($W$2:$X$2)*100,"")</f>
        <v>74.363804247460749</v>
      </c>
      <c r="AF355" s="43" t="str">
        <f>IF(A355&lt;&gt;"",CHOOSE(10-MIN(9,TRUNC((AE355+0.5)/10)),"A","B","C","D","F","F","F","F","F","F"),"")</f>
        <v>C</v>
      </c>
      <c r="AG355" s="43" t="str">
        <f>IF(A355&lt;&gt;"",IF(OR(AE355+0.5&gt;=93,AE355+0.5&lt;60),"",IF(MOD(AE355+0.5,10)&gt;=7,"+",IF(MOD(AE355+0.5,10)&lt;3,"-",""))),"")</f>
        <v/>
      </c>
      <c r="AH355" s="35">
        <f>IF(A355&lt;&gt;"",MIN(MAX(AA355,AE355),AA355+$AH$8,AE355+$AH$8),"")</f>
        <v>79.581902123730373</v>
      </c>
      <c r="AI355" s="31" t="str">
        <f>IF(A355&lt;&gt;"",CHOOSE(10-MIN(9,TRUNC((AH355+0.5)/10)),"A","B","C","D","F","F","F","F","F","F"),"")</f>
        <v>B</v>
      </c>
      <c r="AJ355" s="31" t="str">
        <f>IF(A355&lt;&gt;"",IF(OR(AH355+0.5&gt;=93,AH355+0.5&lt;60),"",IF(MOD(AH355+0.5,10)&gt;=7,"+",IF(MOD(AH355+0.5,10)&lt;3,"-",""))),"")</f>
        <v>-</v>
      </c>
      <c r="AK355" s="31" t="b">
        <f>IF(A355&lt;&gt;"",OR(AI355&lt;&gt;AC355,AJ355&lt;&gt;AD355),"")</f>
        <v>0</v>
      </c>
      <c r="AL355" s="81">
        <f>IF(AND(A355&lt;&gt;"",U355&gt;0),SUM(U355,$AL$8)/$AL$2*100,"")</f>
        <v>79.5</v>
      </c>
      <c r="AM355" s="24">
        <f>IF(AND(A355&lt;&gt;"",V355&gt;0),SUM(V355,$AM$8)/$AM$2*100,"")</f>
        <v>87.333333333333329</v>
      </c>
      <c r="AN355" s="24" t="str">
        <f>IF(AND(A355&lt;&gt;"",P355&lt;&gt;0),SUM(P355,$AN$8)/$AN$2*100,"")</f>
        <v/>
      </c>
      <c r="AO355" s="24" t="str">
        <f>IF(AND(A355&lt;&gt;"",Q355&lt;&gt;0),SUM(Q355,$AO$8)/$AO$2*100,"")</f>
        <v/>
      </c>
      <c r="AP355" s="24">
        <f>IF(AND(A355&lt;&gt;"",R355&lt;&gt;0),SUM(R355,$AP$8)/$AP$2*100,"")</f>
        <v>69.002659574468083</v>
      </c>
      <c r="AQ355" s="24" t="str">
        <f>IF(AND(A355&lt;&gt;"",W355&gt;0),SUM(W355,$AQ$8)/$AQ$2*100,"")</f>
        <v/>
      </c>
      <c r="AR355" s="24">
        <f>IF(AND(A355&lt;&gt;"",T355&gt;0),SUM(T355,$AR$8)/$AR$2*100,"")</f>
        <v>74.363804247460749</v>
      </c>
      <c r="AS355" s="24">
        <f>IF(AND(A355&lt;&gt;"",X355&lt;&gt;0),SUM(X355,$AS$8)/$AS$2*100,"")</f>
        <v>74.363804247460749</v>
      </c>
      <c r="AT355" s="86">
        <f>IF(A355&lt;&gt;"",SUM(W355:X355,$AT$8)/$AT$2*100,"")</f>
        <v>74.363804247460749</v>
      </c>
      <c r="AU355" s="24">
        <f>AA355</f>
        <v>79.581902123730373</v>
      </c>
      <c r="AV355" s="24"/>
      <c r="AW355" s="27">
        <f>IF(A355&lt;&gt;"",AE355-AA355,"")</f>
        <v>-5.2180978762696242</v>
      </c>
      <c r="AY355" s="27">
        <f>AR355-AP355</f>
        <v>5.3611446729926655</v>
      </c>
      <c r="AZ355" s="27">
        <f>ABS(AY355)</f>
        <v>5.3611446729926655</v>
      </c>
    </row>
    <row r="356" spans="1:52" s="27" customFormat="1" ht="12.75" customHeight="1" x14ac:dyDescent="0.2">
      <c r="A356" s="10">
        <v>931388</v>
      </c>
      <c r="B356" s="2">
        <v>25</v>
      </c>
      <c r="C356" s="10">
        <v>22</v>
      </c>
      <c r="D356" s="10">
        <v>23</v>
      </c>
      <c r="E356" s="10">
        <v>25</v>
      </c>
      <c r="F356" s="10">
        <v>21</v>
      </c>
      <c r="G356" s="10">
        <v>25</v>
      </c>
      <c r="H356" s="10">
        <v>19</v>
      </c>
      <c r="I356" s="10">
        <v>25</v>
      </c>
      <c r="J356" s="2"/>
      <c r="K356" s="10">
        <v>58</v>
      </c>
      <c r="L356" s="10">
        <v>55</v>
      </c>
      <c r="M356" s="10">
        <v>56</v>
      </c>
      <c r="N356" s="51">
        <v>61</v>
      </c>
      <c r="O356" s="11">
        <v>45</v>
      </c>
      <c r="P356" s="10"/>
      <c r="Q356" s="40"/>
      <c r="R356" s="2">
        <v>139</v>
      </c>
      <c r="S356" s="10">
        <f>IF(T356="",R356,MAX((R356+$R$8)/$R$2,(T356+$T$8)/$T$2)*$R$2-$R$8)</f>
        <v>145.72228934598533</v>
      </c>
      <c r="T356" s="12">
        <v>216</v>
      </c>
      <c r="U356" s="68">
        <f>IF(A356&lt;&gt;"",SUM(B356:I356),"")</f>
        <v>185</v>
      </c>
      <c r="V356" s="10">
        <f>IF(A356&lt;&gt;"",SUM(J356:O356),"")</f>
        <v>275</v>
      </c>
      <c r="W356" s="10">
        <f>IF(A356&lt;&gt;"",SUM(P356:Q356),"")</f>
        <v>0</v>
      </c>
      <c r="X356" s="10">
        <f>IF(A356&lt;&gt;"",SUM(S356:T356),"")</f>
        <v>361.72228934598536</v>
      </c>
      <c r="Y356" s="12">
        <v>3</v>
      </c>
      <c r="Z356" s="12">
        <f>IF(A356&lt;&gt;"",SUM(U356:Y356),"")</f>
        <v>824.72228934598536</v>
      </c>
      <c r="AA356" s="27">
        <f>IF(A356&lt;&gt;"",(Z356+Normalize_To_Add)/(Point_Total_So_Far)*100,"")</f>
        <v>89.981902123730379</v>
      </c>
      <c r="AB356" s="10">
        <f>IF(A356&lt;&gt;"",RANK(AA356,All_Student_XC),"")</f>
        <v>76</v>
      </c>
      <c r="AC356" s="31" t="str">
        <f>IF(A356&lt;&gt;"",CHOOSE(10-MIN(9,TRUNC((AA356+0.5)/10)),"A","B","C","D","F","F","F","F","F","F"),"")</f>
        <v>A</v>
      </c>
      <c r="AD356" s="31" t="str">
        <f>IF(A356&lt;&gt;"",IF(OR(AA356+0.5&gt;=93,AA356+0.5&lt;60),"",IF(MOD(AA356+0.5,10)&gt;=7,"+",IF(MOD(AA356+0.5,10)&lt;3,"-",""))),"")</f>
        <v>-</v>
      </c>
      <c r="AE356" s="31">
        <f>IF(A356&lt;&gt;"",SUM(W356:X356,$W$8:$X$8)/SUM($W$2:$X$2)*100,"")</f>
        <v>87.363804247460749</v>
      </c>
      <c r="AF356" s="31" t="str">
        <f>IF(A356&lt;&gt;"",CHOOSE(10-MIN(9,TRUNC((AE356+0.5)/10)),"A","B","C","D","F","F","F","F","F","F"),"")</f>
        <v>B</v>
      </c>
      <c r="AG356" s="31" t="str">
        <f>IF(A356&lt;&gt;"",IF(OR(AE356+0.5&gt;=93,AE356+0.5&lt;60),"",IF(MOD(AE356+0.5,10)&gt;=7,"+",IF(MOD(AE356+0.5,10)&lt;3,"-",""))),"")</f>
        <v>+</v>
      </c>
      <c r="AH356" s="35">
        <f>IF(A356&lt;&gt;"",MIN(MAX(AA356,AE356),AA356+$AH$8,AE356+$AH$8),"")</f>
        <v>89.981902123730379</v>
      </c>
      <c r="AI356" s="31" t="str">
        <f>IF(A356&lt;&gt;"",CHOOSE(10-MIN(9,TRUNC((AH356+0.5)/10)),"A","B","C","D","F","F","F","F","F","F"),"")</f>
        <v>A</v>
      </c>
      <c r="AJ356" s="31" t="str">
        <f>IF(A356&lt;&gt;"",IF(OR(AH356+0.5&gt;=93,AH356+0.5&lt;60),"",IF(MOD(AH356+0.5,10)&gt;=7,"+",IF(MOD(AH356+0.5,10)&lt;3,"-",""))),"")</f>
        <v>-</v>
      </c>
      <c r="AK356" s="31" t="b">
        <f>IF(A356&lt;&gt;"",OR(AI356&lt;&gt;AC356,AJ356&lt;&gt;AD356),"")</f>
        <v>0</v>
      </c>
      <c r="AL356" s="81">
        <f>IF(AND(A356&lt;&gt;"",U356&gt;0),SUM(U356,$AL$8)/$AL$2*100,"")</f>
        <v>92.5</v>
      </c>
      <c r="AM356" s="24">
        <f>IF(AND(A356&lt;&gt;"",V356&gt;0),SUM(V356,$AM$8)/$AM$2*100,"")</f>
        <v>91.666666666666657</v>
      </c>
      <c r="AN356" s="24" t="str">
        <f>IF(AND(A356&lt;&gt;"",P356&lt;&gt;0),SUM(P356,$AN$8)/$AN$2*100,"")</f>
        <v/>
      </c>
      <c r="AO356" s="24" t="str">
        <f>IF(AND(A356&lt;&gt;"",Q356&lt;&gt;0),SUM(Q356,$AO$8)/$AO$2*100,"")</f>
        <v/>
      </c>
      <c r="AP356" s="24">
        <f>IF(AND(A356&lt;&gt;"",R356&lt;&gt;0),SUM(R356,$AP$8)/$AP$2*100,"")</f>
        <v>84.002659574468083</v>
      </c>
      <c r="AQ356" s="24" t="str">
        <f>IF(AND(A356&lt;&gt;"",W356&gt;0),SUM(W356,$AQ$8)/$AQ$2*100,"")</f>
        <v/>
      </c>
      <c r="AR356" s="24">
        <f>IF(AND(A356&lt;&gt;"",T356&gt;0),SUM(T356,$AR$8)/$AR$2*100,"")</f>
        <v>87.363804247460749</v>
      </c>
      <c r="AS356" s="24">
        <f>IF(AND(A356&lt;&gt;"",X356&lt;&gt;0),SUM(X356,$AS$8)/$AS$2*100,"")</f>
        <v>87.363804247460749</v>
      </c>
      <c r="AT356" s="86">
        <f>IF(A356&lt;&gt;"",SUM(W356:X356,$AT$8)/$AT$2*100,"")</f>
        <v>87.363804247460749</v>
      </c>
      <c r="AU356" s="24">
        <f>AA356</f>
        <v>89.981902123730379</v>
      </c>
      <c r="AV356" s="24"/>
      <c r="AW356" s="27">
        <f>IF(A356&lt;&gt;"",AE356-AA356,"")</f>
        <v>-2.6180978762696299</v>
      </c>
      <c r="AY356" s="27">
        <f>AR356-AP356</f>
        <v>3.3611446729926655</v>
      </c>
      <c r="AZ356" s="27">
        <f>ABS(AY356)</f>
        <v>3.3611446729926655</v>
      </c>
    </row>
    <row r="357" spans="1:52" s="27" customFormat="1" ht="12.75" customHeight="1" x14ac:dyDescent="0.2">
      <c r="A357" s="10">
        <v>931594</v>
      </c>
      <c r="B357" s="2">
        <v>23</v>
      </c>
      <c r="C357" s="10">
        <v>22</v>
      </c>
      <c r="D357" s="10">
        <v>26</v>
      </c>
      <c r="E357" s="10">
        <v>23</v>
      </c>
      <c r="F357" s="10">
        <v>25</v>
      </c>
      <c r="G357" s="10">
        <v>25</v>
      </c>
      <c r="H357" s="10">
        <v>25</v>
      </c>
      <c r="I357" s="10">
        <v>25</v>
      </c>
      <c r="J357" s="2"/>
      <c r="K357" s="10">
        <v>59</v>
      </c>
      <c r="L357" s="10">
        <v>62</v>
      </c>
      <c r="M357" s="10">
        <v>62</v>
      </c>
      <c r="N357" s="51">
        <v>62</v>
      </c>
      <c r="O357" s="11">
        <v>61</v>
      </c>
      <c r="P357" s="10"/>
      <c r="Q357" s="40"/>
      <c r="R357" s="2">
        <v>164</v>
      </c>
      <c r="S357" s="10">
        <f>IF(T357="",R357,MAX((R357+$R$8)/$R$2,(T357+$T$8)/$T$2)*$R$2-$R$8)</f>
        <v>164</v>
      </c>
      <c r="T357" s="12">
        <v>243</v>
      </c>
      <c r="U357" s="1">
        <f>IF(A357&lt;&gt;"",SUM(B357:I357),"")</f>
        <v>194</v>
      </c>
      <c r="V357" s="10">
        <f>IF(A357&lt;&gt;"",SUM(J357:O357),"")</f>
        <v>306</v>
      </c>
      <c r="W357" s="10">
        <f>IF(A357&lt;&gt;"",SUM(P357:Q357),"")</f>
        <v>0</v>
      </c>
      <c r="X357" s="10">
        <f>IF(A357&lt;&gt;"",SUM(S357:T357),"")</f>
        <v>407</v>
      </c>
      <c r="Y357" s="12">
        <v>3</v>
      </c>
      <c r="Z357" s="12">
        <f>IF(A357&lt;&gt;"",SUM(U357:Y357),"")</f>
        <v>910</v>
      </c>
      <c r="AA357" s="27">
        <f>IF(A357&lt;&gt;"",(Z357+Normalize_To_Add)/(Point_Total_So_Far)*100,"")</f>
        <v>98.509673189131846</v>
      </c>
      <c r="AB357" s="10">
        <f>IF(A357&lt;&gt;"",RANK(AA357,All_Student_XC),"")</f>
        <v>12</v>
      </c>
      <c r="AC357" s="31" t="str">
        <f>IF(A357&lt;&gt;"",CHOOSE(10-MIN(9,TRUNC((AA357+0.5)/10)),"A","B","C","D","F","F","F","F","F","F"),"")</f>
        <v>A</v>
      </c>
      <c r="AD357" s="31" t="str">
        <f>IF(A357&lt;&gt;"",IF(OR(AA357+0.5&gt;=93,AA357+0.5&lt;60),"",IF(MOD(AA357+0.5,10)&gt;=7,"+",IF(MOD(AA357+0.5,10)&lt;3,"-",""))),"")</f>
        <v/>
      </c>
      <c r="AE357" s="31">
        <f>IF(A357&lt;&gt;"",SUM(W357:X357,$W$8:$X$8)/SUM($W$2:$X$2)*100,"")</f>
        <v>96.419346378263683</v>
      </c>
      <c r="AF357" s="43" t="str">
        <f>IF(A357&lt;&gt;"",CHOOSE(10-MIN(9,TRUNC((AE357+0.5)/10)),"A","B","C","D","F","F","F","F","F","F"),"")</f>
        <v>A</v>
      </c>
      <c r="AG357" s="43" t="str">
        <f>IF(A357&lt;&gt;"",IF(OR(AE357+0.5&gt;=93,AE357+0.5&lt;60),"",IF(MOD(AE357+0.5,10)&gt;=7,"+",IF(MOD(AE357+0.5,10)&lt;3,"-",""))),"")</f>
        <v/>
      </c>
      <c r="AH357" s="35">
        <f>IF(A357&lt;&gt;"",MIN(MAX(AA357,AE357),AA357+$AH$8,AE357+$AH$8),"")</f>
        <v>98.509673189131846</v>
      </c>
      <c r="AI357" s="31" t="str">
        <f>IF(A357&lt;&gt;"",CHOOSE(10-MIN(9,TRUNC((AH357+0.5)/10)),"A","B","C","D","F","F","F","F","F","F"),"")</f>
        <v>A</v>
      </c>
      <c r="AJ357" s="31" t="str">
        <f>IF(A357&lt;&gt;"",IF(OR(AH357+0.5&gt;=93,AH357+0.5&lt;60),"",IF(MOD(AH357+0.5,10)&gt;=7,"+",IF(MOD(AH357+0.5,10)&lt;3,"-",""))),"")</f>
        <v/>
      </c>
      <c r="AK357" s="31" t="b">
        <f>IF(A357&lt;&gt;"",OR(AI357&lt;&gt;AC357,AJ357&lt;&gt;AD357),"")</f>
        <v>0</v>
      </c>
      <c r="AL357" s="81">
        <f>IF(AND(A357&lt;&gt;"",U357&gt;0),SUM(U357,$AL$8)/$AL$2*100,"")</f>
        <v>97</v>
      </c>
      <c r="AM357" s="24">
        <f>IF(AND(A357&lt;&gt;"",V357&gt;0),SUM(V357,$AM$8)/$AM$2*100,"")</f>
        <v>102</v>
      </c>
      <c r="AN357" s="24" t="str">
        <f>IF(AND(A357&lt;&gt;"",P357&lt;&gt;0),SUM(P357,$AN$8)/$AN$2*100,"")</f>
        <v/>
      </c>
      <c r="AO357" s="24" t="str">
        <f>IF(AND(A357&lt;&gt;"",Q357&lt;&gt;0),SUM(Q357,$AO$8)/$AO$2*100,"")</f>
        <v/>
      </c>
      <c r="AP357" s="24">
        <f>IF(AND(A357&lt;&gt;"",R357&lt;&gt;0),SUM(R357,$AP$8)/$AP$2*100,"")</f>
        <v>96.502659574468083</v>
      </c>
      <c r="AQ357" s="24" t="str">
        <f>IF(AND(A357&lt;&gt;"",W357&gt;0),SUM(W357,$AQ$8)/$AQ$2*100,"")</f>
        <v/>
      </c>
      <c r="AR357" s="24">
        <f>IF(AND(A357&lt;&gt;"",T357&gt;0),SUM(T357,$AR$8)/$AR$2*100,"")</f>
        <v>96.363804247460749</v>
      </c>
      <c r="AS357" s="24">
        <f>IF(AND(A357&lt;&gt;"",X357&lt;&gt;0),SUM(X357,$AS$8)/$AS$2*100,"")</f>
        <v>96.419346378263683</v>
      </c>
      <c r="AT357" s="86">
        <f>IF(A357&lt;&gt;"",SUM(W357:X357,$AT$8)/$AT$2*100,"")</f>
        <v>96.419346378263683</v>
      </c>
      <c r="AU357" s="24">
        <f>AA357</f>
        <v>98.509673189131846</v>
      </c>
      <c r="AV357" s="24"/>
      <c r="AW357" s="27">
        <f>IF(A357&lt;&gt;"",AE357-AA357,"")</f>
        <v>-2.090326810868163</v>
      </c>
      <c r="AY357" s="27">
        <f>AR357-AP357</f>
        <v>-0.13885532700733449</v>
      </c>
      <c r="AZ357" s="27">
        <f>ABS(AY357)</f>
        <v>0.13885532700733449</v>
      </c>
    </row>
    <row r="358" spans="1:52" s="27" customFormat="1" ht="12.75" customHeight="1" x14ac:dyDescent="0.2">
      <c r="A358" s="10">
        <v>932028</v>
      </c>
      <c r="B358" s="2">
        <v>25</v>
      </c>
      <c r="C358" s="10">
        <v>22</v>
      </c>
      <c r="D358" s="10">
        <v>21</v>
      </c>
      <c r="E358" s="10">
        <v>14</v>
      </c>
      <c r="F358" s="10">
        <v>17</v>
      </c>
      <c r="G358" s="10">
        <v>25</v>
      </c>
      <c r="H358" s="10">
        <v>10</v>
      </c>
      <c r="I358" s="10">
        <v>23</v>
      </c>
      <c r="J358" s="2"/>
      <c r="K358" s="10">
        <v>57</v>
      </c>
      <c r="L358" s="10">
        <v>54</v>
      </c>
      <c r="M358" s="10">
        <v>59</v>
      </c>
      <c r="N358" s="51">
        <v>34</v>
      </c>
      <c r="O358" s="11">
        <v>46</v>
      </c>
      <c r="P358" s="40"/>
      <c r="Q358" s="40"/>
      <c r="R358" s="2">
        <v>114</v>
      </c>
      <c r="S358" s="10">
        <f>IF(T358="",R358,MAX((R358+$R$8)/$R$2,(T358+$T$8)/$T$2)*$R$2-$R$8)</f>
        <v>120.38895601265199</v>
      </c>
      <c r="T358" s="12">
        <v>178</v>
      </c>
      <c r="U358" s="1">
        <f>IF(A358&lt;&gt;"",SUM(B358:I358),"")</f>
        <v>157</v>
      </c>
      <c r="V358" s="10">
        <f>IF(A358&lt;&gt;"",SUM(J358:O358),"")</f>
        <v>250</v>
      </c>
      <c r="W358" s="10">
        <f>IF(A358&lt;&gt;"",SUM(P358:Q358),"")</f>
        <v>0</v>
      </c>
      <c r="X358" s="10">
        <f>IF(A358&lt;&gt;"",SUM(S358:T358),"")</f>
        <v>298.38895601265199</v>
      </c>
      <c r="Y358" s="12">
        <v>3</v>
      </c>
      <c r="Z358" s="12">
        <f>IF(A358&lt;&gt;"",SUM(U358:Y358),"")</f>
        <v>708.38895601265199</v>
      </c>
      <c r="AA358" s="27">
        <f>IF(A358&lt;&gt;"",(Z358+Normalize_To_Add)/(Point_Total_So_Far)*100,"")</f>
        <v>78.348568790397039</v>
      </c>
      <c r="AB358" s="10">
        <f>IF(A358&lt;&gt;"",RANK(AA358,All_Student_XC),"")</f>
        <v>238</v>
      </c>
      <c r="AC358" s="31" t="str">
        <f>IF(A358&lt;&gt;"",CHOOSE(10-MIN(9,TRUNC((AA358+0.5)/10)),"A","B","C","D","F","F","F","F","F","F"),"")</f>
        <v>C</v>
      </c>
      <c r="AD358" s="31" t="str">
        <f>IF(A358&lt;&gt;"",IF(OR(AA358+0.5&gt;=93,AA358+0.5&lt;60),"",IF(MOD(AA358+0.5,10)&gt;=7,"+",IF(MOD(AA358+0.5,10)&lt;3,"-",""))),"")</f>
        <v>+</v>
      </c>
      <c r="AE358" s="31">
        <f>IF(A358&lt;&gt;"",SUM(W358:X358,$W$8:$X$8)/SUM($W$2:$X$2)*100,"")</f>
        <v>74.697137580794077</v>
      </c>
      <c r="AF358" s="31" t="str">
        <f>IF(A358&lt;&gt;"",CHOOSE(10-MIN(9,TRUNC((AE358+0.5)/10)),"A","B","C","D","F","F","F","F","F","F"),"")</f>
        <v>C</v>
      </c>
      <c r="AG358" s="31" t="str">
        <f>IF(A358&lt;&gt;"",IF(OR(AE358+0.5&gt;=93,AE358+0.5&lt;60),"",IF(MOD(AE358+0.5,10)&gt;=7,"+",IF(MOD(AE358+0.5,10)&lt;3,"-",""))),"")</f>
        <v/>
      </c>
      <c r="AH358" s="35">
        <f>IF(A358&lt;&gt;"",MIN(MAX(AA358,AE358),AA358+$AH$8,AE358+$AH$8),"")</f>
        <v>78.348568790397039</v>
      </c>
      <c r="AI358" s="31" t="str">
        <f>IF(A358&lt;&gt;"",CHOOSE(10-MIN(9,TRUNC((AH358+0.5)/10)),"A","B","C","D","F","F","F","F","F","F"),"")</f>
        <v>C</v>
      </c>
      <c r="AJ358" s="31" t="str">
        <f>IF(A358&lt;&gt;"",IF(OR(AH358+0.5&gt;=93,AH358+0.5&lt;60),"",IF(MOD(AH358+0.5,10)&gt;=7,"+",IF(MOD(AH358+0.5,10)&lt;3,"-",""))),"")</f>
        <v>+</v>
      </c>
      <c r="AK358" s="31" t="b">
        <f>IF(A358&lt;&gt;"",OR(AI358&lt;&gt;AC358,AJ358&lt;&gt;AD358),"")</f>
        <v>0</v>
      </c>
      <c r="AL358" s="81">
        <f>IF(AND(A358&lt;&gt;"",U358&gt;0),SUM(U358,$AL$8)/$AL$2*100,"")</f>
        <v>78.5</v>
      </c>
      <c r="AM358" s="24">
        <f>IF(AND(A358&lt;&gt;"",V358&gt;0),SUM(V358,$AM$8)/$AM$2*100,"")</f>
        <v>83.333333333333343</v>
      </c>
      <c r="AN358" s="24" t="str">
        <f>IF(AND(A358&lt;&gt;"",P358&lt;&gt;0),SUM(P358,$AN$8)/$AN$2*100,"")</f>
        <v/>
      </c>
      <c r="AO358" s="24" t="str">
        <f>IF(AND(A358&lt;&gt;"",Q358&lt;&gt;0),SUM(Q358,$AO$8)/$AO$2*100,"")</f>
        <v/>
      </c>
      <c r="AP358" s="24">
        <f>IF(AND(A358&lt;&gt;"",R358&lt;&gt;0),SUM(R358,$AP$8)/$AP$2*100,"")</f>
        <v>71.502659574468083</v>
      </c>
      <c r="AQ358" s="24" t="str">
        <f>IF(AND(A358&lt;&gt;"",W358&gt;0),SUM(W358,$AQ$8)/$AQ$2*100,"")</f>
        <v/>
      </c>
      <c r="AR358" s="24">
        <f>IF(AND(A358&lt;&gt;"",T358&gt;0),SUM(T358,$AR$8)/$AR$2*100,"")</f>
        <v>74.697137580794077</v>
      </c>
      <c r="AS358" s="24">
        <f>IF(AND(A358&lt;&gt;"",X358&lt;&gt;0),SUM(X358,$AS$8)/$AS$2*100,"")</f>
        <v>74.697137580794077</v>
      </c>
      <c r="AT358" s="86">
        <f>IF(A358&lt;&gt;"",SUM(W358:X358,$AT$8)/$AT$2*100,"")</f>
        <v>74.697137580794077</v>
      </c>
      <c r="AU358" s="24">
        <f>AA358</f>
        <v>78.348568790397039</v>
      </c>
      <c r="AV358" s="24"/>
      <c r="AW358" s="27">
        <f>IF(A358&lt;&gt;"",AE358-AA358,"")</f>
        <v>-3.6514312096029613</v>
      </c>
      <c r="AY358" s="27">
        <f>AR358-AP358</f>
        <v>3.1944780063259941</v>
      </c>
      <c r="AZ358" s="27">
        <f>ABS(AY358)</f>
        <v>3.1944780063259941</v>
      </c>
    </row>
    <row r="359" spans="1:52" s="27" customFormat="1" ht="12.75" customHeight="1" x14ac:dyDescent="0.2">
      <c r="A359" s="10">
        <v>932206</v>
      </c>
      <c r="B359" s="2">
        <v>23</v>
      </c>
      <c r="C359" s="10">
        <v>21</v>
      </c>
      <c r="D359" s="10">
        <v>22</v>
      </c>
      <c r="E359" s="10">
        <v>20</v>
      </c>
      <c r="F359" s="10">
        <v>24</v>
      </c>
      <c r="G359" s="10">
        <v>25</v>
      </c>
      <c r="H359" s="10">
        <v>21</v>
      </c>
      <c r="I359" s="10">
        <v>25</v>
      </c>
      <c r="J359" s="2"/>
      <c r="K359" s="10">
        <v>62</v>
      </c>
      <c r="L359" s="10">
        <v>42</v>
      </c>
      <c r="M359" s="10">
        <v>58</v>
      </c>
      <c r="N359" s="51">
        <v>51</v>
      </c>
      <c r="O359" s="11">
        <v>61</v>
      </c>
      <c r="P359" s="10"/>
      <c r="Q359" s="40"/>
      <c r="R359" s="2">
        <v>144</v>
      </c>
      <c r="S359" s="10">
        <f>IF(T359="",R359,MAX((R359+$R$8)/$R$2,(T359+$T$8)/$T$2)*$R$2-$R$8)</f>
        <v>144</v>
      </c>
      <c r="T359" s="12">
        <v>209</v>
      </c>
      <c r="U359" s="68">
        <f>IF(A359&lt;&gt;"",SUM(B359:I359),"")</f>
        <v>181</v>
      </c>
      <c r="V359" s="10">
        <f>IF(A359&lt;&gt;"",SUM(J359:O359),"")</f>
        <v>274</v>
      </c>
      <c r="W359" s="10">
        <f>IF(A359&lt;&gt;"",SUM(P359:Q359),"")</f>
        <v>0</v>
      </c>
      <c r="X359" s="10">
        <f>IF(A359&lt;&gt;"",SUM(S359:T359),"")</f>
        <v>353</v>
      </c>
      <c r="Y359" s="12">
        <v>3</v>
      </c>
      <c r="Z359" s="12">
        <f>IF(A359&lt;&gt;"",SUM(U359:Y359),"")</f>
        <v>811</v>
      </c>
      <c r="AA359" s="27">
        <f>IF(A359&lt;&gt;"",(Z359+Normalize_To_Add)/(Point_Total_So_Far)*100,"")</f>
        <v>88.60967318913184</v>
      </c>
      <c r="AB359" s="10">
        <f>IF(A359&lt;&gt;"",RANK(AA359,All_Student_XC),"")</f>
        <v>102</v>
      </c>
      <c r="AC359" s="31" t="str">
        <f>IF(A359&lt;&gt;"",CHOOSE(10-MIN(9,TRUNC((AA359+0.5)/10)),"A","B","C","D","F","F","F","F","F","F"),"")</f>
        <v>B</v>
      </c>
      <c r="AD359" s="31" t="str">
        <f>IF(A359&lt;&gt;"",IF(OR(AA359+0.5&gt;=93,AA359+0.5&lt;60),"",IF(MOD(AA359+0.5,10)&gt;=7,"+",IF(MOD(AA359+0.5,10)&lt;3,"-",""))),"")</f>
        <v>+</v>
      </c>
      <c r="AE359" s="31">
        <f>IF(A359&lt;&gt;"",SUM(W359:X359,$W$8:$X$8)/SUM($W$2:$X$2)*100,"")</f>
        <v>85.619346378263685</v>
      </c>
      <c r="AF359" s="31" t="str">
        <f>IF(A359&lt;&gt;"",CHOOSE(10-MIN(9,TRUNC((AE359+0.5)/10)),"A","B","C","D","F","F","F","F","F","F"),"")</f>
        <v>B</v>
      </c>
      <c r="AG359" s="31" t="str">
        <f>IF(A359&lt;&gt;"",IF(OR(AE359+0.5&gt;=93,AE359+0.5&lt;60),"",IF(MOD(AE359+0.5,10)&gt;=7,"+",IF(MOD(AE359+0.5,10)&lt;3,"-",""))),"")</f>
        <v/>
      </c>
      <c r="AH359" s="35">
        <f>IF(A359&lt;&gt;"",MIN(MAX(AA359,AE359),AA359+$AH$8,AE359+$AH$8),"")</f>
        <v>88.60967318913184</v>
      </c>
      <c r="AI359" s="31" t="str">
        <f>IF(A359&lt;&gt;"",CHOOSE(10-MIN(9,TRUNC((AH359+0.5)/10)),"A","B","C","D","F","F","F","F","F","F"),"")</f>
        <v>B</v>
      </c>
      <c r="AJ359" s="31" t="str">
        <f>IF(A359&lt;&gt;"",IF(OR(AH359+0.5&gt;=93,AH359+0.5&lt;60),"",IF(MOD(AH359+0.5,10)&gt;=7,"+",IF(MOD(AH359+0.5,10)&lt;3,"-",""))),"")</f>
        <v>+</v>
      </c>
      <c r="AK359" s="31" t="b">
        <f>IF(A359&lt;&gt;"",OR(AI359&lt;&gt;AC359,AJ359&lt;&gt;AD359),"")</f>
        <v>0</v>
      </c>
      <c r="AL359" s="81">
        <f>IF(AND(A359&lt;&gt;"",U359&gt;0),SUM(U359,$AL$8)/$AL$2*100,"")</f>
        <v>90.5</v>
      </c>
      <c r="AM359" s="24">
        <f>IF(AND(A359&lt;&gt;"",V359&gt;0),SUM(V359,$AM$8)/$AM$2*100,"")</f>
        <v>91.333333333333329</v>
      </c>
      <c r="AN359" s="24" t="str">
        <f>IF(AND(A359&lt;&gt;"",P359&lt;&gt;0),SUM(P359,$AN$8)/$AN$2*100,"")</f>
        <v/>
      </c>
      <c r="AO359" s="24" t="str">
        <f>IF(AND(A359&lt;&gt;"",Q359&lt;&gt;0),SUM(Q359,$AO$8)/$AO$2*100,"")</f>
        <v/>
      </c>
      <c r="AP359" s="24">
        <f>IF(AND(A359&lt;&gt;"",R359&lt;&gt;0),SUM(R359,$AP$8)/$AP$2*100,"")</f>
        <v>86.502659574468083</v>
      </c>
      <c r="AQ359" s="24" t="str">
        <f>IF(AND(A359&lt;&gt;"",W359&gt;0),SUM(W359,$AQ$8)/$AQ$2*100,"")</f>
        <v/>
      </c>
      <c r="AR359" s="24">
        <f>IF(AND(A359&lt;&gt;"",T359&gt;0),SUM(T359,$AR$8)/$AR$2*100,"")</f>
        <v>85.03047091412742</v>
      </c>
      <c r="AS359" s="24">
        <f>IF(AND(A359&lt;&gt;"",X359&lt;&gt;0),SUM(X359,$AS$8)/$AS$2*100,"")</f>
        <v>85.619346378263685</v>
      </c>
      <c r="AT359" s="86">
        <f>IF(A359&lt;&gt;"",SUM(W359:X359,$AT$8)/$AT$2*100,"")</f>
        <v>85.619346378263685</v>
      </c>
      <c r="AU359" s="24">
        <f>AA359</f>
        <v>88.60967318913184</v>
      </c>
      <c r="AV359" s="24"/>
      <c r="AW359" s="27">
        <f>IF(A359&lt;&gt;"",AE359-AA359,"")</f>
        <v>-2.9903268108681544</v>
      </c>
      <c r="AY359" s="27">
        <f>AR359-AP359</f>
        <v>-1.4721886603406631</v>
      </c>
      <c r="AZ359" s="27">
        <f>ABS(AY359)</f>
        <v>1.4721886603406631</v>
      </c>
    </row>
    <row r="360" spans="1:52" s="27" customFormat="1" ht="12.75" customHeight="1" x14ac:dyDescent="0.2">
      <c r="A360" s="10">
        <v>932972</v>
      </c>
      <c r="B360" s="2">
        <v>23</v>
      </c>
      <c r="C360" s="10">
        <v>22</v>
      </c>
      <c r="D360" s="10">
        <v>20</v>
      </c>
      <c r="E360" s="10">
        <v>22</v>
      </c>
      <c r="F360" s="10">
        <v>21</v>
      </c>
      <c r="G360" s="10">
        <v>25</v>
      </c>
      <c r="H360" s="10">
        <v>14</v>
      </c>
      <c r="I360" s="10">
        <v>25</v>
      </c>
      <c r="J360" s="2"/>
      <c r="K360" s="10">
        <v>59</v>
      </c>
      <c r="L360" s="10">
        <v>60</v>
      </c>
      <c r="M360" s="10">
        <v>57</v>
      </c>
      <c r="N360" s="51">
        <v>57</v>
      </c>
      <c r="O360" s="11">
        <v>58</v>
      </c>
      <c r="P360" s="10"/>
      <c r="Q360" s="40"/>
      <c r="R360" s="2">
        <v>114</v>
      </c>
      <c r="S360" s="10">
        <f>IF(T360="",R360,MAX((R360+$R$8)/$R$2,(T360+$T$8)/$T$2)*$R$2-$R$8)</f>
        <v>129.05562267931867</v>
      </c>
      <c r="T360" s="12">
        <v>191</v>
      </c>
      <c r="U360" s="1">
        <f>IF(A360&lt;&gt;"",SUM(B360:I360),"")</f>
        <v>172</v>
      </c>
      <c r="V360" s="10">
        <f>IF(A360&lt;&gt;"",SUM(J360:O360),"")</f>
        <v>291</v>
      </c>
      <c r="W360" s="10">
        <f>IF(A360&lt;&gt;"",SUM(P360:Q360),"")</f>
        <v>0</v>
      </c>
      <c r="X360" s="10">
        <f>IF(A360&lt;&gt;"",SUM(S360:T360),"")</f>
        <v>320.05562267931867</v>
      </c>
      <c r="Y360" s="12">
        <v>3</v>
      </c>
      <c r="Z360" s="12">
        <f>IF(A360&lt;&gt;"",SUM(U360:Y360),"")</f>
        <v>786.05562267931873</v>
      </c>
      <c r="AA360" s="27">
        <f>IF(A360&lt;&gt;"",(Z360+Normalize_To_Add)/(Point_Total_So_Far)*100,"")</f>
        <v>86.115235457063719</v>
      </c>
      <c r="AB360" s="10">
        <f>IF(A360&lt;&gt;"",RANK(AA360,All_Student_XC),"")</f>
        <v>135</v>
      </c>
      <c r="AC360" s="31" t="str">
        <f>IF(A360&lt;&gt;"",CHOOSE(10-MIN(9,TRUNC((AA360+0.5)/10)),"A","B","C","D","F","F","F","F","F","F"),"")</f>
        <v>B</v>
      </c>
      <c r="AD360" s="31" t="str">
        <f>IF(A360&lt;&gt;"",IF(OR(AA360+0.5&gt;=93,AA360+0.5&lt;60),"",IF(MOD(AA360+0.5,10)&gt;=7,"+",IF(MOD(AA360+0.5,10)&lt;3,"-",""))),"")</f>
        <v/>
      </c>
      <c r="AE360" s="31">
        <f>IF(A360&lt;&gt;"",SUM(W360:X360,$W$8:$X$8)/SUM($W$2:$X$2)*100,"")</f>
        <v>79.03047091412742</v>
      </c>
      <c r="AF360" s="43" t="str">
        <f>IF(A360&lt;&gt;"",CHOOSE(10-MIN(9,TRUNC((AE360+0.5)/10)),"A","B","C","D","F","F","F","F","F","F"),"")</f>
        <v>C</v>
      </c>
      <c r="AG360" s="43" t="str">
        <f>IF(A360&lt;&gt;"",IF(OR(AE360+0.5&gt;=93,AE360+0.5&lt;60),"",IF(MOD(AE360+0.5,10)&gt;=7,"+",IF(MOD(AE360+0.5,10)&lt;3,"-",""))),"")</f>
        <v>+</v>
      </c>
      <c r="AH360" s="35">
        <f>IF(A360&lt;&gt;"",MIN(MAX(AA360,AE360),AA360+$AH$8,AE360+$AH$8),"")</f>
        <v>86.115235457063719</v>
      </c>
      <c r="AI360" s="31" t="str">
        <f>IF(A360&lt;&gt;"",CHOOSE(10-MIN(9,TRUNC((AH360+0.5)/10)),"A","B","C","D","F","F","F","F","F","F"),"")</f>
        <v>B</v>
      </c>
      <c r="AJ360" s="31" t="str">
        <f>IF(A360&lt;&gt;"",IF(OR(AH360+0.5&gt;=93,AH360+0.5&lt;60),"",IF(MOD(AH360+0.5,10)&gt;=7,"+",IF(MOD(AH360+0.5,10)&lt;3,"-",""))),"")</f>
        <v/>
      </c>
      <c r="AK360" s="31" t="b">
        <f>IF(A360&lt;&gt;"",OR(AI360&lt;&gt;AC360,AJ360&lt;&gt;AD360),"")</f>
        <v>0</v>
      </c>
      <c r="AL360" s="81">
        <f>IF(AND(A360&lt;&gt;"",U360&gt;0),SUM(U360,$AL$8)/$AL$2*100,"")</f>
        <v>86</v>
      </c>
      <c r="AM360" s="24">
        <f>IF(AND(A360&lt;&gt;"",V360&gt;0),SUM(V360,$AM$8)/$AM$2*100,"")</f>
        <v>97</v>
      </c>
      <c r="AN360" s="24" t="str">
        <f>IF(AND(A360&lt;&gt;"",P360&lt;&gt;0),SUM(P360,$AN$8)/$AN$2*100,"")</f>
        <v/>
      </c>
      <c r="AO360" s="24" t="str">
        <f>IF(AND(A360&lt;&gt;"",Q360&lt;&gt;0),SUM(Q360,$AO$8)/$AO$2*100,"")</f>
        <v/>
      </c>
      <c r="AP360" s="24">
        <f>IF(AND(A360&lt;&gt;"",R360&lt;&gt;0),SUM(R360,$AP$8)/$AP$2*100,"")</f>
        <v>71.502659574468083</v>
      </c>
      <c r="AQ360" s="24" t="str">
        <f>IF(AND(A360&lt;&gt;"",W360&gt;0),SUM(W360,$AQ$8)/$AQ$2*100,"")</f>
        <v/>
      </c>
      <c r="AR360" s="24">
        <f>IF(AND(A360&lt;&gt;"",T360&gt;0),SUM(T360,$AR$8)/$AR$2*100,"")</f>
        <v>79.03047091412742</v>
      </c>
      <c r="AS360" s="24">
        <f>IF(AND(A360&lt;&gt;"",X360&lt;&gt;0),SUM(X360,$AS$8)/$AS$2*100,"")</f>
        <v>79.03047091412742</v>
      </c>
      <c r="AT360" s="86">
        <f>IF(A360&lt;&gt;"",SUM(W360:X360,$AT$8)/$AT$2*100,"")</f>
        <v>79.03047091412742</v>
      </c>
      <c r="AU360" s="24">
        <f>AA360</f>
        <v>86.115235457063719</v>
      </c>
      <c r="AV360" s="24"/>
      <c r="AW360" s="27">
        <f>IF(A360&lt;&gt;"",AE360-AA360,"")</f>
        <v>-7.0847645429362984</v>
      </c>
      <c r="AY360" s="27">
        <f>AR360-AP360</f>
        <v>7.5278113396593369</v>
      </c>
      <c r="AZ360" s="27">
        <f>ABS(AY360)</f>
        <v>7.5278113396593369</v>
      </c>
    </row>
    <row r="361" spans="1:52" s="27" customFormat="1" ht="12.75" customHeight="1" x14ac:dyDescent="0.2">
      <c r="A361" s="50">
        <v>939880</v>
      </c>
      <c r="B361" s="2">
        <v>25</v>
      </c>
      <c r="C361" s="10">
        <v>25</v>
      </c>
      <c r="D361" s="10">
        <v>20</v>
      </c>
      <c r="E361" s="10">
        <v>25</v>
      </c>
      <c r="F361" s="10">
        <v>25</v>
      </c>
      <c r="G361" s="10">
        <v>25</v>
      </c>
      <c r="H361" s="10">
        <v>25</v>
      </c>
      <c r="I361" s="10">
        <v>24</v>
      </c>
      <c r="J361" s="2"/>
      <c r="K361" s="10">
        <v>62</v>
      </c>
      <c r="L361" s="10">
        <v>62</v>
      </c>
      <c r="M361" s="10">
        <v>62</v>
      </c>
      <c r="N361" s="51">
        <v>56</v>
      </c>
      <c r="O361" s="11">
        <v>57</v>
      </c>
      <c r="P361" s="10"/>
      <c r="Q361" s="40"/>
      <c r="R361" s="2">
        <v>107</v>
      </c>
      <c r="S361" s="10">
        <f>IF(T361="",R361,MAX((R361+$R$8)/$R$2,(T361+$T$8)/$T$2)*$R$2-$R$8)</f>
        <v>116.38895601265202</v>
      </c>
      <c r="T361" s="12">
        <v>172</v>
      </c>
      <c r="U361" s="1">
        <f>IF(A361&lt;&gt;"",SUM(B361:I361),"")</f>
        <v>194</v>
      </c>
      <c r="V361" s="10">
        <f>IF(A361&lt;&gt;"",SUM(J361:O361),"")</f>
        <v>299</v>
      </c>
      <c r="W361" s="10">
        <f>IF(A361&lt;&gt;"",SUM(P361:Q361),"")</f>
        <v>0</v>
      </c>
      <c r="X361" s="10">
        <f>IF(A361&lt;&gt;"",SUM(S361:T361),"")</f>
        <v>288.38895601265199</v>
      </c>
      <c r="Y361" s="12">
        <v>3</v>
      </c>
      <c r="Z361" s="12">
        <f>IF(A361&lt;&gt;"",SUM(U361:Y361),"")</f>
        <v>784.38895601265199</v>
      </c>
      <c r="AA361" s="27">
        <f>IF(A361&lt;&gt;"",(Z361+Normalize_To_Add)/(Point_Total_So_Far)*100,"")</f>
        <v>85.948568790397033</v>
      </c>
      <c r="AB361" s="10">
        <f>IF(A361&lt;&gt;"",RANK(AA361,All_Student_XC),"")</f>
        <v>140</v>
      </c>
      <c r="AC361" s="31" t="str">
        <f>IF(A361&lt;&gt;"",CHOOSE(10-MIN(9,TRUNC((AA361+0.5)/10)),"A","B","C","D","F","F","F","F","F","F"),"")</f>
        <v>B</v>
      </c>
      <c r="AD361" s="31" t="str">
        <f>IF(A361&lt;&gt;"",IF(OR(AA361+0.5&gt;=93,AA361+0.5&lt;60),"",IF(MOD(AA361+0.5,10)&gt;=7,"+",IF(MOD(AA361+0.5,10)&lt;3,"-",""))),"")</f>
        <v/>
      </c>
      <c r="AE361" s="31">
        <f>IF(A361&lt;&gt;"",SUM(W361:X361,$W$8:$X$8)/SUM($W$2:$X$2)*100,"")</f>
        <v>72.697137580794077</v>
      </c>
      <c r="AF361" s="31" t="str">
        <f>IF(A361&lt;&gt;"",CHOOSE(10-MIN(9,TRUNC((AE361+0.5)/10)),"A","B","C","D","F","F","F","F","F","F"),"")</f>
        <v>C</v>
      </c>
      <c r="AG361" s="31" t="str">
        <f>IF(A361&lt;&gt;"",IF(OR(AE361+0.5&gt;=93,AE361+0.5&lt;60),"",IF(MOD(AE361+0.5,10)&gt;=7,"+",IF(MOD(AE361+0.5,10)&lt;3,"-",""))),"")</f>
        <v/>
      </c>
      <c r="AH361" s="35">
        <f>IF(A361&lt;&gt;"",MIN(MAX(AA361,AE361),AA361+$AH$8,AE361+$AH$8),"")</f>
        <v>85.948568790397033</v>
      </c>
      <c r="AI361" s="31" t="str">
        <f>IF(A361&lt;&gt;"",CHOOSE(10-MIN(9,TRUNC((AH361+0.5)/10)),"A","B","C","D","F","F","F","F","F","F"),"")</f>
        <v>B</v>
      </c>
      <c r="AJ361" s="31" t="str">
        <f>IF(A361&lt;&gt;"",IF(OR(AH361+0.5&gt;=93,AH361+0.5&lt;60),"",IF(MOD(AH361+0.5,10)&gt;=7,"+",IF(MOD(AH361+0.5,10)&lt;3,"-",""))),"")</f>
        <v/>
      </c>
      <c r="AK361" s="31" t="b">
        <f>IF(A361&lt;&gt;"",OR(AI361&lt;&gt;AC361,AJ361&lt;&gt;AD361),"")</f>
        <v>0</v>
      </c>
      <c r="AL361" s="81">
        <f>IF(AND(A361&lt;&gt;"",U361&gt;0),SUM(U361,$AL$8)/$AL$2*100,"")</f>
        <v>97</v>
      </c>
      <c r="AM361" s="24">
        <f>IF(AND(A361&lt;&gt;"",V361&gt;0),SUM(V361,$AM$8)/$AM$2*100,"")</f>
        <v>99.666666666666671</v>
      </c>
      <c r="AN361" s="24" t="str">
        <f>IF(AND(A361&lt;&gt;"",P361&lt;&gt;0),SUM(P361,$AN$8)/$AN$2*100,"")</f>
        <v/>
      </c>
      <c r="AO361" s="24" t="str">
        <f>IF(AND(A361&lt;&gt;"",Q361&lt;&gt;0),SUM(Q361,$AO$8)/$AO$2*100,"")</f>
        <v/>
      </c>
      <c r="AP361" s="24">
        <f>IF(AND(A361&lt;&gt;"",R361&lt;&gt;0),SUM(R361,$AP$8)/$AP$2*100,"")</f>
        <v>68.002659574468083</v>
      </c>
      <c r="AQ361" s="24" t="str">
        <f>IF(AND(A361&lt;&gt;"",W361&gt;0),SUM(W361,$AQ$8)/$AQ$2*100,"")</f>
        <v/>
      </c>
      <c r="AR361" s="24">
        <f>IF(AND(A361&lt;&gt;"",T361&gt;0),SUM(T361,$AR$8)/$AR$2*100,"")</f>
        <v>72.697137580794092</v>
      </c>
      <c r="AS361" s="24">
        <f>IF(AND(A361&lt;&gt;"",X361&lt;&gt;0),SUM(X361,$AS$8)/$AS$2*100,"")</f>
        <v>72.697137580794077</v>
      </c>
      <c r="AT361" s="86">
        <f>IF(A361&lt;&gt;"",SUM(W361:X361,$AT$8)/$AT$2*100,"")</f>
        <v>72.697137580794077</v>
      </c>
      <c r="AU361" s="24">
        <f>AA361</f>
        <v>85.948568790397033</v>
      </c>
      <c r="AV361" s="24"/>
      <c r="AW361" s="27">
        <f>IF(A361&lt;&gt;"",AE361-AA361,"")</f>
        <v>-13.251431209602956</v>
      </c>
      <c r="AY361" s="27">
        <f>AR361-AP361</f>
        <v>4.6944780063260083</v>
      </c>
      <c r="AZ361" s="27">
        <f>ABS(AY361)</f>
        <v>4.6944780063260083</v>
      </c>
    </row>
    <row r="362" spans="1:52" s="27" customFormat="1" ht="12.75" customHeight="1" x14ac:dyDescent="0.2">
      <c r="A362" s="50">
        <v>943174</v>
      </c>
      <c r="B362" s="2">
        <v>23</v>
      </c>
      <c r="C362" s="50">
        <v>18</v>
      </c>
      <c r="D362" s="10">
        <v>15</v>
      </c>
      <c r="E362" s="10">
        <v>22</v>
      </c>
      <c r="F362" s="10">
        <v>11</v>
      </c>
      <c r="G362" s="10">
        <v>17</v>
      </c>
      <c r="H362" s="10">
        <v>12</v>
      </c>
      <c r="I362" s="10">
        <v>23</v>
      </c>
      <c r="J362" s="2"/>
      <c r="K362" s="10">
        <v>39</v>
      </c>
      <c r="L362" s="10">
        <v>49</v>
      </c>
      <c r="M362" s="10">
        <v>33</v>
      </c>
      <c r="N362" s="51">
        <v>52</v>
      </c>
      <c r="O362" s="11">
        <v>60</v>
      </c>
      <c r="P362" s="10"/>
      <c r="Q362" s="40"/>
      <c r="R362" s="2">
        <v>92</v>
      </c>
      <c r="S362" s="10">
        <f>IF(T362="",R362,MAX((R362+$R$8)/$R$2,(T362+$T$8)/$T$2)*$R$2-$R$8)</f>
        <v>100.38895601265199</v>
      </c>
      <c r="T362" s="62">
        <v>148</v>
      </c>
      <c r="U362" s="2">
        <f>IF(A362&lt;&gt;"",SUM(B362:I362),"")</f>
        <v>141</v>
      </c>
      <c r="V362" s="10">
        <f>IF(A362&lt;&gt;"",SUM(J362:O362),"")</f>
        <v>233</v>
      </c>
      <c r="W362" s="10">
        <f>IF(A362&lt;&gt;"",SUM(P362:Q362),"")</f>
        <v>0</v>
      </c>
      <c r="X362" s="10">
        <f>IF(A362&lt;&gt;"",SUM(S362:T362),"")</f>
        <v>248.38895601265199</v>
      </c>
      <c r="Y362" s="12">
        <v>3</v>
      </c>
      <c r="Z362" s="12">
        <f>IF(A362&lt;&gt;"",SUM(U362:Y362),"")</f>
        <v>625.38895601265199</v>
      </c>
      <c r="AA362" s="27">
        <f>IF(A362&lt;&gt;"",(Z362+Normalize_To_Add)/(Point_Total_So_Far)*100,"")</f>
        <v>70.048568790397042</v>
      </c>
      <c r="AB362" s="10">
        <f>IF(A362&lt;&gt;"",RANK(AA362,All_Student_XC),"")</f>
        <v>311</v>
      </c>
      <c r="AC362" s="31" t="str">
        <f>IF(A362&lt;&gt;"",CHOOSE(10-MIN(9,TRUNC((AA362+0.5)/10)),"A","B","C","D","F","F","F","F","F","F"),"")</f>
        <v>C</v>
      </c>
      <c r="AD362" s="31" t="str">
        <f>IF(A362&lt;&gt;"",IF(OR(AA362+0.5&gt;=93,AA362+0.5&lt;60),"",IF(MOD(AA362+0.5,10)&gt;=7,"+",IF(MOD(AA362+0.5,10)&lt;3,"-",""))),"")</f>
        <v>-</v>
      </c>
      <c r="AE362" s="31">
        <f>IF(A362&lt;&gt;"",SUM(W362:X362,$W$8:$X$8)/SUM($W$2:$X$2)*100,"")</f>
        <v>64.697137580794077</v>
      </c>
      <c r="AF362" s="43" t="str">
        <f>IF(A362&lt;&gt;"",CHOOSE(10-MIN(9,TRUNC((AE362+0.5)/10)),"A","B","C","D","F","F","F","F","F","F"),"")</f>
        <v>D</v>
      </c>
      <c r="AG362" s="43" t="str">
        <f>IF(A362&lt;&gt;"",IF(OR(AE362+0.5&gt;=93,AE362+0.5&lt;60),"",IF(MOD(AE362+0.5,10)&gt;=7,"+",IF(MOD(AE362+0.5,10)&lt;3,"-",""))),"")</f>
        <v/>
      </c>
      <c r="AH362" s="35">
        <f>IF(A362&lt;&gt;"",MIN(MAX(AA362,AE362),AA362+$AH$8,AE362+$AH$8),"")</f>
        <v>70.048568790397042</v>
      </c>
      <c r="AI362" s="31" t="str">
        <f>IF(A362&lt;&gt;"",CHOOSE(10-MIN(9,TRUNC((AH362+0.5)/10)),"A","B","C","D","F","F","F","F","F","F"),"")</f>
        <v>C</v>
      </c>
      <c r="AJ362" s="31" t="str">
        <f>IF(A362&lt;&gt;"",IF(OR(AH362+0.5&gt;=93,AH362+0.5&lt;60),"",IF(MOD(AH362+0.5,10)&gt;=7,"+",IF(MOD(AH362+0.5,10)&lt;3,"-",""))),"")</f>
        <v>-</v>
      </c>
      <c r="AK362" s="31" t="b">
        <f>IF(A362&lt;&gt;"",OR(AI362&lt;&gt;AC362,AJ362&lt;&gt;AD362),"")</f>
        <v>0</v>
      </c>
      <c r="AL362" s="81">
        <f>IF(AND(A362&lt;&gt;"",U362&gt;0),SUM(U362,$AL$8)/$AL$2*100,"")</f>
        <v>70.5</v>
      </c>
      <c r="AM362" s="24">
        <f>IF(AND(A362&lt;&gt;"",V362&gt;0),SUM(V362,$AM$8)/$AM$2*100,"")</f>
        <v>77.666666666666657</v>
      </c>
      <c r="AN362" s="24" t="str">
        <f>IF(AND(A362&lt;&gt;"",P362&lt;&gt;0),SUM(P362,$AN$8)/$AN$2*100,"")</f>
        <v/>
      </c>
      <c r="AO362" s="24" t="str">
        <f>IF(AND(A362&lt;&gt;"",Q362&lt;&gt;0),SUM(Q362,$AO$8)/$AO$2*100,"")</f>
        <v/>
      </c>
      <c r="AP362" s="24">
        <f>IF(AND(A362&lt;&gt;"",R362&lt;&gt;0),SUM(R362,$AP$8)/$AP$2*100,"")</f>
        <v>60.50265957446809</v>
      </c>
      <c r="AQ362" s="24" t="str">
        <f>IF(AND(A362&lt;&gt;"",W362&gt;0),SUM(W362,$AQ$8)/$AQ$2*100,"")</f>
        <v/>
      </c>
      <c r="AR362" s="24">
        <f>IF(AND(A362&lt;&gt;"",T362&gt;0),SUM(T362,$AR$8)/$AR$2*100,"")</f>
        <v>64.697137580794077</v>
      </c>
      <c r="AS362" s="24">
        <f>IF(AND(A362&lt;&gt;"",X362&lt;&gt;0),SUM(X362,$AS$8)/$AS$2*100,"")</f>
        <v>64.697137580794077</v>
      </c>
      <c r="AT362" s="86">
        <f>IF(A362&lt;&gt;"",SUM(W362:X362,$AT$8)/$AT$2*100,"")</f>
        <v>64.697137580794077</v>
      </c>
      <c r="AU362" s="24">
        <f>AA362</f>
        <v>70.048568790397042</v>
      </c>
      <c r="AV362" s="24"/>
      <c r="AW362" s="27">
        <f>IF(A362&lt;&gt;"",AE362-AA362,"")</f>
        <v>-5.3514312096029641</v>
      </c>
      <c r="AY362" s="27">
        <f>AR362-AP362</f>
        <v>4.194478006325987</v>
      </c>
      <c r="AZ362" s="27">
        <f>ABS(AY362)</f>
        <v>4.194478006325987</v>
      </c>
    </row>
    <row r="363" spans="1:52" s="27" customFormat="1" ht="12.75" customHeight="1" x14ac:dyDescent="0.2">
      <c r="A363" s="10">
        <v>944608</v>
      </c>
      <c r="B363" s="2">
        <v>12</v>
      </c>
      <c r="C363" s="10">
        <v>23</v>
      </c>
      <c r="D363" s="10">
        <v>24</v>
      </c>
      <c r="E363" s="10">
        <v>18</v>
      </c>
      <c r="F363" s="10">
        <v>7</v>
      </c>
      <c r="G363" s="10">
        <v>8</v>
      </c>
      <c r="H363" s="10">
        <v>10</v>
      </c>
      <c r="I363" s="10">
        <v>24</v>
      </c>
      <c r="J363" s="2"/>
      <c r="K363" s="10">
        <v>52</v>
      </c>
      <c r="L363" s="10">
        <v>9</v>
      </c>
      <c r="M363" s="10">
        <v>0</v>
      </c>
      <c r="N363" s="51">
        <v>10</v>
      </c>
      <c r="O363" s="11">
        <v>45</v>
      </c>
      <c r="P363" s="10"/>
      <c r="Q363" s="40"/>
      <c r="R363" s="2">
        <v>103</v>
      </c>
      <c r="S363" s="10">
        <f>IF(T363="",R363,MAX((R363+$R$8)/$R$2,(T363+$T$8)/$T$2)*$R$2-$R$8)</f>
        <v>103</v>
      </c>
      <c r="T363" s="12">
        <v>94</v>
      </c>
      <c r="U363" s="68">
        <f>IF(A363&lt;&gt;"",SUM(B363:I363),"")</f>
        <v>126</v>
      </c>
      <c r="V363" s="10">
        <f>IF(A363&lt;&gt;"",SUM(J363:O363),"")</f>
        <v>116</v>
      </c>
      <c r="W363" s="10">
        <f>IF(A363&lt;&gt;"",SUM(P363:Q363),"")</f>
        <v>0</v>
      </c>
      <c r="X363" s="10">
        <f>IF(A363&lt;&gt;"",SUM(S363:T363),"")</f>
        <v>197</v>
      </c>
      <c r="Y363" s="12">
        <v>3</v>
      </c>
      <c r="Z363" s="12">
        <f>IF(A363&lt;&gt;"",SUM(U363:Y363),"")</f>
        <v>442</v>
      </c>
      <c r="AA363" s="27">
        <f>IF(A363&lt;&gt;"",(Z363+Normalize_To_Add)/(Point_Total_So_Far)*100,"")</f>
        <v>51.709673189131841</v>
      </c>
      <c r="AB363" s="10">
        <f>IF(A363&lt;&gt;"",RANK(AA363,All_Student_XC),"")</f>
        <v>355</v>
      </c>
      <c r="AC363" s="31" t="str">
        <f>IF(A363&lt;&gt;"",CHOOSE(10-MIN(9,TRUNC((AA363+0.5)/10)),"A","B","C","D","F","F","F","F","F","F"),"")</f>
        <v>F</v>
      </c>
      <c r="AD363" s="31" t="str">
        <f>IF(A363&lt;&gt;"",IF(OR(AA363+0.5&gt;=93,AA363+0.5&lt;60),"",IF(MOD(AA363+0.5,10)&gt;=7,"+",IF(MOD(AA363+0.5,10)&lt;3,"-",""))),"")</f>
        <v/>
      </c>
      <c r="AE363" s="31">
        <f>IF(A363&lt;&gt;"",SUM(W363:X363,$W$8:$X$8)/SUM($W$2:$X$2)*100,"")</f>
        <v>54.41934637826369</v>
      </c>
      <c r="AF363" s="31" t="str">
        <f>IF(A363&lt;&gt;"",CHOOSE(10-MIN(9,TRUNC((AE363+0.5)/10)),"A","B","C","D","F","F","F","F","F","F"),"")</f>
        <v>F</v>
      </c>
      <c r="AG363" s="31" t="str">
        <f>IF(A363&lt;&gt;"",IF(OR(AE363+0.5&gt;=93,AE363+0.5&lt;60),"",IF(MOD(AE363+0.5,10)&gt;=7,"+",IF(MOD(AE363+0.5,10)&lt;3,"-",""))),"")</f>
        <v/>
      </c>
      <c r="AH363" s="35">
        <f>IF(A363&lt;&gt;"",MIN(MAX(AA363,AE363),AA363+$AH$8,AE363+$AH$8),"")</f>
        <v>54.41934637826369</v>
      </c>
      <c r="AI363" s="31" t="str">
        <f>IF(A363&lt;&gt;"",CHOOSE(10-MIN(9,TRUNC((AH363+0.5)/10)),"A","B","C","D","F","F","F","F","F","F"),"")</f>
        <v>F</v>
      </c>
      <c r="AJ363" s="31" t="str">
        <f>IF(A363&lt;&gt;"",IF(OR(AH363+0.5&gt;=93,AH363+0.5&lt;60),"",IF(MOD(AH363+0.5,10)&gt;=7,"+",IF(MOD(AH363+0.5,10)&lt;3,"-",""))),"")</f>
        <v/>
      </c>
      <c r="AK363" s="31" t="b">
        <f>IF(A363&lt;&gt;"",OR(AI363&lt;&gt;AC363,AJ363&lt;&gt;AD363),"")</f>
        <v>0</v>
      </c>
      <c r="AL363" s="81">
        <f>IF(AND(A363&lt;&gt;"",U363&gt;0),SUM(U363,$AL$8)/$AL$2*100,"")</f>
        <v>63</v>
      </c>
      <c r="AM363" s="24">
        <f>IF(AND(A363&lt;&gt;"",V363&gt;0),SUM(V363,$AM$8)/$AM$2*100,"")</f>
        <v>38.666666666666664</v>
      </c>
      <c r="AN363" s="24" t="str">
        <f>IF(AND(A363&lt;&gt;"",P363&lt;&gt;0),SUM(P363,$AN$8)/$AN$2*100,"")</f>
        <v/>
      </c>
      <c r="AO363" s="24" t="str">
        <f>IF(AND(A363&lt;&gt;"",Q363&lt;&gt;0),SUM(Q363,$AO$8)/$AO$2*100,"")</f>
        <v/>
      </c>
      <c r="AP363" s="24">
        <f>IF(AND(A363&lt;&gt;"",R363&lt;&gt;0),SUM(R363,$AP$8)/$AP$2*100,"")</f>
        <v>66.002659574468083</v>
      </c>
      <c r="AQ363" s="24" t="str">
        <f>IF(AND(A363&lt;&gt;"",W363&gt;0),SUM(W363,$AQ$8)/$AQ$2*100,"")</f>
        <v/>
      </c>
      <c r="AR363" s="24">
        <f>IF(AND(A363&lt;&gt;"",T363&gt;0),SUM(T363,$AR$8)/$AR$2*100,"")</f>
        <v>46.697137580794084</v>
      </c>
      <c r="AS363" s="24">
        <f>IF(AND(A363&lt;&gt;"",X363&lt;&gt;0),SUM(X363,$AS$8)/$AS$2*100,"")</f>
        <v>54.41934637826369</v>
      </c>
      <c r="AT363" s="86">
        <f>IF(A363&lt;&gt;"",SUM(W363:X363,$AT$8)/$AT$2*100,"")</f>
        <v>54.41934637826369</v>
      </c>
      <c r="AU363" s="24">
        <f>AA363</f>
        <v>51.709673189131841</v>
      </c>
      <c r="AV363" s="24"/>
      <c r="AW363" s="27">
        <f>IF(A363&lt;&gt;"",AE363-AA363,"")</f>
        <v>2.7096731891318484</v>
      </c>
      <c r="AY363" s="27">
        <f>AR363-AP363</f>
        <v>-19.305521993673999</v>
      </c>
      <c r="AZ363" s="27">
        <f>ABS(AY363)</f>
        <v>19.305521993673999</v>
      </c>
    </row>
    <row r="364" spans="1:52" s="27" customFormat="1" ht="12.75" customHeight="1" x14ac:dyDescent="0.2">
      <c r="A364" s="10">
        <v>945196</v>
      </c>
      <c r="B364" s="2">
        <v>23</v>
      </c>
      <c r="C364" s="10">
        <v>25</v>
      </c>
      <c r="D364" s="10">
        <v>23</v>
      </c>
      <c r="E364" s="10">
        <v>23</v>
      </c>
      <c r="F364" s="10">
        <v>24</v>
      </c>
      <c r="G364" s="10">
        <v>25</v>
      </c>
      <c r="H364" s="10">
        <v>24</v>
      </c>
      <c r="I364" s="10">
        <v>23</v>
      </c>
      <c r="J364" s="2"/>
      <c r="K364" s="10">
        <v>55</v>
      </c>
      <c r="L364" s="10">
        <v>62</v>
      </c>
      <c r="M364" s="10">
        <v>59</v>
      </c>
      <c r="N364" s="51">
        <v>62</v>
      </c>
      <c r="O364" s="11">
        <v>60</v>
      </c>
      <c r="P364" s="10"/>
      <c r="Q364" s="40"/>
      <c r="R364" s="2">
        <v>151</v>
      </c>
      <c r="S364" s="10">
        <f>IF(T364="",R364,MAX((R364+$R$8)/$R$2,(T364+$T$8)/$T$2)*$R$2-$R$8)</f>
        <v>168.38895601265202</v>
      </c>
      <c r="T364" s="12">
        <v>250</v>
      </c>
      <c r="U364" s="68">
        <f>IF(A364&lt;&gt;"",SUM(B364:I364),"")</f>
        <v>190</v>
      </c>
      <c r="V364" s="10">
        <f>IF(A364&lt;&gt;"",SUM(J364:O364),"")</f>
        <v>298</v>
      </c>
      <c r="W364" s="10">
        <f>IF(A364&lt;&gt;"",SUM(P364:Q364),"")</f>
        <v>0</v>
      </c>
      <c r="X364" s="10">
        <f>IF(A364&lt;&gt;"",SUM(S364:T364),"")</f>
        <v>418.38895601265199</v>
      </c>
      <c r="Y364" s="12">
        <v>3</v>
      </c>
      <c r="Z364" s="12">
        <f>IF(A364&lt;&gt;"",SUM(U364:Y364),"")</f>
        <v>909.38895601265199</v>
      </c>
      <c r="AA364" s="27">
        <f>IF(A364&lt;&gt;"",(Z364+Normalize_To_Add)/(Point_Total_So_Far)*100,"")</f>
        <v>98.448568790397033</v>
      </c>
      <c r="AB364" s="10">
        <f>IF(A364&lt;&gt;"",RANK(AA364,All_Student_XC),"")</f>
        <v>13</v>
      </c>
      <c r="AC364" s="31" t="str">
        <f>IF(A364&lt;&gt;"",CHOOSE(10-MIN(9,TRUNC((AA364+0.5)/10)),"A","B","C","D","F","F","F","F","F","F"),"")</f>
        <v>A</v>
      </c>
      <c r="AD364" s="31" t="str">
        <f>IF(A364&lt;&gt;"",IF(OR(AA364+0.5&gt;=93,AA364+0.5&lt;60),"",IF(MOD(AA364+0.5,10)&gt;=7,"+",IF(MOD(AA364+0.5,10)&lt;3,"-",""))),"")</f>
        <v/>
      </c>
      <c r="AE364" s="31">
        <f>IF(A364&lt;&gt;"",SUM(W364:X364,$W$8:$X$8)/SUM($W$2:$X$2)*100,"")</f>
        <v>98.697137580794077</v>
      </c>
      <c r="AF364" s="31" t="str">
        <f>IF(A364&lt;&gt;"",CHOOSE(10-MIN(9,TRUNC((AE364+0.5)/10)),"A","B","C","D","F","F","F","F","F","F"),"")</f>
        <v>A</v>
      </c>
      <c r="AG364" s="31" t="str">
        <f>IF(A364&lt;&gt;"",IF(OR(AE364+0.5&gt;=93,AE364+0.5&lt;60),"",IF(MOD(AE364+0.5,10)&gt;=7,"+",IF(MOD(AE364+0.5,10)&lt;3,"-",""))),"")</f>
        <v/>
      </c>
      <c r="AH364" s="35">
        <f>IF(A364&lt;&gt;"",MIN(MAX(AA364,AE364),AA364+$AH$8,AE364+$AH$8),"")</f>
        <v>98.697137580794077</v>
      </c>
      <c r="AI364" s="31" t="str">
        <f>IF(A364&lt;&gt;"",CHOOSE(10-MIN(9,TRUNC((AH364+0.5)/10)),"A","B","C","D","F","F","F","F","F","F"),"")</f>
        <v>A</v>
      </c>
      <c r="AJ364" s="31" t="str">
        <f>IF(A364&lt;&gt;"",IF(OR(AH364+0.5&gt;=93,AH364+0.5&lt;60),"",IF(MOD(AH364+0.5,10)&gt;=7,"+",IF(MOD(AH364+0.5,10)&lt;3,"-",""))),"")</f>
        <v/>
      </c>
      <c r="AK364" s="31" t="b">
        <f>IF(A364&lt;&gt;"",OR(AI364&lt;&gt;AC364,AJ364&lt;&gt;AD364),"")</f>
        <v>0</v>
      </c>
      <c r="AL364" s="81">
        <f>IF(AND(A364&lt;&gt;"",U364&gt;0),SUM(U364,$AL$8)/$AL$2*100,"")</f>
        <v>95</v>
      </c>
      <c r="AM364" s="24">
        <f>IF(AND(A364&lt;&gt;"",V364&gt;0),SUM(V364,$AM$8)/$AM$2*100,"")</f>
        <v>99.333333333333329</v>
      </c>
      <c r="AN364" s="24" t="str">
        <f>IF(AND(A364&lt;&gt;"",P364&lt;&gt;0),SUM(P364,$AN$8)/$AN$2*100,"")</f>
        <v/>
      </c>
      <c r="AO364" s="24" t="str">
        <f>IF(AND(A364&lt;&gt;"",Q364&lt;&gt;0),SUM(Q364,$AO$8)/$AO$2*100,"")</f>
        <v/>
      </c>
      <c r="AP364" s="24">
        <f>IF(AND(A364&lt;&gt;"",R364&lt;&gt;0),SUM(R364,$AP$8)/$AP$2*100,"")</f>
        <v>90.002659574468083</v>
      </c>
      <c r="AQ364" s="24" t="str">
        <f>IF(AND(A364&lt;&gt;"",W364&gt;0),SUM(W364,$AQ$8)/$AQ$2*100,"")</f>
        <v/>
      </c>
      <c r="AR364" s="24">
        <f>IF(AND(A364&lt;&gt;"",T364&gt;0),SUM(T364,$AR$8)/$AR$2*100,"")</f>
        <v>98.697137580794092</v>
      </c>
      <c r="AS364" s="24">
        <f>IF(AND(A364&lt;&gt;"",X364&lt;&gt;0),SUM(X364,$AS$8)/$AS$2*100,"")</f>
        <v>98.697137580794077</v>
      </c>
      <c r="AT364" s="86">
        <f>IF(A364&lt;&gt;"",SUM(W364:X364,$AT$8)/$AT$2*100,"")</f>
        <v>98.697137580794077</v>
      </c>
      <c r="AU364" s="24">
        <f>AA364</f>
        <v>98.448568790397033</v>
      </c>
      <c r="AV364" s="24"/>
      <c r="AW364" s="27">
        <f>IF(A364&lt;&gt;"",AE364-AA364,"")</f>
        <v>0.24856879039704438</v>
      </c>
      <c r="AY364" s="27">
        <f>AR364-AP364</f>
        <v>8.6944780063260083</v>
      </c>
      <c r="AZ364" s="27">
        <f>ABS(AY364)</f>
        <v>8.6944780063260083</v>
      </c>
    </row>
    <row r="365" spans="1:52" s="27" customFormat="1" ht="12.75" customHeight="1" x14ac:dyDescent="0.2">
      <c r="A365" s="10">
        <v>945216</v>
      </c>
      <c r="B365" s="2">
        <v>25</v>
      </c>
      <c r="C365" s="10">
        <v>21</v>
      </c>
      <c r="D365" s="10">
        <v>24</v>
      </c>
      <c r="E365" s="10">
        <v>21</v>
      </c>
      <c r="F365" s="10">
        <v>19</v>
      </c>
      <c r="G365" s="10">
        <v>25</v>
      </c>
      <c r="H365" s="10">
        <v>24</v>
      </c>
      <c r="I365" s="10">
        <v>25</v>
      </c>
      <c r="J365" s="2"/>
      <c r="K365" s="10">
        <v>56</v>
      </c>
      <c r="L365" s="10">
        <v>50</v>
      </c>
      <c r="M365" s="10">
        <v>60</v>
      </c>
      <c r="N365" s="51">
        <v>61</v>
      </c>
      <c r="O365" s="11">
        <v>57</v>
      </c>
      <c r="P365" s="10"/>
      <c r="Q365" s="40"/>
      <c r="R365" s="2">
        <v>136</v>
      </c>
      <c r="S365" s="10">
        <f>IF(T365="",R365,MAX((R365+$R$8)/$R$2,(T365+$T$8)/$T$2)*$R$2-$R$8)</f>
        <v>143.05562267931867</v>
      </c>
      <c r="T365" s="12">
        <v>212</v>
      </c>
      <c r="U365" s="68">
        <f>IF(A365&lt;&gt;"",SUM(B365:I365),"")</f>
        <v>184</v>
      </c>
      <c r="V365" s="10">
        <f>IF(A365&lt;&gt;"",SUM(J365:O365),"")</f>
        <v>284</v>
      </c>
      <c r="W365" s="10">
        <f>IF(A365&lt;&gt;"",SUM(P365:Q365),"")</f>
        <v>0</v>
      </c>
      <c r="X365" s="10">
        <f>IF(A365&lt;&gt;"",SUM(S365:T365),"")</f>
        <v>355.05562267931867</v>
      </c>
      <c r="Y365" s="12">
        <v>3</v>
      </c>
      <c r="Z365" s="12">
        <f>IF(A365&lt;&gt;"",SUM(U365:Y365),"")</f>
        <v>826.05562267931873</v>
      </c>
      <c r="AA365" s="27">
        <f>IF(A365&lt;&gt;"",(Z365+Normalize_To_Add)/(Point_Total_So_Far)*100,"")</f>
        <v>90.115235457063719</v>
      </c>
      <c r="AB365" s="10">
        <f>IF(A365&lt;&gt;"",RANK(AA365,All_Student_XC),"")</f>
        <v>74</v>
      </c>
      <c r="AC365" s="31" t="str">
        <f>IF(A365&lt;&gt;"",CHOOSE(10-MIN(9,TRUNC((AA365+0.5)/10)),"A","B","C","D","F","F","F","F","F","F"),"")</f>
        <v>A</v>
      </c>
      <c r="AD365" s="31" t="str">
        <f>IF(A365&lt;&gt;"",IF(OR(AA365+0.5&gt;=93,AA365+0.5&lt;60),"",IF(MOD(AA365+0.5,10)&gt;=7,"+",IF(MOD(AA365+0.5,10)&lt;3,"-",""))),"")</f>
        <v>-</v>
      </c>
      <c r="AE365" s="31">
        <f>IF(A365&lt;&gt;"",SUM(W365:X365,$W$8:$X$8)/SUM($W$2:$X$2)*100,"")</f>
        <v>86.03047091412742</v>
      </c>
      <c r="AF365" s="31" t="str">
        <f>IF(A365&lt;&gt;"",CHOOSE(10-MIN(9,TRUNC((AE365+0.5)/10)),"A","B","C","D","F","F","F","F","F","F"),"")</f>
        <v>B</v>
      </c>
      <c r="AG365" s="31" t="str">
        <f>IF(A365&lt;&gt;"",IF(OR(AE365+0.5&gt;=93,AE365+0.5&lt;60),"",IF(MOD(AE365+0.5,10)&gt;=7,"+",IF(MOD(AE365+0.5,10)&lt;3,"-",""))),"")</f>
        <v/>
      </c>
      <c r="AH365" s="35">
        <f>IF(A365&lt;&gt;"",MIN(MAX(AA365,AE365),AA365+$AH$8,AE365+$AH$8),"")</f>
        <v>90.115235457063719</v>
      </c>
      <c r="AI365" s="31" t="str">
        <f>IF(A365&lt;&gt;"",CHOOSE(10-MIN(9,TRUNC((AH365+0.5)/10)),"A","B","C","D","F","F","F","F","F","F"),"")</f>
        <v>A</v>
      </c>
      <c r="AJ365" s="31" t="str">
        <f>IF(A365&lt;&gt;"",IF(OR(AH365+0.5&gt;=93,AH365+0.5&lt;60),"",IF(MOD(AH365+0.5,10)&gt;=7,"+",IF(MOD(AH365+0.5,10)&lt;3,"-",""))),"")</f>
        <v>-</v>
      </c>
      <c r="AK365" s="31" t="b">
        <f>IF(A365&lt;&gt;"",OR(AI365&lt;&gt;AC365,AJ365&lt;&gt;AD365),"")</f>
        <v>0</v>
      </c>
      <c r="AL365" s="81">
        <f>IF(AND(A365&lt;&gt;"",U365&gt;0),SUM(U365,$AL$8)/$AL$2*100,"")</f>
        <v>92</v>
      </c>
      <c r="AM365" s="24">
        <f>IF(AND(A365&lt;&gt;"",V365&gt;0),SUM(V365,$AM$8)/$AM$2*100,"")</f>
        <v>94.666666666666671</v>
      </c>
      <c r="AN365" s="24" t="str">
        <f>IF(AND(A365&lt;&gt;"",P365&lt;&gt;0),SUM(P365,$AN$8)/$AN$2*100,"")</f>
        <v/>
      </c>
      <c r="AO365" s="24" t="str">
        <f>IF(AND(A365&lt;&gt;"",Q365&lt;&gt;0),SUM(Q365,$AO$8)/$AO$2*100,"")</f>
        <v/>
      </c>
      <c r="AP365" s="24">
        <f>IF(AND(A365&lt;&gt;"",R365&lt;&gt;0),SUM(R365,$AP$8)/$AP$2*100,"")</f>
        <v>82.502659574468083</v>
      </c>
      <c r="AQ365" s="24" t="str">
        <f>IF(AND(A365&lt;&gt;"",W365&gt;0),SUM(W365,$AQ$8)/$AQ$2*100,"")</f>
        <v/>
      </c>
      <c r="AR365" s="24">
        <f>IF(AND(A365&lt;&gt;"",T365&gt;0),SUM(T365,$AR$8)/$AR$2*100,"")</f>
        <v>86.03047091412742</v>
      </c>
      <c r="AS365" s="24">
        <f>IF(AND(A365&lt;&gt;"",X365&lt;&gt;0),SUM(X365,$AS$8)/$AS$2*100,"")</f>
        <v>86.03047091412742</v>
      </c>
      <c r="AT365" s="86">
        <f>IF(A365&lt;&gt;"",SUM(W365:X365,$AT$8)/$AT$2*100,"")</f>
        <v>86.03047091412742</v>
      </c>
      <c r="AU365" s="24">
        <f>AA365</f>
        <v>90.115235457063719</v>
      </c>
      <c r="AV365" s="24"/>
      <c r="AW365" s="27">
        <f>IF(A365&lt;&gt;"",AE365-AA365,"")</f>
        <v>-4.0847645429362984</v>
      </c>
      <c r="AY365" s="27">
        <f>AR365-AP365</f>
        <v>3.5278113396593369</v>
      </c>
      <c r="AZ365" s="27">
        <f>ABS(AY365)</f>
        <v>3.5278113396593369</v>
      </c>
    </row>
    <row r="366" spans="1:52" s="27" customFormat="1" ht="12.75" customHeight="1" x14ac:dyDescent="0.2">
      <c r="A366" s="50">
        <v>946362</v>
      </c>
      <c r="B366" s="2">
        <v>10</v>
      </c>
      <c r="C366" s="50">
        <v>18</v>
      </c>
      <c r="D366" s="10">
        <v>16</v>
      </c>
      <c r="E366" s="10">
        <v>15</v>
      </c>
      <c r="F366" s="10">
        <v>15</v>
      </c>
      <c r="G366" s="10">
        <v>25</v>
      </c>
      <c r="H366" s="10">
        <v>14</v>
      </c>
      <c r="I366" s="10">
        <v>25</v>
      </c>
      <c r="J366" s="2"/>
      <c r="K366" s="10">
        <v>47</v>
      </c>
      <c r="L366" s="10">
        <v>41</v>
      </c>
      <c r="M366" s="10">
        <v>28</v>
      </c>
      <c r="N366" s="51">
        <v>36</v>
      </c>
      <c r="O366" s="11">
        <v>62</v>
      </c>
      <c r="P366" s="10"/>
      <c r="Q366" s="40"/>
      <c r="R366" s="2">
        <v>107</v>
      </c>
      <c r="S366" s="10">
        <f>IF(T366="",R366,MAX((R366+$R$8)/$R$2,(T366+$T$8)/$T$2)*$R$2-$R$8)</f>
        <v>107</v>
      </c>
      <c r="T366" s="62">
        <v>148</v>
      </c>
      <c r="U366" s="2">
        <f>IF(A366&lt;&gt;"",SUM(B366:I366),"")</f>
        <v>138</v>
      </c>
      <c r="V366" s="10">
        <f>IF(A366&lt;&gt;"",SUM(J366:O366),"")</f>
        <v>214</v>
      </c>
      <c r="W366" s="10">
        <f>IF(A366&lt;&gt;"",SUM(P366:Q366),"")</f>
        <v>0</v>
      </c>
      <c r="X366" s="10">
        <f>IF(A366&lt;&gt;"",SUM(S366:T366),"")</f>
        <v>255</v>
      </c>
      <c r="Y366" s="12">
        <v>3</v>
      </c>
      <c r="Z366" s="12">
        <f>IF(A366&lt;&gt;"",SUM(U366:Y366),"")</f>
        <v>610</v>
      </c>
      <c r="AA366" s="27">
        <f>IF(A366&lt;&gt;"",(Z366+Normalize_To_Add)/(Point_Total_So_Far)*100,"")</f>
        <v>68.509673189131846</v>
      </c>
      <c r="AB366" s="10">
        <f>IF(A366&lt;&gt;"",RANK(AA366,All_Student_XC),"")</f>
        <v>326</v>
      </c>
      <c r="AC366" s="31" t="str">
        <f>IF(A366&lt;&gt;"",CHOOSE(10-MIN(9,TRUNC((AA366+0.5)/10)),"A","B","C","D","F","F","F","F","F","F"),"")</f>
        <v>D</v>
      </c>
      <c r="AD366" s="31" t="str">
        <f>IF(A366&lt;&gt;"",IF(OR(AA366+0.5&gt;=93,AA366+0.5&lt;60),"",IF(MOD(AA366+0.5,10)&gt;=7,"+",IF(MOD(AA366+0.5,10)&lt;3,"-",""))),"")</f>
        <v>+</v>
      </c>
      <c r="AE366" s="31">
        <f>IF(A366&lt;&gt;"",SUM(W366:X366,$W$8:$X$8)/SUM($W$2:$X$2)*100,"")</f>
        <v>66.019346378263691</v>
      </c>
      <c r="AF366" s="43" t="str">
        <f>IF(A366&lt;&gt;"",CHOOSE(10-MIN(9,TRUNC((AE366+0.5)/10)),"A","B","C","D","F","F","F","F","F","F"),"")</f>
        <v>D</v>
      </c>
      <c r="AG366" s="43" t="str">
        <f>IF(A366&lt;&gt;"",IF(OR(AE366+0.5&gt;=93,AE366+0.5&lt;60),"",IF(MOD(AE366+0.5,10)&gt;=7,"+",IF(MOD(AE366+0.5,10)&lt;3,"-",""))),"")</f>
        <v/>
      </c>
      <c r="AH366" s="35">
        <f>IF(A366&lt;&gt;"",MIN(MAX(AA366,AE366),AA366+$AH$8,AE366+$AH$8),"")</f>
        <v>68.509673189131846</v>
      </c>
      <c r="AI366" s="31" t="str">
        <f>IF(A366&lt;&gt;"",CHOOSE(10-MIN(9,TRUNC((AH366+0.5)/10)),"A","B","C","D","F","F","F","F","F","F"),"")</f>
        <v>D</v>
      </c>
      <c r="AJ366" s="31" t="str">
        <f>IF(A366&lt;&gt;"",IF(OR(AH366+0.5&gt;=93,AH366+0.5&lt;60),"",IF(MOD(AH366+0.5,10)&gt;=7,"+",IF(MOD(AH366+0.5,10)&lt;3,"-",""))),"")</f>
        <v>+</v>
      </c>
      <c r="AK366" s="31" t="b">
        <f>IF(A366&lt;&gt;"",OR(AI366&lt;&gt;AC366,AJ366&lt;&gt;AD366),"")</f>
        <v>0</v>
      </c>
      <c r="AL366" s="81">
        <f>IF(AND(A366&lt;&gt;"",U366&gt;0),SUM(U366,$AL$8)/$AL$2*100,"")</f>
        <v>69</v>
      </c>
      <c r="AM366" s="24">
        <f>IF(AND(A366&lt;&gt;"",V366&gt;0),SUM(V366,$AM$8)/$AM$2*100,"")</f>
        <v>71.333333333333343</v>
      </c>
      <c r="AN366" s="24" t="str">
        <f>IF(AND(A366&lt;&gt;"",P366&lt;&gt;0),SUM(P366,$AN$8)/$AN$2*100,"")</f>
        <v/>
      </c>
      <c r="AO366" s="24" t="str">
        <f>IF(AND(A366&lt;&gt;"",Q366&lt;&gt;0),SUM(Q366,$AO$8)/$AO$2*100,"")</f>
        <v/>
      </c>
      <c r="AP366" s="24">
        <f>IF(AND(A366&lt;&gt;"",R366&lt;&gt;0),SUM(R366,$AP$8)/$AP$2*100,"")</f>
        <v>68.002659574468083</v>
      </c>
      <c r="AQ366" s="24" t="str">
        <f>IF(AND(A366&lt;&gt;"",W366&gt;0),SUM(W366,$AQ$8)/$AQ$2*100,"")</f>
        <v/>
      </c>
      <c r="AR366" s="24">
        <f>IF(AND(A366&lt;&gt;"",T366&gt;0),SUM(T366,$AR$8)/$AR$2*100,"")</f>
        <v>64.697137580794077</v>
      </c>
      <c r="AS366" s="24">
        <f>IF(AND(A366&lt;&gt;"",X366&lt;&gt;0),SUM(X366,$AS$8)/$AS$2*100,"")</f>
        <v>66.019346378263691</v>
      </c>
      <c r="AT366" s="86">
        <f>IF(A366&lt;&gt;"",SUM(W366:X366,$AT$8)/$AT$2*100,"")</f>
        <v>66.019346378263691</v>
      </c>
      <c r="AU366" s="24">
        <f>AA366</f>
        <v>68.509673189131846</v>
      </c>
      <c r="AV366" s="24"/>
      <c r="AW366" s="27">
        <f>IF(A366&lt;&gt;"",AE366-AA366,"")</f>
        <v>-2.4903268108681544</v>
      </c>
      <c r="AY366" s="27">
        <f>AR366-AP366</f>
        <v>-3.3055219936740059</v>
      </c>
      <c r="AZ366" s="27">
        <f>ABS(AY366)</f>
        <v>3.3055219936740059</v>
      </c>
    </row>
    <row r="367" spans="1:52" s="27" customFormat="1" ht="12.75" customHeight="1" x14ac:dyDescent="0.2">
      <c r="A367" s="10">
        <v>947360</v>
      </c>
      <c r="B367" s="2">
        <v>20</v>
      </c>
      <c r="C367" s="10">
        <v>25</v>
      </c>
      <c r="D367" s="10">
        <v>24</v>
      </c>
      <c r="E367" s="10">
        <v>24</v>
      </c>
      <c r="F367" s="10">
        <v>22</v>
      </c>
      <c r="G367" s="10">
        <v>25</v>
      </c>
      <c r="H367" s="10">
        <v>5</v>
      </c>
      <c r="I367" s="10">
        <v>25</v>
      </c>
      <c r="J367" s="2"/>
      <c r="K367" s="10">
        <v>61</v>
      </c>
      <c r="L367" s="10">
        <v>61</v>
      </c>
      <c r="M367" s="10">
        <v>59</v>
      </c>
      <c r="N367" s="51">
        <v>60</v>
      </c>
      <c r="O367" s="11">
        <v>61</v>
      </c>
      <c r="P367" s="10"/>
      <c r="Q367" s="40"/>
      <c r="R367" s="2">
        <v>70</v>
      </c>
      <c r="S367" s="10">
        <f>IF(T367="",R367,MAX((R367+$R$8)/$R$2,(T367+$T$8)/$T$2)*$R$2-$R$8)</f>
        <v>71.055622679318674</v>
      </c>
      <c r="T367" s="12">
        <v>104</v>
      </c>
      <c r="U367" s="68">
        <f>IF(A367&lt;&gt;"",SUM(B367:I367),"")</f>
        <v>170</v>
      </c>
      <c r="V367" s="10">
        <f>IF(A367&lt;&gt;"",SUM(J367:O367),"")</f>
        <v>302</v>
      </c>
      <c r="W367" s="10">
        <f>IF(A367&lt;&gt;"",SUM(P367:Q367),"")</f>
        <v>0</v>
      </c>
      <c r="X367" s="10">
        <f>IF(A367&lt;&gt;"",SUM(S367:T367),"")</f>
        <v>175.05562267931867</v>
      </c>
      <c r="Y367" s="12">
        <v>3</v>
      </c>
      <c r="Z367" s="12">
        <f>IF(A367&lt;&gt;"",SUM(U367:Y367),"")</f>
        <v>650.05562267931873</v>
      </c>
      <c r="AA367" s="27">
        <f>IF(A367&lt;&gt;"",(Z367+Normalize_To_Add)/(Point_Total_So_Far)*100,"")</f>
        <v>72.515235457063724</v>
      </c>
      <c r="AB367" s="10">
        <f>IF(A367&lt;&gt;"",RANK(AA367,All_Student_XC),"")</f>
        <v>290</v>
      </c>
      <c r="AC367" s="31" t="str">
        <f>IF(A367&lt;&gt;"",CHOOSE(10-MIN(9,TRUNC((AA367+0.5)/10)),"A","B","C","D","F","F","F","F","F","F"),"")</f>
        <v>C</v>
      </c>
      <c r="AD367" s="31" t="str">
        <f>IF(A367&lt;&gt;"",IF(OR(AA367+0.5&gt;=93,AA367+0.5&lt;60),"",IF(MOD(AA367+0.5,10)&gt;=7,"+",IF(MOD(AA367+0.5,10)&lt;3,"-",""))),"")</f>
        <v/>
      </c>
      <c r="AE367" s="31">
        <f>IF(A367&lt;&gt;"",SUM(W367:X367,$W$8:$X$8)/SUM($W$2:$X$2)*100,"")</f>
        <v>50.03047091412742</v>
      </c>
      <c r="AF367" s="31" t="str">
        <f>IF(A367&lt;&gt;"",CHOOSE(10-MIN(9,TRUNC((AE367+0.5)/10)),"A","B","C","D","F","F","F","F","F","F"),"")</f>
        <v>F</v>
      </c>
      <c r="AG367" s="31" t="str">
        <f>IF(A367&lt;&gt;"",IF(OR(AE367+0.5&gt;=93,AE367+0.5&lt;60),"",IF(MOD(AE367+0.5,10)&gt;=7,"+",IF(MOD(AE367+0.5,10)&lt;3,"-",""))),"")</f>
        <v/>
      </c>
      <c r="AH367" s="35">
        <f>IF(A367&lt;&gt;"",MIN(MAX(AA367,AE367),AA367+$AH$8,AE367+$AH$8),"")</f>
        <v>72.515235457063724</v>
      </c>
      <c r="AI367" s="31" t="str">
        <f>IF(A367&lt;&gt;"",CHOOSE(10-MIN(9,TRUNC((AH367+0.5)/10)),"A","B","C","D","F","F","F","F","F","F"),"")</f>
        <v>C</v>
      </c>
      <c r="AJ367" s="31" t="str">
        <f>IF(A367&lt;&gt;"",IF(OR(AH367+0.5&gt;=93,AH367+0.5&lt;60),"",IF(MOD(AH367+0.5,10)&gt;=7,"+",IF(MOD(AH367+0.5,10)&lt;3,"-",""))),"")</f>
        <v/>
      </c>
      <c r="AK367" s="31" t="b">
        <f>IF(A367&lt;&gt;"",OR(AI367&lt;&gt;AC367,AJ367&lt;&gt;AD367),"")</f>
        <v>0</v>
      </c>
      <c r="AL367" s="81">
        <f>IF(AND(A367&lt;&gt;"",U367&gt;0),SUM(U367,$AL$8)/$AL$2*100,"")</f>
        <v>85</v>
      </c>
      <c r="AM367" s="24">
        <f>IF(AND(A367&lt;&gt;"",V367&gt;0),SUM(V367,$AM$8)/$AM$2*100,"")</f>
        <v>100.66666666666666</v>
      </c>
      <c r="AN367" s="24" t="str">
        <f>IF(AND(A367&lt;&gt;"",P367&lt;&gt;0),SUM(P367,$AN$8)/$AN$2*100,"")</f>
        <v/>
      </c>
      <c r="AO367" s="24" t="str">
        <f>IF(AND(A367&lt;&gt;"",Q367&lt;&gt;0),SUM(Q367,$AO$8)/$AO$2*100,"")</f>
        <v/>
      </c>
      <c r="AP367" s="24">
        <f>IF(AND(A367&lt;&gt;"",R367&lt;&gt;0),SUM(R367,$AP$8)/$AP$2*100,"")</f>
        <v>49.502659574468083</v>
      </c>
      <c r="AQ367" s="24" t="str">
        <f>IF(AND(A367&lt;&gt;"",W367&gt;0),SUM(W367,$AQ$8)/$AQ$2*100,"")</f>
        <v/>
      </c>
      <c r="AR367" s="24">
        <f>IF(AND(A367&lt;&gt;"",T367&gt;0),SUM(T367,$AR$8)/$AR$2*100,"")</f>
        <v>50.03047091412742</v>
      </c>
      <c r="AS367" s="24">
        <f>IF(AND(A367&lt;&gt;"",X367&lt;&gt;0),SUM(X367,$AS$8)/$AS$2*100,"")</f>
        <v>50.03047091412742</v>
      </c>
      <c r="AT367" s="86">
        <f>IF(A367&lt;&gt;"",SUM(W367:X367,$AT$8)/$AT$2*100,"")</f>
        <v>50.03047091412742</v>
      </c>
      <c r="AU367" s="24">
        <f>AA367</f>
        <v>72.515235457063724</v>
      </c>
      <c r="AV367" s="24"/>
      <c r="AW367" s="27">
        <f>IF(A367&lt;&gt;"",AE367-AA367,"")</f>
        <v>-22.484764542936304</v>
      </c>
      <c r="AY367" s="27">
        <f>AR367-AP367</f>
        <v>0.52781133965933691</v>
      </c>
      <c r="AZ367" s="27">
        <f>ABS(AY367)</f>
        <v>0.52781133965933691</v>
      </c>
    </row>
    <row r="368" spans="1:52" s="27" customFormat="1" ht="12.75" customHeight="1" x14ac:dyDescent="0.2">
      <c r="A368" s="50">
        <v>948870</v>
      </c>
      <c r="B368" s="2">
        <v>25</v>
      </c>
      <c r="C368" s="50">
        <v>22</v>
      </c>
      <c r="D368" s="10">
        <v>25</v>
      </c>
      <c r="E368" s="10">
        <v>23</v>
      </c>
      <c r="F368" s="10">
        <v>20</v>
      </c>
      <c r="G368" s="10">
        <v>25</v>
      </c>
      <c r="H368" s="10">
        <v>25</v>
      </c>
      <c r="I368" s="10">
        <v>25</v>
      </c>
      <c r="J368" s="2"/>
      <c r="K368" s="10">
        <v>61</v>
      </c>
      <c r="L368" s="10">
        <v>62</v>
      </c>
      <c r="M368" s="10">
        <v>57</v>
      </c>
      <c r="N368" s="51">
        <v>62</v>
      </c>
      <c r="O368" s="11">
        <v>62</v>
      </c>
      <c r="P368" s="10"/>
      <c r="Q368" s="40"/>
      <c r="R368" s="2">
        <v>111</v>
      </c>
      <c r="S368" s="10">
        <f>IF(T368="",R368,MAX((R368+$R$8)/$R$2,(T368+$T$8)/$T$2)*$R$2-$R$8)</f>
        <v>128.38895601265202</v>
      </c>
      <c r="T368" s="62">
        <v>190</v>
      </c>
      <c r="U368" s="2">
        <f>IF(A368&lt;&gt;"",SUM(B368:I368),"")</f>
        <v>190</v>
      </c>
      <c r="V368" s="10">
        <f>IF(A368&lt;&gt;"",SUM(J368:O368),"")</f>
        <v>304</v>
      </c>
      <c r="W368" s="10">
        <f>IF(A368&lt;&gt;"",SUM(P368:Q368),"")</f>
        <v>0</v>
      </c>
      <c r="X368" s="10">
        <f>IF(A368&lt;&gt;"",SUM(S368:T368),"")</f>
        <v>318.38895601265199</v>
      </c>
      <c r="Y368" s="12">
        <v>3</v>
      </c>
      <c r="Z368" s="12">
        <f>IF(A368&lt;&gt;"",SUM(U368:Y368),"")</f>
        <v>815.38895601265199</v>
      </c>
      <c r="AA368" s="27">
        <f>IF(A368&lt;&gt;"",(Z368+Normalize_To_Add)/(Point_Total_So_Far)*100,"")</f>
        <v>89.048568790397042</v>
      </c>
      <c r="AB368" s="10">
        <f>IF(A368&lt;&gt;"",RANK(AA368,All_Student_XC),"")</f>
        <v>93</v>
      </c>
      <c r="AC368" s="31" t="str">
        <f>IF(A368&lt;&gt;"",CHOOSE(10-MIN(9,TRUNC((AA368+0.5)/10)),"A","B","C","D","F","F","F","F","F","F"),"")</f>
        <v>B</v>
      </c>
      <c r="AD368" s="31" t="str">
        <f>IF(A368&lt;&gt;"",IF(OR(AA368+0.5&gt;=93,AA368+0.5&lt;60),"",IF(MOD(AA368+0.5,10)&gt;=7,"+",IF(MOD(AA368+0.5,10)&lt;3,"-",""))),"")</f>
        <v>+</v>
      </c>
      <c r="AE368" s="31">
        <f>IF(A368&lt;&gt;"",SUM(W368:X368,$W$8:$X$8)/SUM($W$2:$X$2)*100,"")</f>
        <v>78.697137580794092</v>
      </c>
      <c r="AF368" s="43" t="str">
        <f>IF(A368&lt;&gt;"",CHOOSE(10-MIN(9,TRUNC((AE368+0.5)/10)),"A","B","C","D","F","F","F","F","F","F"),"")</f>
        <v>C</v>
      </c>
      <c r="AG368" s="43" t="str">
        <f>IF(A368&lt;&gt;"",IF(OR(AE368+0.5&gt;=93,AE368+0.5&lt;60),"",IF(MOD(AE368+0.5,10)&gt;=7,"+",IF(MOD(AE368+0.5,10)&lt;3,"-",""))),"")</f>
        <v>+</v>
      </c>
      <c r="AH368" s="35">
        <f>IF(A368&lt;&gt;"",MIN(MAX(AA368,AE368),AA368+$AH$8,AE368+$AH$8),"")</f>
        <v>89.048568790397042</v>
      </c>
      <c r="AI368" s="31" t="str">
        <f>IF(A368&lt;&gt;"",CHOOSE(10-MIN(9,TRUNC((AH368+0.5)/10)),"A","B","C","D","F","F","F","F","F","F"),"")</f>
        <v>B</v>
      </c>
      <c r="AJ368" s="31" t="str">
        <f>IF(A368&lt;&gt;"",IF(OR(AH368+0.5&gt;=93,AH368+0.5&lt;60),"",IF(MOD(AH368+0.5,10)&gt;=7,"+",IF(MOD(AH368+0.5,10)&lt;3,"-",""))),"")</f>
        <v>+</v>
      </c>
      <c r="AK368" s="31" t="b">
        <f>IF(A368&lt;&gt;"",OR(AI368&lt;&gt;AC368,AJ368&lt;&gt;AD368),"")</f>
        <v>0</v>
      </c>
      <c r="AL368" s="81">
        <f>IF(AND(A368&lt;&gt;"",U368&gt;0),SUM(U368,$AL$8)/$AL$2*100,"")</f>
        <v>95</v>
      </c>
      <c r="AM368" s="24">
        <f>IF(AND(A368&lt;&gt;"",V368&gt;0),SUM(V368,$AM$8)/$AM$2*100,"")</f>
        <v>101.33333333333334</v>
      </c>
      <c r="AN368" s="24" t="str">
        <f>IF(AND(A368&lt;&gt;"",P368&lt;&gt;0),SUM(P368,$AN$8)/$AN$2*100,"")</f>
        <v/>
      </c>
      <c r="AO368" s="24" t="str">
        <f>IF(AND(A368&lt;&gt;"",Q368&lt;&gt;0),SUM(Q368,$AO$8)/$AO$2*100,"")</f>
        <v/>
      </c>
      <c r="AP368" s="24">
        <f>IF(AND(A368&lt;&gt;"",R368&lt;&gt;0),SUM(R368,$AP$8)/$AP$2*100,"")</f>
        <v>70.002659574468083</v>
      </c>
      <c r="AQ368" s="24" t="str">
        <f>IF(AND(A368&lt;&gt;"",W368&gt;0),SUM(W368,$AQ$8)/$AQ$2*100,"")</f>
        <v/>
      </c>
      <c r="AR368" s="24">
        <f>IF(AND(A368&lt;&gt;"",T368&gt;0),SUM(T368,$AR$8)/$AR$2*100,"")</f>
        <v>78.697137580794092</v>
      </c>
      <c r="AS368" s="24">
        <f>IF(AND(A368&lt;&gt;"",X368&lt;&gt;0),SUM(X368,$AS$8)/$AS$2*100,"")</f>
        <v>78.697137580794092</v>
      </c>
      <c r="AT368" s="86">
        <f>IF(A368&lt;&gt;"",SUM(W368:X368,$AT$8)/$AT$2*100,"")</f>
        <v>78.697137580794092</v>
      </c>
      <c r="AU368" s="24">
        <f>AA368</f>
        <v>89.048568790397042</v>
      </c>
      <c r="AV368" s="24"/>
      <c r="AW368" s="27">
        <f>IF(A368&lt;&gt;"",AE368-AA368,"")</f>
        <v>-10.35143120960295</v>
      </c>
      <c r="AY368" s="27">
        <f>AR368-AP368</f>
        <v>8.6944780063260083</v>
      </c>
      <c r="AZ368" s="27">
        <f>ABS(AY368)</f>
        <v>8.6944780063260083</v>
      </c>
    </row>
    <row r="369" spans="1:52" s="27" customFormat="1" ht="12.75" customHeight="1" x14ac:dyDescent="0.2">
      <c r="A369" s="50">
        <v>950350</v>
      </c>
      <c r="B369" s="2">
        <v>23</v>
      </c>
      <c r="C369" s="50">
        <v>25</v>
      </c>
      <c r="D369" s="10">
        <v>24</v>
      </c>
      <c r="E369" s="10">
        <v>25</v>
      </c>
      <c r="F369" s="10">
        <v>25</v>
      </c>
      <c r="G369" s="10">
        <v>25</v>
      </c>
      <c r="H369" s="10">
        <v>25</v>
      </c>
      <c r="I369" s="10">
        <v>25</v>
      </c>
      <c r="J369" s="2"/>
      <c r="K369" s="10">
        <v>50</v>
      </c>
      <c r="L369" s="10">
        <v>51</v>
      </c>
      <c r="M369" s="10">
        <v>19</v>
      </c>
      <c r="N369" s="51">
        <v>51</v>
      </c>
      <c r="O369" s="11">
        <v>62</v>
      </c>
      <c r="P369" s="10"/>
      <c r="Q369" s="40"/>
      <c r="R369" s="2">
        <v>105</v>
      </c>
      <c r="S369" s="10">
        <f>IF(T369="",R369,MAX((R369+$R$8)/$R$2,(T369+$T$8)/$T$2)*$R$2-$R$8)</f>
        <v>147.05562267931867</v>
      </c>
      <c r="T369" s="62">
        <v>218</v>
      </c>
      <c r="U369" s="2">
        <f>IF(A369&lt;&gt;"",SUM(B369:I369),"")</f>
        <v>197</v>
      </c>
      <c r="V369" s="10">
        <f>IF(A369&lt;&gt;"",SUM(J369:O369),"")</f>
        <v>233</v>
      </c>
      <c r="W369" s="10">
        <f>IF(A369&lt;&gt;"",SUM(P369:Q369),"")</f>
        <v>0</v>
      </c>
      <c r="X369" s="10">
        <f>IF(A369&lt;&gt;"",SUM(S369:T369),"")</f>
        <v>365.05562267931867</v>
      </c>
      <c r="Y369" s="12">
        <v>3</v>
      </c>
      <c r="Z369" s="12">
        <f>IF(A369&lt;&gt;"",SUM(U369:Y369),"")</f>
        <v>798.05562267931873</v>
      </c>
      <c r="AA369" s="27">
        <f>IF(A369&lt;&gt;"",(Z369+Normalize_To_Add)/(Point_Total_So_Far)*100,"")</f>
        <v>87.315235457063707</v>
      </c>
      <c r="AB369" s="10">
        <f>IF(A369&lt;&gt;"",RANK(AA369,All_Student_XC),"")</f>
        <v>123</v>
      </c>
      <c r="AC369" s="31" t="str">
        <f>IF(A369&lt;&gt;"",CHOOSE(10-MIN(9,TRUNC((AA369+0.5)/10)),"A","B","C","D","F","F","F","F","F","F"),"")</f>
        <v>B</v>
      </c>
      <c r="AD369" s="31" t="str">
        <f>IF(A369&lt;&gt;"",IF(OR(AA369+0.5&gt;=93,AA369+0.5&lt;60),"",IF(MOD(AA369+0.5,10)&gt;=7,"+",IF(MOD(AA369+0.5,10)&lt;3,"-",""))),"")</f>
        <v>+</v>
      </c>
      <c r="AE369" s="31">
        <f>IF(A369&lt;&gt;"",SUM(W369:X369,$W$8:$X$8)/SUM($W$2:$X$2)*100,"")</f>
        <v>88.03047091412742</v>
      </c>
      <c r="AF369" s="43" t="str">
        <f>IF(A369&lt;&gt;"",CHOOSE(10-MIN(9,TRUNC((AE369+0.5)/10)),"A","B","C","D","F","F","F","F","F","F"),"")</f>
        <v>B</v>
      </c>
      <c r="AG369" s="43" t="str">
        <f>IF(A369&lt;&gt;"",IF(OR(AE369+0.5&gt;=93,AE369+0.5&lt;60),"",IF(MOD(AE369+0.5,10)&gt;=7,"+",IF(MOD(AE369+0.5,10)&lt;3,"-",""))),"")</f>
        <v>+</v>
      </c>
      <c r="AH369" s="35">
        <f>IF(A369&lt;&gt;"",MIN(MAX(AA369,AE369),AA369+$AH$8,AE369+$AH$8),"")</f>
        <v>88.03047091412742</v>
      </c>
      <c r="AI369" s="31" t="str">
        <f>IF(A369&lt;&gt;"",CHOOSE(10-MIN(9,TRUNC((AH369+0.5)/10)),"A","B","C","D","F","F","F","F","F","F"),"")</f>
        <v>B</v>
      </c>
      <c r="AJ369" s="31" t="str">
        <f>IF(A369&lt;&gt;"",IF(OR(AH369+0.5&gt;=93,AH369+0.5&lt;60),"",IF(MOD(AH369+0.5,10)&gt;=7,"+",IF(MOD(AH369+0.5,10)&lt;3,"-",""))),"")</f>
        <v>+</v>
      </c>
      <c r="AK369" s="31" t="b">
        <f>IF(A369&lt;&gt;"",OR(AI369&lt;&gt;AC369,AJ369&lt;&gt;AD369),"")</f>
        <v>0</v>
      </c>
      <c r="AL369" s="81">
        <f>IF(AND(A369&lt;&gt;"",U369&gt;0),SUM(U369,$AL$8)/$AL$2*100,"")</f>
        <v>98.5</v>
      </c>
      <c r="AM369" s="24">
        <f>IF(AND(A369&lt;&gt;"",V369&gt;0),SUM(V369,$AM$8)/$AM$2*100,"")</f>
        <v>77.666666666666657</v>
      </c>
      <c r="AN369" s="24" t="str">
        <f>IF(AND(A369&lt;&gt;"",P369&lt;&gt;0),SUM(P369,$AN$8)/$AN$2*100,"")</f>
        <v/>
      </c>
      <c r="AO369" s="24" t="str">
        <f>IF(AND(A369&lt;&gt;"",Q369&lt;&gt;0),SUM(Q369,$AO$8)/$AO$2*100,"")</f>
        <v/>
      </c>
      <c r="AP369" s="24">
        <f>IF(AND(A369&lt;&gt;"",R369&lt;&gt;0),SUM(R369,$AP$8)/$AP$2*100,"")</f>
        <v>67.002659574468083</v>
      </c>
      <c r="AQ369" s="24" t="str">
        <f>IF(AND(A369&lt;&gt;"",W369&gt;0),SUM(W369,$AQ$8)/$AQ$2*100,"")</f>
        <v/>
      </c>
      <c r="AR369" s="24">
        <f>IF(AND(A369&lt;&gt;"",T369&gt;0),SUM(T369,$AR$8)/$AR$2*100,"")</f>
        <v>88.03047091412742</v>
      </c>
      <c r="AS369" s="24">
        <f>IF(AND(A369&lt;&gt;"",X369&lt;&gt;0),SUM(X369,$AS$8)/$AS$2*100,"")</f>
        <v>88.03047091412742</v>
      </c>
      <c r="AT369" s="86">
        <f>IF(A369&lt;&gt;"",SUM(W369:X369,$AT$8)/$AT$2*100,"")</f>
        <v>88.03047091412742</v>
      </c>
      <c r="AU369" s="24">
        <f>AA369</f>
        <v>87.315235457063707</v>
      </c>
      <c r="AV369" s="24"/>
      <c r="AW369" s="27">
        <f>IF(A369&lt;&gt;"",AE369-AA369,"")</f>
        <v>0.71523545706371294</v>
      </c>
      <c r="AY369" s="27">
        <f>AR369-AP369</f>
        <v>21.027811339659337</v>
      </c>
      <c r="AZ369" s="27">
        <f>ABS(AY369)</f>
        <v>21.027811339659337</v>
      </c>
    </row>
    <row r="370" spans="1:52" s="27" customFormat="1" ht="12.75" customHeight="1" x14ac:dyDescent="0.2">
      <c r="A370" s="50">
        <v>952016</v>
      </c>
      <c r="B370" s="2" t="s">
        <v>69</v>
      </c>
      <c r="C370" s="50">
        <v>17</v>
      </c>
      <c r="D370" s="10">
        <v>20</v>
      </c>
      <c r="E370" s="10">
        <v>21</v>
      </c>
      <c r="F370" s="10">
        <v>21</v>
      </c>
      <c r="G370" s="10">
        <v>16</v>
      </c>
      <c r="H370" s="10">
        <v>22</v>
      </c>
      <c r="I370" s="10">
        <v>25</v>
      </c>
      <c r="J370" s="2"/>
      <c r="K370" s="10">
        <v>37</v>
      </c>
      <c r="L370" s="10">
        <v>25</v>
      </c>
      <c r="M370" s="10">
        <v>14</v>
      </c>
      <c r="N370" s="51">
        <v>35</v>
      </c>
      <c r="O370" s="11">
        <v>60</v>
      </c>
      <c r="P370" s="10"/>
      <c r="Q370" s="40"/>
      <c r="R370" s="2">
        <v>119</v>
      </c>
      <c r="S370" s="10">
        <f>IF(T370="",R370,MAX((R370+$R$8)/$R$2,(T370+$T$8)/$T$2)*$R$2-$R$8)</f>
        <v>123.72228934598533</v>
      </c>
      <c r="T370" s="62">
        <v>183</v>
      </c>
      <c r="U370" s="2">
        <f>IF(A370&lt;&gt;"",SUM(B370:I370),"")</f>
        <v>142</v>
      </c>
      <c r="V370" s="10">
        <f>IF(A370&lt;&gt;"",SUM(J370:O370),"")</f>
        <v>171</v>
      </c>
      <c r="W370" s="10">
        <f>IF(A370&lt;&gt;"",SUM(P370:Q370),"")</f>
        <v>0</v>
      </c>
      <c r="X370" s="10">
        <f>IF(A370&lt;&gt;"",SUM(S370:T370),"")</f>
        <v>306.72228934598536</v>
      </c>
      <c r="Y370" s="12">
        <v>3</v>
      </c>
      <c r="Z370" s="12">
        <f>IF(A370&lt;&gt;"",SUM(U370:Y370),"")</f>
        <v>622.72228934598536</v>
      </c>
      <c r="AA370" s="27">
        <f>IF(A370&lt;&gt;"",(Z370+Normalize_To_Add)/(Point_Total_So_Far)*100,"")</f>
        <v>69.781902123730376</v>
      </c>
      <c r="AB370" s="10">
        <f>IF(A370&lt;&gt;"",RANK(AA370,All_Student_XC),"")</f>
        <v>313</v>
      </c>
      <c r="AC370" s="31" t="str">
        <f>IF(A370&lt;&gt;"",CHOOSE(10-MIN(9,TRUNC((AA370+0.5)/10)),"A","B","C","D","F","F","F","F","F","F"),"")</f>
        <v>C</v>
      </c>
      <c r="AD370" s="31" t="str">
        <f>IF(A370&lt;&gt;"",IF(OR(AA370+0.5&gt;=93,AA370+0.5&lt;60),"",IF(MOD(AA370+0.5,10)&gt;=7,"+",IF(MOD(AA370+0.5,10)&lt;3,"-",""))),"")</f>
        <v>-</v>
      </c>
      <c r="AE370" s="31">
        <f>IF(A370&lt;&gt;"",SUM(W370:X370,$W$8:$X$8)/SUM($W$2:$X$2)*100,"")</f>
        <v>76.363804247460749</v>
      </c>
      <c r="AF370" s="43" t="str">
        <f>IF(A370&lt;&gt;"",CHOOSE(10-MIN(9,TRUNC((AE370+0.5)/10)),"A","B","C","D","F","F","F","F","F","F"),"")</f>
        <v>C</v>
      </c>
      <c r="AG370" s="43" t="str">
        <f>IF(A370&lt;&gt;"",IF(OR(AE370+0.5&gt;=93,AE370+0.5&lt;60),"",IF(MOD(AE370+0.5,10)&gt;=7,"+",IF(MOD(AE370+0.5,10)&lt;3,"-",""))),"")</f>
        <v/>
      </c>
      <c r="AH370" s="35">
        <f>IF(A370&lt;&gt;"",MIN(MAX(AA370,AE370),AA370+$AH$8,AE370+$AH$8),"")</f>
        <v>76.363804247460749</v>
      </c>
      <c r="AI370" s="31" t="str">
        <f>IF(A370&lt;&gt;"",CHOOSE(10-MIN(9,TRUNC((AH370+0.5)/10)),"A","B","C","D","F","F","F","F","F","F"),"")</f>
        <v>C</v>
      </c>
      <c r="AJ370" s="31" t="str">
        <f>IF(A370&lt;&gt;"",IF(OR(AH370+0.5&gt;=93,AH370+0.5&lt;60),"",IF(MOD(AH370+0.5,10)&gt;=7,"+",IF(MOD(AH370+0.5,10)&lt;3,"-",""))),"")</f>
        <v/>
      </c>
      <c r="AK370" s="31" t="b">
        <f>IF(A370&lt;&gt;"",OR(AI370&lt;&gt;AC370,AJ370&lt;&gt;AD370),"")</f>
        <v>1</v>
      </c>
      <c r="AL370" s="81">
        <f>IF(AND(A370&lt;&gt;"",U370&gt;0),SUM(U370,$AL$8)/$AL$2*100,"")</f>
        <v>71</v>
      </c>
      <c r="AM370" s="24">
        <f>IF(AND(A370&lt;&gt;"",V370&gt;0),SUM(V370,$AM$8)/$AM$2*100,"")</f>
        <v>56.999999999999993</v>
      </c>
      <c r="AN370" s="24" t="str">
        <f>IF(AND(A370&lt;&gt;"",P370&lt;&gt;0),SUM(P370,$AN$8)/$AN$2*100,"")</f>
        <v/>
      </c>
      <c r="AO370" s="24" t="str">
        <f>IF(AND(A370&lt;&gt;"",Q370&lt;&gt;0),SUM(Q370,$AO$8)/$AO$2*100,"")</f>
        <v/>
      </c>
      <c r="AP370" s="24">
        <f>IF(AND(A370&lt;&gt;"",R370&lt;&gt;0),SUM(R370,$AP$8)/$AP$2*100,"")</f>
        <v>74.002659574468083</v>
      </c>
      <c r="AQ370" s="24" t="str">
        <f>IF(AND(A370&lt;&gt;"",W370&gt;0),SUM(W370,$AQ$8)/$AQ$2*100,"")</f>
        <v/>
      </c>
      <c r="AR370" s="24">
        <f>IF(AND(A370&lt;&gt;"",T370&gt;0),SUM(T370,$AR$8)/$AR$2*100,"")</f>
        <v>76.363804247460749</v>
      </c>
      <c r="AS370" s="24">
        <f>IF(AND(A370&lt;&gt;"",X370&lt;&gt;0),SUM(X370,$AS$8)/$AS$2*100,"")</f>
        <v>76.363804247460749</v>
      </c>
      <c r="AT370" s="86">
        <f>IF(A370&lt;&gt;"",SUM(W370:X370,$AT$8)/$AT$2*100,"")</f>
        <v>76.363804247460749</v>
      </c>
      <c r="AU370" s="24">
        <f>AA370</f>
        <v>69.781902123730376</v>
      </c>
      <c r="AV370" s="24"/>
      <c r="AW370" s="27">
        <f>IF(A370&lt;&gt;"",AE370-AA370,"")</f>
        <v>6.581902123730373</v>
      </c>
      <c r="AY370" s="27">
        <f>AR370-AP370</f>
        <v>2.3611446729926655</v>
      </c>
      <c r="AZ370" s="27">
        <f>ABS(AY370)</f>
        <v>2.3611446729926655</v>
      </c>
    </row>
    <row r="371" spans="1:52" s="27" customFormat="1" ht="12.75" customHeight="1" x14ac:dyDescent="0.2">
      <c r="A371" s="10">
        <v>952888</v>
      </c>
      <c r="B371" s="2">
        <v>24</v>
      </c>
      <c r="C371" s="10">
        <v>22</v>
      </c>
      <c r="D371" s="10">
        <v>24</v>
      </c>
      <c r="E371" s="10">
        <v>11</v>
      </c>
      <c r="F371" s="10">
        <v>12</v>
      </c>
      <c r="G371" s="10" t="s">
        <v>69</v>
      </c>
      <c r="H371" s="10" t="s">
        <v>69</v>
      </c>
      <c r="I371" s="10" t="s">
        <v>69</v>
      </c>
      <c r="J371" s="2"/>
      <c r="K371" s="10">
        <v>60</v>
      </c>
      <c r="L371" s="10">
        <v>50</v>
      </c>
      <c r="M371" s="10" t="s">
        <v>69</v>
      </c>
      <c r="N371" s="51" t="s">
        <v>69</v>
      </c>
      <c r="O371" s="11" t="s">
        <v>69</v>
      </c>
      <c r="P371" s="10"/>
      <c r="Q371" s="40"/>
      <c r="R371" s="2">
        <v>72</v>
      </c>
      <c r="S371" s="10">
        <f>IF(T371="",R371,MAX((R371+$R$8)/$R$2,(T371+$T$8)/$T$2)*$R$2-$R$8)</f>
        <v>72</v>
      </c>
      <c r="T371" s="12" t="s">
        <v>69</v>
      </c>
      <c r="U371" s="34">
        <f>IF(A371&lt;&gt;"",SUM(B371:I371),"")</f>
        <v>93</v>
      </c>
      <c r="V371" s="10">
        <f>IF(A371&lt;&gt;"",SUM(J371:O371),"")</f>
        <v>110</v>
      </c>
      <c r="W371" s="10">
        <f>IF(A371&lt;&gt;"",SUM(P371:Q371),"")</f>
        <v>0</v>
      </c>
      <c r="X371" s="10">
        <f>IF(A371&lt;&gt;"",SUM(S371:T371),"")</f>
        <v>72</v>
      </c>
      <c r="Y371" s="12" t="s">
        <v>69</v>
      </c>
      <c r="Z371" s="12">
        <f>IF(A371&lt;&gt;"",SUM(U371:Y371),"")</f>
        <v>275</v>
      </c>
      <c r="AA371" s="27">
        <f>IF(A371&lt;&gt;"",(Z371+Normalize_To_Add)/(Point_Total_So_Far)*100,"")</f>
        <v>35.009673189131838</v>
      </c>
      <c r="AB371" s="10">
        <f>IF(A371&lt;&gt;"",RANK(AA371,All_Student_XC),"")</f>
        <v>369</v>
      </c>
      <c r="AC371" s="31" t="str">
        <f>IF(A371&lt;&gt;"",CHOOSE(10-MIN(9,TRUNC((AA371+0.5)/10)),"A","B","C","D","F","F","F","F","F","F"),"")</f>
        <v>F</v>
      </c>
      <c r="AD371" s="31" t="str">
        <f>IF(A371&lt;&gt;"",IF(OR(AA371+0.5&gt;=93,AA371+0.5&lt;60),"",IF(MOD(AA371+0.5,10)&gt;=7,"+",IF(MOD(AA371+0.5,10)&lt;3,"-",""))),"")</f>
        <v/>
      </c>
      <c r="AE371" s="31">
        <f>IF(A371&lt;&gt;"",SUM(W371:X371,$W$8:$X$8)/SUM($W$2:$X$2)*100,"")</f>
        <v>29.419346378263683</v>
      </c>
      <c r="AF371" s="31" t="str">
        <f>IF(A371&lt;&gt;"",CHOOSE(10-MIN(9,TRUNC((AE371+0.5)/10)),"A","B","C","D","F","F","F","F","F","F"),"")</f>
        <v>F</v>
      </c>
      <c r="AG371" s="31" t="str">
        <f>IF(A371&lt;&gt;"",IF(OR(AE371+0.5&gt;=93,AE371+0.5&lt;60),"",IF(MOD(AE371+0.5,10)&gt;=7,"+",IF(MOD(AE371+0.5,10)&lt;3,"-",""))),"")</f>
        <v/>
      </c>
      <c r="AH371" s="35">
        <f>IF(A371&lt;&gt;"",MIN(MAX(AA371,AE371),AA371+$AH$8,AE371+$AH$8),"")</f>
        <v>35.009673189131838</v>
      </c>
      <c r="AI371" s="31" t="str">
        <f>IF(A371&lt;&gt;"",CHOOSE(10-MIN(9,TRUNC((AH371+0.5)/10)),"A","B","C","D","F","F","F","F","F","F"),"")</f>
        <v>F</v>
      </c>
      <c r="AJ371" s="31" t="str">
        <f>IF(A371&lt;&gt;"",IF(OR(AH371+0.5&gt;=93,AH371+0.5&lt;60),"",IF(MOD(AH371+0.5,10)&gt;=7,"+",IF(MOD(AH371+0.5,10)&lt;3,"-",""))),"")</f>
        <v/>
      </c>
      <c r="AK371" s="31" t="b">
        <f>IF(A371&lt;&gt;"",OR(AI371&lt;&gt;AC371,AJ371&lt;&gt;AD371),"")</f>
        <v>0</v>
      </c>
      <c r="AL371" s="81">
        <f>IF(AND(A371&lt;&gt;"",U371&gt;0),SUM(U371,$AL$8)/$AL$2*100,"")</f>
        <v>46.5</v>
      </c>
      <c r="AM371" s="24">
        <f>IF(AND(A371&lt;&gt;"",V371&gt;0),SUM(V371,$AM$8)/$AM$2*100,"")</f>
        <v>36.666666666666664</v>
      </c>
      <c r="AN371" s="24" t="str">
        <f>IF(AND(A371&lt;&gt;"",P371&lt;&gt;0),SUM(P371,$AN$8)/$AN$2*100,"")</f>
        <v/>
      </c>
      <c r="AO371" s="24" t="str">
        <f>IF(AND(A371&lt;&gt;"",Q371&lt;&gt;0),SUM(Q371,$AO$8)/$AO$2*100,"")</f>
        <v/>
      </c>
      <c r="AP371" s="24">
        <f>IF(AND(A371&lt;&gt;"",R371&lt;&gt;0),SUM(R371,$AP$8)/$AP$2*100,"")</f>
        <v>50.502659574468076</v>
      </c>
      <c r="AQ371" s="24" t="str">
        <f>IF(AND(A371&lt;&gt;"",W371&gt;0),SUM(W371,$AQ$8)/$AQ$2*100,"")</f>
        <v/>
      </c>
      <c r="AR371" s="24">
        <f>IF(AND(A371&lt;&gt;"",T371&gt;0),SUM(T371,$AR$8)/$AR$2*100,"")</f>
        <v>15.363804247460756</v>
      </c>
      <c r="AS371" s="24">
        <f>IF(AND(A371&lt;&gt;"",X371&lt;&gt;0),SUM(X371,$AS$8)/$AS$2*100,"")</f>
        <v>29.419346378263683</v>
      </c>
      <c r="AT371" s="86">
        <f>IF(A371&lt;&gt;"",SUM(W371:X371,$AT$8)/$AT$2*100,"")</f>
        <v>29.419346378263683</v>
      </c>
      <c r="AU371" s="24">
        <f>AA371</f>
        <v>35.009673189131838</v>
      </c>
      <c r="AV371" s="24"/>
      <c r="AW371" s="27">
        <f>IF(A371&lt;&gt;"",AE371-AA371,"")</f>
        <v>-5.5903268108681559</v>
      </c>
      <c r="AY371" s="27">
        <f>AR371-AP371</f>
        <v>-35.13885532700732</v>
      </c>
      <c r="AZ371" s="27">
        <f>ABS(AY371)</f>
        <v>35.13885532700732</v>
      </c>
    </row>
    <row r="372" spans="1:52" s="27" customFormat="1" ht="12.75" customHeight="1" x14ac:dyDescent="0.2">
      <c r="A372" s="10">
        <v>953462</v>
      </c>
      <c r="B372" s="2">
        <v>20</v>
      </c>
      <c r="C372" s="10">
        <v>25</v>
      </c>
      <c r="D372" s="10">
        <v>21</v>
      </c>
      <c r="E372" s="10">
        <v>25</v>
      </c>
      <c r="F372" s="10">
        <v>24</v>
      </c>
      <c r="G372" s="10">
        <v>25</v>
      </c>
      <c r="H372" s="10">
        <v>14</v>
      </c>
      <c r="I372" s="10">
        <v>25</v>
      </c>
      <c r="J372" s="2"/>
      <c r="K372" s="10">
        <v>52</v>
      </c>
      <c r="L372" s="51">
        <v>58</v>
      </c>
      <c r="M372" s="10">
        <v>59</v>
      </c>
      <c r="N372" s="51">
        <v>55</v>
      </c>
      <c r="O372" s="11">
        <v>60</v>
      </c>
      <c r="P372" s="10"/>
      <c r="Q372" s="40"/>
      <c r="R372" s="2">
        <v>94</v>
      </c>
      <c r="S372" s="10">
        <f>IF(T372="",R372,MAX((R372+$R$8)/$R$2,(T372+$T$8)/$T$2)*$R$2-$R$8)</f>
        <v>98.388956012652002</v>
      </c>
      <c r="T372" s="12">
        <v>145</v>
      </c>
      <c r="U372" s="34">
        <f>IF(A372&lt;&gt;"",SUM(B372:I372),"")</f>
        <v>179</v>
      </c>
      <c r="V372" s="10">
        <f>IF(A372&lt;&gt;"",SUM(J372:O372),"")</f>
        <v>284</v>
      </c>
      <c r="W372" s="10">
        <f>IF(A372&lt;&gt;"",SUM(P372:Q372),"")</f>
        <v>0</v>
      </c>
      <c r="X372" s="10">
        <f>IF(A372&lt;&gt;"",SUM(S372:T372),"")</f>
        <v>243.38895601265199</v>
      </c>
      <c r="Y372" s="12">
        <v>3</v>
      </c>
      <c r="Z372" s="12">
        <f>IF(A372&lt;&gt;"",SUM(U372:Y372),"")</f>
        <v>709.38895601265199</v>
      </c>
      <c r="AA372" s="27">
        <f>IF(A372&lt;&gt;"",(Z372+Normalize_To_Add)/(Point_Total_So_Far)*100,"")</f>
        <v>78.448568790397047</v>
      </c>
      <c r="AB372" s="10">
        <f>IF(A372&lt;&gt;"",RANK(AA372,All_Student_XC),"")</f>
        <v>236</v>
      </c>
      <c r="AC372" s="31" t="str">
        <f>IF(A372&lt;&gt;"",CHOOSE(10-MIN(9,TRUNC((AA372+0.5)/10)),"A","B","C","D","F","F","F","F","F","F"),"")</f>
        <v>C</v>
      </c>
      <c r="AD372" s="31" t="str">
        <f>IF(A372&lt;&gt;"",IF(OR(AA372+0.5&gt;=93,AA372+0.5&lt;60),"",IF(MOD(AA372+0.5,10)&gt;=7,"+",IF(MOD(AA372+0.5,10)&lt;3,"-",""))),"")</f>
        <v>+</v>
      </c>
      <c r="AE372" s="31">
        <f>IF(A372&lt;&gt;"",SUM(W372:X372,$W$8:$X$8)/SUM($W$2:$X$2)*100,"")</f>
        <v>63.697137580794084</v>
      </c>
      <c r="AF372" s="31" t="str">
        <f>IF(A372&lt;&gt;"",CHOOSE(10-MIN(9,TRUNC((AE372+0.5)/10)),"A","B","C","D","F","F","F","F","F","F"),"")</f>
        <v>D</v>
      </c>
      <c r="AG372" s="31" t="str">
        <f>IF(A372&lt;&gt;"",IF(OR(AE372+0.5&gt;=93,AE372+0.5&lt;60),"",IF(MOD(AE372+0.5,10)&gt;=7,"+",IF(MOD(AE372+0.5,10)&lt;3,"-",""))),"")</f>
        <v/>
      </c>
      <c r="AH372" s="35">
        <f>IF(A372&lt;&gt;"",MIN(MAX(AA372,AE372),AA372+$AH$8,AE372+$AH$8),"")</f>
        <v>78.448568790397047</v>
      </c>
      <c r="AI372" s="31" t="str">
        <f>IF(A372&lt;&gt;"",CHOOSE(10-MIN(9,TRUNC((AH372+0.5)/10)),"A","B","C","D","F","F","F","F","F","F"),"")</f>
        <v>C</v>
      </c>
      <c r="AJ372" s="31" t="str">
        <f>IF(A372&lt;&gt;"",IF(OR(AH372+0.5&gt;=93,AH372+0.5&lt;60),"",IF(MOD(AH372+0.5,10)&gt;=7,"+",IF(MOD(AH372+0.5,10)&lt;3,"-",""))),"")</f>
        <v>+</v>
      </c>
      <c r="AK372" s="31" t="b">
        <f>IF(A372&lt;&gt;"",OR(AI372&lt;&gt;AC372,AJ372&lt;&gt;AD372),"")</f>
        <v>0</v>
      </c>
      <c r="AL372" s="81">
        <f>IF(AND(A372&lt;&gt;"",U372&gt;0),SUM(U372,$AL$8)/$AL$2*100,"")</f>
        <v>89.5</v>
      </c>
      <c r="AM372" s="24">
        <f>IF(AND(A372&lt;&gt;"",V372&gt;0),SUM(V372,$AM$8)/$AM$2*100,"")</f>
        <v>94.666666666666671</v>
      </c>
      <c r="AN372" s="24" t="str">
        <f>IF(AND(A372&lt;&gt;"",P372&lt;&gt;0),SUM(P372,$AN$8)/$AN$2*100,"")</f>
        <v/>
      </c>
      <c r="AO372" s="24" t="str">
        <f>IF(AND(A372&lt;&gt;"",Q372&lt;&gt;0),SUM(Q372,$AO$8)/$AO$2*100,"")</f>
        <v/>
      </c>
      <c r="AP372" s="24">
        <f>IF(AND(A372&lt;&gt;"",R372&lt;&gt;0),SUM(R372,$AP$8)/$AP$2*100,"")</f>
        <v>61.50265957446809</v>
      </c>
      <c r="AQ372" s="24" t="str">
        <f>IF(AND(A372&lt;&gt;"",W372&gt;0),SUM(W372,$AQ$8)/$AQ$2*100,"")</f>
        <v/>
      </c>
      <c r="AR372" s="24">
        <f>IF(AND(A372&lt;&gt;"",T372&gt;0),SUM(T372,$AR$8)/$AR$2*100,"")</f>
        <v>63.697137580794084</v>
      </c>
      <c r="AS372" s="24">
        <f>IF(AND(A372&lt;&gt;"",X372&lt;&gt;0),SUM(X372,$AS$8)/$AS$2*100,"")</f>
        <v>63.697137580794084</v>
      </c>
      <c r="AT372" s="86">
        <f>IF(A372&lt;&gt;"",SUM(W372:X372,$AT$8)/$AT$2*100,"")</f>
        <v>63.697137580794084</v>
      </c>
      <c r="AU372" s="24">
        <f>AA372</f>
        <v>78.448568790397047</v>
      </c>
      <c r="AV372" s="24"/>
      <c r="AW372" s="27">
        <f>IF(A372&lt;&gt;"",AE372-AA372,"")</f>
        <v>-14.751431209602963</v>
      </c>
      <c r="AY372" s="27">
        <f>AR372-AP372</f>
        <v>2.1944780063259941</v>
      </c>
      <c r="AZ372" s="27">
        <f>ABS(AY372)</f>
        <v>2.1944780063259941</v>
      </c>
    </row>
    <row r="373" spans="1:52" s="27" customFormat="1" ht="12.75" customHeight="1" x14ac:dyDescent="0.2">
      <c r="A373" s="10">
        <v>954682</v>
      </c>
      <c r="B373" s="2">
        <v>25</v>
      </c>
      <c r="C373" s="10">
        <v>25</v>
      </c>
      <c r="D373" s="10">
        <v>22</v>
      </c>
      <c r="E373" s="10">
        <v>22</v>
      </c>
      <c r="F373" s="10">
        <v>17</v>
      </c>
      <c r="G373" s="10">
        <v>25</v>
      </c>
      <c r="H373" s="10">
        <v>25</v>
      </c>
      <c r="I373" s="10">
        <v>23</v>
      </c>
      <c r="J373" s="2"/>
      <c r="K373" s="10">
        <v>62</v>
      </c>
      <c r="L373" s="10">
        <v>62</v>
      </c>
      <c r="M373" s="10">
        <v>57</v>
      </c>
      <c r="N373" s="51">
        <v>62</v>
      </c>
      <c r="O373" s="11">
        <v>55</v>
      </c>
      <c r="P373" s="10"/>
      <c r="Q373" s="40"/>
      <c r="R373" s="2">
        <v>113</v>
      </c>
      <c r="S373" s="10">
        <f>IF(T373="",R373,MAX((R373+$R$8)/$R$2,(T373+$T$8)/$T$2)*$R$2-$R$8)</f>
        <v>157.72228934598536</v>
      </c>
      <c r="T373" s="12">
        <v>234</v>
      </c>
      <c r="U373" s="68">
        <f>IF(A373&lt;&gt;"",SUM(B373:I373),"")</f>
        <v>184</v>
      </c>
      <c r="V373" s="10">
        <f>IF(A373&lt;&gt;"",SUM(J373:O373),"")</f>
        <v>298</v>
      </c>
      <c r="W373" s="10">
        <f>IF(A373&lt;&gt;"",SUM(P373:Q373),"")</f>
        <v>0</v>
      </c>
      <c r="X373" s="10">
        <f>IF(A373&lt;&gt;"",SUM(S373:T373),"")</f>
        <v>391.72228934598536</v>
      </c>
      <c r="Y373" s="12">
        <v>3</v>
      </c>
      <c r="Z373" s="12">
        <f>IF(A373&lt;&gt;"",SUM(U373:Y373),"")</f>
        <v>876.72228934598536</v>
      </c>
      <c r="AA373" s="27">
        <f>IF(A373&lt;&gt;"",(Z373+Normalize_To_Add)/(Point_Total_So_Far)*100,"")</f>
        <v>95.181902123730382</v>
      </c>
      <c r="AB373" s="10">
        <f>IF(A373&lt;&gt;"",RANK(AA373,All_Student_XC),"")</f>
        <v>32</v>
      </c>
      <c r="AC373" s="31" t="str">
        <f>IF(A373&lt;&gt;"",CHOOSE(10-MIN(9,TRUNC((AA373+0.5)/10)),"A","B","C","D","F","F","F","F","F","F"),"")</f>
        <v>A</v>
      </c>
      <c r="AD373" s="31" t="str">
        <f>IF(A373&lt;&gt;"",IF(OR(AA373+0.5&gt;=93,AA373+0.5&lt;60),"",IF(MOD(AA373+0.5,10)&gt;=7,"+",IF(MOD(AA373+0.5,10)&lt;3,"-",""))),"")</f>
        <v/>
      </c>
      <c r="AE373" s="31">
        <f>IF(A373&lt;&gt;"",SUM(W373:X373,$W$8:$X$8)/SUM($W$2:$X$2)*100,"")</f>
        <v>93.363804247460763</v>
      </c>
      <c r="AF373" s="31" t="str">
        <f>IF(A373&lt;&gt;"",CHOOSE(10-MIN(9,TRUNC((AE373+0.5)/10)),"A","B","C","D","F","F","F","F","F","F"),"")</f>
        <v>A</v>
      </c>
      <c r="AG373" s="31" t="str">
        <f>IF(A373&lt;&gt;"",IF(OR(AE373+0.5&gt;=93,AE373+0.5&lt;60),"",IF(MOD(AE373+0.5,10)&gt;=7,"+",IF(MOD(AE373+0.5,10)&lt;3,"-",""))),"")</f>
        <v/>
      </c>
      <c r="AH373" s="35">
        <f>IF(A373&lt;&gt;"",MIN(MAX(AA373,AE373),AA373+$AH$8,AE373+$AH$8),"")</f>
        <v>95.181902123730382</v>
      </c>
      <c r="AI373" s="31" t="str">
        <f>IF(A373&lt;&gt;"",CHOOSE(10-MIN(9,TRUNC((AH373+0.5)/10)),"A","B","C","D","F","F","F","F","F","F"),"")</f>
        <v>A</v>
      </c>
      <c r="AJ373" s="31" t="str">
        <f>IF(A373&lt;&gt;"",IF(OR(AH373+0.5&gt;=93,AH373+0.5&lt;60),"",IF(MOD(AH373+0.5,10)&gt;=7,"+",IF(MOD(AH373+0.5,10)&lt;3,"-",""))),"")</f>
        <v/>
      </c>
      <c r="AK373" s="31" t="b">
        <f>IF(A373&lt;&gt;"",OR(AI373&lt;&gt;AC373,AJ373&lt;&gt;AD373),"")</f>
        <v>0</v>
      </c>
      <c r="AL373" s="81">
        <f>IF(AND(A373&lt;&gt;"",U373&gt;0),SUM(U373,$AL$8)/$AL$2*100,"")</f>
        <v>92</v>
      </c>
      <c r="AM373" s="24">
        <f>IF(AND(A373&lt;&gt;"",V373&gt;0),SUM(V373,$AM$8)/$AM$2*100,"")</f>
        <v>99.333333333333329</v>
      </c>
      <c r="AN373" s="24" t="str">
        <f>IF(AND(A373&lt;&gt;"",P373&lt;&gt;0),SUM(P373,$AN$8)/$AN$2*100,"")</f>
        <v/>
      </c>
      <c r="AO373" s="24" t="str">
        <f>IF(AND(A373&lt;&gt;"",Q373&lt;&gt;0),SUM(Q373,$AO$8)/$AO$2*100,"")</f>
        <v/>
      </c>
      <c r="AP373" s="24">
        <f>IF(AND(A373&lt;&gt;"",R373&lt;&gt;0),SUM(R373,$AP$8)/$AP$2*100,"")</f>
        <v>71.002659574468083</v>
      </c>
      <c r="AQ373" s="24" t="str">
        <f>IF(AND(A373&lt;&gt;"",W373&gt;0),SUM(W373,$AQ$8)/$AQ$2*100,"")</f>
        <v/>
      </c>
      <c r="AR373" s="24">
        <f>IF(AND(A373&lt;&gt;"",T373&gt;0),SUM(T373,$AR$8)/$AR$2*100,"")</f>
        <v>93.363804247460763</v>
      </c>
      <c r="AS373" s="24">
        <f>IF(AND(A373&lt;&gt;"",X373&lt;&gt;0),SUM(X373,$AS$8)/$AS$2*100,"")</f>
        <v>93.363804247460763</v>
      </c>
      <c r="AT373" s="86">
        <f>IF(A373&lt;&gt;"",SUM(W373:X373,$AT$8)/$AT$2*100,"")</f>
        <v>93.363804247460763</v>
      </c>
      <c r="AU373" s="24">
        <f>AA373</f>
        <v>95.181902123730382</v>
      </c>
      <c r="AV373" s="24"/>
      <c r="AW373" s="27">
        <f>IF(A373&lt;&gt;"",AE373-AA373,"")</f>
        <v>-1.8180978762696185</v>
      </c>
      <c r="AY373" s="27">
        <f>AR373-AP373</f>
        <v>22.36114467299268</v>
      </c>
      <c r="AZ373" s="27">
        <f>ABS(AY373)</f>
        <v>22.36114467299268</v>
      </c>
    </row>
    <row r="374" spans="1:52" s="27" customFormat="1" ht="12.75" customHeight="1" x14ac:dyDescent="0.2">
      <c r="A374" s="10">
        <v>956160</v>
      </c>
      <c r="B374" s="2">
        <v>24</v>
      </c>
      <c r="C374" s="10">
        <v>25</v>
      </c>
      <c r="D374" s="10">
        <v>19</v>
      </c>
      <c r="E374" s="10">
        <v>24</v>
      </c>
      <c r="F374" s="10">
        <v>24</v>
      </c>
      <c r="G374" s="10">
        <v>25</v>
      </c>
      <c r="H374" s="10">
        <v>25</v>
      </c>
      <c r="I374" s="10">
        <v>23</v>
      </c>
      <c r="J374" s="2"/>
      <c r="K374" s="10">
        <v>57</v>
      </c>
      <c r="L374" s="10">
        <v>61</v>
      </c>
      <c r="M374" s="10">
        <v>59</v>
      </c>
      <c r="N374" s="51">
        <v>58</v>
      </c>
      <c r="O374" s="11">
        <v>62</v>
      </c>
      <c r="P374" s="10"/>
      <c r="Q374" s="40"/>
      <c r="R374" s="2">
        <v>93</v>
      </c>
      <c r="S374" s="10">
        <f>IF(T374="",R374,MAX((R374+$R$8)/$R$2,(T374+$T$8)/$T$2)*$R$2-$R$8)</f>
        <v>153.05562267931867</v>
      </c>
      <c r="T374" s="12">
        <v>227</v>
      </c>
      <c r="U374" s="1">
        <f>IF(A374&lt;&gt;"",SUM(B374:I374),"")</f>
        <v>189</v>
      </c>
      <c r="V374" s="10">
        <f>IF(A374&lt;&gt;"",SUM(J374:O374),"")</f>
        <v>297</v>
      </c>
      <c r="W374" s="10">
        <f>IF(A374&lt;&gt;"",SUM(P374:Q374),"")</f>
        <v>0</v>
      </c>
      <c r="X374" s="10">
        <f>IF(A374&lt;&gt;"",SUM(S374:T374),"")</f>
        <v>380.05562267931867</v>
      </c>
      <c r="Y374" s="12">
        <v>3</v>
      </c>
      <c r="Z374" s="12">
        <f>IF(A374&lt;&gt;"",SUM(U374:Y374),"")</f>
        <v>869.05562267931873</v>
      </c>
      <c r="AA374" s="27">
        <f>IF(A374&lt;&gt;"",(Z374+Normalize_To_Add)/(Point_Total_So_Far)*100,"")</f>
        <v>94.415235457063716</v>
      </c>
      <c r="AB374" s="10">
        <f>IF(A374&lt;&gt;"",RANK(AA374,All_Student_XC),"")</f>
        <v>36</v>
      </c>
      <c r="AC374" s="31" t="str">
        <f>IF(A374&lt;&gt;"",CHOOSE(10-MIN(9,TRUNC((AA374+0.5)/10)),"A","B","C","D","F","F","F","F","F","F"),"")</f>
        <v>A</v>
      </c>
      <c r="AD374" s="31" t="str">
        <f>IF(A374&lt;&gt;"",IF(OR(AA374+0.5&gt;=93,AA374+0.5&lt;60),"",IF(MOD(AA374+0.5,10)&gt;=7,"+",IF(MOD(AA374+0.5,10)&lt;3,"-",""))),"")</f>
        <v/>
      </c>
      <c r="AE374" s="31">
        <f>IF(A374&lt;&gt;"",SUM(W374:X374,$W$8:$X$8)/SUM($W$2:$X$2)*100,"")</f>
        <v>91.03047091412742</v>
      </c>
      <c r="AF374" s="43" t="str">
        <f>IF(A374&lt;&gt;"",CHOOSE(10-MIN(9,TRUNC((AE374+0.5)/10)),"A","B","C","D","F","F","F","F","F","F"),"")</f>
        <v>A</v>
      </c>
      <c r="AG374" s="43" t="str">
        <f>IF(A374&lt;&gt;"",IF(OR(AE374+0.5&gt;=93,AE374+0.5&lt;60),"",IF(MOD(AE374+0.5,10)&gt;=7,"+",IF(MOD(AE374+0.5,10)&lt;3,"-",""))),"")</f>
        <v>-</v>
      </c>
      <c r="AH374" s="35">
        <f>IF(A374&lt;&gt;"",MIN(MAX(AA374,AE374),AA374+$AH$8,AE374+$AH$8),"")</f>
        <v>94.415235457063716</v>
      </c>
      <c r="AI374" s="31" t="str">
        <f>IF(A374&lt;&gt;"",CHOOSE(10-MIN(9,TRUNC((AH374+0.5)/10)),"A","B","C","D","F","F","F","F","F","F"),"")</f>
        <v>A</v>
      </c>
      <c r="AJ374" s="31" t="str">
        <f>IF(A374&lt;&gt;"",IF(OR(AH374+0.5&gt;=93,AH374+0.5&lt;60),"",IF(MOD(AH374+0.5,10)&gt;=7,"+",IF(MOD(AH374+0.5,10)&lt;3,"-",""))),"")</f>
        <v/>
      </c>
      <c r="AK374" s="31" t="b">
        <f>IF(A374&lt;&gt;"",OR(AI374&lt;&gt;AC374,AJ374&lt;&gt;AD374),"")</f>
        <v>0</v>
      </c>
      <c r="AL374" s="81">
        <f>IF(AND(A374&lt;&gt;"",U374&gt;0),SUM(U374,$AL$8)/$AL$2*100,"")</f>
        <v>94.5</v>
      </c>
      <c r="AM374" s="24">
        <f>IF(AND(A374&lt;&gt;"",V374&gt;0),SUM(V374,$AM$8)/$AM$2*100,"")</f>
        <v>99</v>
      </c>
      <c r="AN374" s="24" t="str">
        <f>IF(AND(A374&lt;&gt;"",P374&lt;&gt;0),SUM(P374,$AN$8)/$AN$2*100,"")</f>
        <v/>
      </c>
      <c r="AO374" s="24" t="str">
        <f>IF(AND(A374&lt;&gt;"",Q374&lt;&gt;0),SUM(Q374,$AO$8)/$AO$2*100,"")</f>
        <v/>
      </c>
      <c r="AP374" s="24">
        <f>IF(AND(A374&lt;&gt;"",R374&lt;&gt;0),SUM(R374,$AP$8)/$AP$2*100,"")</f>
        <v>61.00265957446809</v>
      </c>
      <c r="AQ374" s="24" t="str">
        <f>IF(AND(A374&lt;&gt;"",W374&gt;0),SUM(W374,$AQ$8)/$AQ$2*100,"")</f>
        <v/>
      </c>
      <c r="AR374" s="24">
        <f>IF(AND(A374&lt;&gt;"",T374&gt;0),SUM(T374,$AR$8)/$AR$2*100,"")</f>
        <v>91.03047091412742</v>
      </c>
      <c r="AS374" s="24">
        <f>IF(AND(A374&lt;&gt;"",X374&lt;&gt;0),SUM(X374,$AS$8)/$AS$2*100,"")</f>
        <v>91.03047091412742</v>
      </c>
      <c r="AT374" s="86">
        <f>IF(A374&lt;&gt;"",SUM(W374:X374,$AT$8)/$AT$2*100,"")</f>
        <v>91.03047091412742</v>
      </c>
      <c r="AU374" s="24">
        <f>AA374</f>
        <v>94.415235457063716</v>
      </c>
      <c r="AV374" s="24"/>
      <c r="AW374" s="27">
        <f>IF(A374&lt;&gt;"",AE374-AA374,"")</f>
        <v>-3.3847645429362956</v>
      </c>
      <c r="AY374" s="27">
        <f>AR374-AP374</f>
        <v>30.02781133965933</v>
      </c>
      <c r="AZ374" s="27">
        <f>ABS(AY374)</f>
        <v>30.02781133965933</v>
      </c>
    </row>
    <row r="375" spans="1:52" s="27" customFormat="1" ht="12.75" customHeight="1" x14ac:dyDescent="0.2">
      <c r="A375" s="10">
        <v>959716</v>
      </c>
      <c r="B375" s="2">
        <v>25</v>
      </c>
      <c r="C375" s="10">
        <v>25</v>
      </c>
      <c r="D375" s="10">
        <v>25</v>
      </c>
      <c r="E375" s="10">
        <v>24</v>
      </c>
      <c r="F375" s="10">
        <v>23</v>
      </c>
      <c r="G375" s="10">
        <v>25</v>
      </c>
      <c r="H375" s="10">
        <v>24</v>
      </c>
      <c r="I375" s="10">
        <v>25</v>
      </c>
      <c r="J375" s="2"/>
      <c r="K375" s="10">
        <v>63</v>
      </c>
      <c r="L375" s="10">
        <v>47</v>
      </c>
      <c r="M375" s="10">
        <v>61</v>
      </c>
      <c r="N375" s="51">
        <v>62</v>
      </c>
      <c r="O375" s="11">
        <v>45</v>
      </c>
      <c r="P375" s="10"/>
      <c r="Q375" s="40"/>
      <c r="R375" s="2">
        <v>131</v>
      </c>
      <c r="S375" s="10">
        <f>IF(T375="",R375,MAX((R375+$R$8)/$R$2,(T375+$T$8)/$T$2)*$R$2-$R$8)</f>
        <v>131</v>
      </c>
      <c r="T375" s="12">
        <v>182</v>
      </c>
      <c r="U375" s="68">
        <f>IF(A375&lt;&gt;"",SUM(B375:I375),"")</f>
        <v>196</v>
      </c>
      <c r="V375" s="10">
        <f>IF(A375&lt;&gt;"",SUM(J375:O375),"")</f>
        <v>278</v>
      </c>
      <c r="W375" s="10">
        <f>IF(A375&lt;&gt;"",SUM(P375:Q375),"")</f>
        <v>0</v>
      </c>
      <c r="X375" s="10">
        <f>IF(A375&lt;&gt;"",SUM(S375:T375),"")</f>
        <v>313</v>
      </c>
      <c r="Y375" s="12" t="s">
        <v>69</v>
      </c>
      <c r="Z375" s="12">
        <f>IF(A375&lt;&gt;"",SUM(U375:Y375),"")</f>
        <v>787</v>
      </c>
      <c r="AA375" s="27">
        <f>IF(A375&lt;&gt;"",(Z375+Normalize_To_Add)/(Point_Total_So_Far)*100,"")</f>
        <v>86.209673189131848</v>
      </c>
      <c r="AB375" s="10">
        <f>IF(A375&lt;&gt;"",RANK(AA375,All_Student_XC),"")</f>
        <v>133</v>
      </c>
      <c r="AC375" s="31" t="str">
        <f>IF(A375&lt;&gt;"",CHOOSE(10-MIN(9,TRUNC((AA375+0.5)/10)),"A","B","C","D","F","F","F","F","F","F"),"")</f>
        <v>B</v>
      </c>
      <c r="AD375" s="31" t="str">
        <f>IF(A375&lt;&gt;"",IF(OR(AA375+0.5&gt;=93,AA375+0.5&lt;60),"",IF(MOD(AA375+0.5,10)&gt;=7,"+",IF(MOD(AA375+0.5,10)&lt;3,"-",""))),"")</f>
        <v/>
      </c>
      <c r="AE375" s="31">
        <f>IF(A375&lt;&gt;"",SUM(W375:X375,$W$8:$X$8)/SUM($W$2:$X$2)*100,"")</f>
        <v>77.619346378263685</v>
      </c>
      <c r="AF375" s="31" t="str">
        <f>IF(A375&lt;&gt;"",CHOOSE(10-MIN(9,TRUNC((AE375+0.5)/10)),"A","B","C","D","F","F","F","F","F","F"),"")</f>
        <v>C</v>
      </c>
      <c r="AG375" s="31" t="str">
        <f>IF(A375&lt;&gt;"",IF(OR(AE375+0.5&gt;=93,AE375+0.5&lt;60),"",IF(MOD(AE375+0.5,10)&gt;=7,"+",IF(MOD(AE375+0.5,10)&lt;3,"-",""))),"")</f>
        <v>+</v>
      </c>
      <c r="AH375" s="35">
        <f>IF(A375&lt;&gt;"",MIN(MAX(AA375,AE375),AA375+$AH$8,AE375+$AH$8),"")</f>
        <v>86.209673189131848</v>
      </c>
      <c r="AI375" s="31" t="str">
        <f>IF(A375&lt;&gt;"",CHOOSE(10-MIN(9,TRUNC((AH375+0.5)/10)),"A","B","C","D","F","F","F","F","F","F"),"")</f>
        <v>B</v>
      </c>
      <c r="AJ375" s="31" t="str">
        <f>IF(A375&lt;&gt;"",IF(OR(AH375+0.5&gt;=93,AH375+0.5&lt;60),"",IF(MOD(AH375+0.5,10)&gt;=7,"+",IF(MOD(AH375+0.5,10)&lt;3,"-",""))),"")</f>
        <v/>
      </c>
      <c r="AK375" s="31" t="b">
        <f>IF(A375&lt;&gt;"",OR(AI375&lt;&gt;AC375,AJ375&lt;&gt;AD375),"")</f>
        <v>0</v>
      </c>
      <c r="AL375" s="81">
        <f>IF(AND(A375&lt;&gt;"",U375&gt;0),SUM(U375,$AL$8)/$AL$2*100,"")</f>
        <v>98</v>
      </c>
      <c r="AM375" s="24">
        <f>IF(AND(A375&lt;&gt;"",V375&gt;0),SUM(V375,$AM$8)/$AM$2*100,"")</f>
        <v>92.666666666666657</v>
      </c>
      <c r="AN375" s="24" t="str">
        <f>IF(AND(A375&lt;&gt;"",P375&lt;&gt;0),SUM(P375,$AN$8)/$AN$2*100,"")</f>
        <v/>
      </c>
      <c r="AO375" s="24" t="str">
        <f>IF(AND(A375&lt;&gt;"",Q375&lt;&gt;0),SUM(Q375,$AO$8)/$AO$2*100,"")</f>
        <v/>
      </c>
      <c r="AP375" s="24">
        <f>IF(AND(A375&lt;&gt;"",R375&lt;&gt;0),SUM(R375,$AP$8)/$AP$2*100,"")</f>
        <v>80.002659574468083</v>
      </c>
      <c r="AQ375" s="24" t="str">
        <f>IF(AND(A375&lt;&gt;"",W375&gt;0),SUM(W375,$AQ$8)/$AQ$2*100,"")</f>
        <v/>
      </c>
      <c r="AR375" s="24">
        <f>IF(AND(A375&lt;&gt;"",T375&gt;0),SUM(T375,$AR$8)/$AR$2*100,"")</f>
        <v>76.03047091412742</v>
      </c>
      <c r="AS375" s="24">
        <f>IF(AND(A375&lt;&gt;"",X375&lt;&gt;0),SUM(X375,$AS$8)/$AS$2*100,"")</f>
        <v>77.619346378263685</v>
      </c>
      <c r="AT375" s="86">
        <f>IF(A375&lt;&gt;"",SUM(W375:X375,$AT$8)/$AT$2*100,"")</f>
        <v>77.619346378263685</v>
      </c>
      <c r="AU375" s="24">
        <f>AA375</f>
        <v>86.209673189131848</v>
      </c>
      <c r="AV375" s="24"/>
      <c r="AW375" s="27">
        <f>IF(A375&lt;&gt;"",AE375-AA375,"")</f>
        <v>-8.590326810868163</v>
      </c>
      <c r="AY375" s="27">
        <f>AR375-AP375</f>
        <v>-3.9721886603406631</v>
      </c>
      <c r="AZ375" s="27">
        <f>ABS(AY375)</f>
        <v>3.9721886603406631</v>
      </c>
    </row>
    <row r="376" spans="1:52" s="27" customFormat="1" ht="12.75" customHeight="1" x14ac:dyDescent="0.2">
      <c r="A376" s="10">
        <v>960850</v>
      </c>
      <c r="B376" s="2">
        <v>23</v>
      </c>
      <c r="C376" s="10">
        <v>21</v>
      </c>
      <c r="D376" s="10">
        <v>21</v>
      </c>
      <c r="E376" s="10">
        <v>19</v>
      </c>
      <c r="F376" s="10">
        <v>24</v>
      </c>
      <c r="G376" s="10" t="s">
        <v>69</v>
      </c>
      <c r="H376" s="10" t="s">
        <v>69</v>
      </c>
      <c r="I376" s="10" t="s">
        <v>69</v>
      </c>
      <c r="J376" s="2"/>
      <c r="K376" s="10">
        <v>46</v>
      </c>
      <c r="L376" s="10">
        <v>32</v>
      </c>
      <c r="M376" s="10">
        <v>0</v>
      </c>
      <c r="N376" s="51" t="s">
        <v>69</v>
      </c>
      <c r="O376" s="11" t="s">
        <v>69</v>
      </c>
      <c r="P376" s="10"/>
      <c r="Q376" s="40"/>
      <c r="R376" s="2">
        <v>109</v>
      </c>
      <c r="S376" s="10">
        <f>IF(T376="",R376,MAX((R376+$R$8)/$R$2,(T376+$T$8)/$T$2)*$R$2-$R$8)</f>
        <v>109</v>
      </c>
      <c r="T376" s="12" t="s">
        <v>69</v>
      </c>
      <c r="U376" s="68">
        <f>IF(A376&lt;&gt;"",SUM(B376:I376),"")</f>
        <v>108</v>
      </c>
      <c r="V376" s="10">
        <f>IF(A376&lt;&gt;"",SUM(J376:O376),"")</f>
        <v>78</v>
      </c>
      <c r="W376" s="10">
        <f>IF(A376&lt;&gt;"",SUM(P376:Q376),"")</f>
        <v>0</v>
      </c>
      <c r="X376" s="10">
        <f>IF(A376&lt;&gt;"",SUM(S376:T376),"")</f>
        <v>109</v>
      </c>
      <c r="Y376" s="12" t="s">
        <v>69</v>
      </c>
      <c r="Z376" s="12">
        <f>IF(A376&lt;&gt;"",SUM(U376:Y376),"")</f>
        <v>295</v>
      </c>
      <c r="AA376" s="27">
        <f>IF(A376&lt;&gt;"",(Z376+Normalize_To_Add)/(Point_Total_So_Far)*100,"")</f>
        <v>37.009673189131846</v>
      </c>
      <c r="AB376" s="10">
        <f>IF(A376&lt;&gt;"",RANK(AA376,All_Student_XC),"")</f>
        <v>366</v>
      </c>
      <c r="AC376" s="31" t="str">
        <f>IF(A376&lt;&gt;"",CHOOSE(10-MIN(9,TRUNC((AA376+0.5)/10)),"A","B","C","D","F","F","F","F","F","F"),"")</f>
        <v>F</v>
      </c>
      <c r="AD376" s="31" t="str">
        <f>IF(A376&lt;&gt;"",IF(OR(AA376+0.5&gt;=93,AA376+0.5&lt;60),"",IF(MOD(AA376+0.5,10)&gt;=7,"+",IF(MOD(AA376+0.5,10)&lt;3,"-",""))),"")</f>
        <v/>
      </c>
      <c r="AE376" s="31">
        <f>IF(A376&lt;&gt;"",SUM(W376:X376,$W$8:$X$8)/SUM($W$2:$X$2)*100,"")</f>
        <v>36.819346378263681</v>
      </c>
      <c r="AF376" s="31" t="str">
        <f>IF(A376&lt;&gt;"",CHOOSE(10-MIN(9,TRUNC((AE376+0.5)/10)),"A","B","C","D","F","F","F","F","F","F"),"")</f>
        <v>F</v>
      </c>
      <c r="AG376" s="31" t="str">
        <f>IF(A376&lt;&gt;"",IF(OR(AE376+0.5&gt;=93,AE376+0.5&lt;60),"",IF(MOD(AE376+0.5,10)&gt;=7,"+",IF(MOD(AE376+0.5,10)&lt;3,"-",""))),"")</f>
        <v/>
      </c>
      <c r="AH376" s="35">
        <f>IF(A376&lt;&gt;"",MIN(MAX(AA376,AE376),AA376+$AH$8,AE376+$AH$8),"")</f>
        <v>37.009673189131846</v>
      </c>
      <c r="AI376" s="31" t="str">
        <f>IF(A376&lt;&gt;"",CHOOSE(10-MIN(9,TRUNC((AH376+0.5)/10)),"A","B","C","D","F","F","F","F","F","F"),"")</f>
        <v>F</v>
      </c>
      <c r="AJ376" s="31" t="str">
        <f>IF(A376&lt;&gt;"",IF(OR(AH376+0.5&gt;=93,AH376+0.5&lt;60),"",IF(MOD(AH376+0.5,10)&gt;=7,"+",IF(MOD(AH376+0.5,10)&lt;3,"-",""))),"")</f>
        <v/>
      </c>
      <c r="AK376" s="31" t="b">
        <f>IF(A376&lt;&gt;"",OR(AI376&lt;&gt;AC376,AJ376&lt;&gt;AD376),"")</f>
        <v>0</v>
      </c>
      <c r="AL376" s="81">
        <f>IF(AND(A376&lt;&gt;"",U376&gt;0),SUM(U376,$AL$8)/$AL$2*100,"")</f>
        <v>54</v>
      </c>
      <c r="AM376" s="24">
        <f>IF(AND(A376&lt;&gt;"",V376&gt;0),SUM(V376,$AM$8)/$AM$2*100,"")</f>
        <v>26</v>
      </c>
      <c r="AN376" s="24" t="str">
        <f>IF(AND(A376&lt;&gt;"",P376&lt;&gt;0),SUM(P376,$AN$8)/$AN$2*100,"")</f>
        <v/>
      </c>
      <c r="AO376" s="24" t="str">
        <f>IF(AND(A376&lt;&gt;"",Q376&lt;&gt;0),SUM(Q376,$AO$8)/$AO$2*100,"")</f>
        <v/>
      </c>
      <c r="AP376" s="24">
        <f>IF(AND(A376&lt;&gt;"",R376&lt;&gt;0),SUM(R376,$AP$8)/$AP$2*100,"")</f>
        <v>69.002659574468083</v>
      </c>
      <c r="AQ376" s="24" t="str">
        <f>IF(AND(A376&lt;&gt;"",W376&gt;0),SUM(W376,$AQ$8)/$AQ$2*100,"")</f>
        <v/>
      </c>
      <c r="AR376" s="24">
        <f>IF(AND(A376&lt;&gt;"",T376&gt;0),SUM(T376,$AR$8)/$AR$2*100,"")</f>
        <v>15.363804247460756</v>
      </c>
      <c r="AS376" s="24">
        <f>IF(AND(A376&lt;&gt;"",X376&lt;&gt;0),SUM(X376,$AS$8)/$AS$2*100,"")</f>
        <v>36.819346378263681</v>
      </c>
      <c r="AT376" s="86">
        <f>IF(A376&lt;&gt;"",SUM(W376:X376,$AT$8)/$AT$2*100,"")</f>
        <v>36.819346378263681</v>
      </c>
      <c r="AU376" s="24">
        <f>AA376</f>
        <v>37.009673189131846</v>
      </c>
      <c r="AV376" s="24"/>
      <c r="AW376" s="27">
        <f>IF(A376&lt;&gt;"",AE376-AA376,"")</f>
        <v>-0.19032681086816439</v>
      </c>
      <c r="AY376" s="27">
        <f>AR376-AP376</f>
        <v>-53.638855327007327</v>
      </c>
      <c r="AZ376" s="27">
        <f>ABS(AY376)</f>
        <v>53.638855327007327</v>
      </c>
    </row>
    <row r="377" spans="1:52" s="27" customFormat="1" ht="12.75" customHeight="1" x14ac:dyDescent="0.2">
      <c r="A377" s="10">
        <v>965442</v>
      </c>
      <c r="B377" s="2">
        <v>24</v>
      </c>
      <c r="C377" s="10">
        <v>25</v>
      </c>
      <c r="D377" s="10">
        <v>23</v>
      </c>
      <c r="E377" s="10">
        <v>23</v>
      </c>
      <c r="F377" s="10">
        <v>22</v>
      </c>
      <c r="G377" s="10">
        <v>25</v>
      </c>
      <c r="H377" s="10">
        <v>24</v>
      </c>
      <c r="I377" s="10">
        <v>25</v>
      </c>
      <c r="J377" s="2"/>
      <c r="K377" s="10">
        <v>54</v>
      </c>
      <c r="L377" s="10">
        <v>39</v>
      </c>
      <c r="M377" s="10">
        <v>51</v>
      </c>
      <c r="N377" s="51">
        <v>38</v>
      </c>
      <c r="O377" s="11">
        <v>62</v>
      </c>
      <c r="P377" s="10"/>
      <c r="Q377" s="40"/>
      <c r="R377" s="2">
        <v>131</v>
      </c>
      <c r="S377" s="10">
        <f>IF(T377="",R377,MAX((R377+$R$8)/$R$2,(T377+$T$8)/$T$2)*$R$2-$R$8)</f>
        <v>147.05562267931867</v>
      </c>
      <c r="T377" s="12">
        <v>218</v>
      </c>
      <c r="U377" s="68">
        <f>IF(A377&lt;&gt;"",SUM(B377:I377),"")</f>
        <v>191</v>
      </c>
      <c r="V377" s="10">
        <f>IF(A377&lt;&gt;"",SUM(J377:O377),"")</f>
        <v>244</v>
      </c>
      <c r="W377" s="10">
        <f>IF(A377&lt;&gt;"",SUM(P377:Q377),"")</f>
        <v>0</v>
      </c>
      <c r="X377" s="10">
        <f>IF(A377&lt;&gt;"",SUM(S377:T377),"")</f>
        <v>365.05562267931867</v>
      </c>
      <c r="Y377" s="12">
        <v>3</v>
      </c>
      <c r="Z377" s="12">
        <f>IF(A377&lt;&gt;"",SUM(U377:Y377),"")</f>
        <v>803.05562267931873</v>
      </c>
      <c r="AA377" s="27">
        <f>IF(A377&lt;&gt;"",(Z377+Normalize_To_Add)/(Point_Total_So_Far)*100,"")</f>
        <v>87.815235457063707</v>
      </c>
      <c r="AB377" s="10">
        <f>IF(A377&lt;&gt;"",RANK(AA377,All_Student_XC),"")</f>
        <v>115</v>
      </c>
      <c r="AC377" s="31" t="str">
        <f>IF(A377&lt;&gt;"",CHOOSE(10-MIN(9,TRUNC((AA377+0.5)/10)),"A","B","C","D","F","F","F","F","F","F"),"")</f>
        <v>B</v>
      </c>
      <c r="AD377" s="31" t="str">
        <f>IF(A377&lt;&gt;"",IF(OR(AA377+0.5&gt;=93,AA377+0.5&lt;60),"",IF(MOD(AA377+0.5,10)&gt;=7,"+",IF(MOD(AA377+0.5,10)&lt;3,"-",""))),"")</f>
        <v>+</v>
      </c>
      <c r="AE377" s="31">
        <f>IF(A377&lt;&gt;"",SUM(W377:X377,$W$8:$X$8)/SUM($W$2:$X$2)*100,"")</f>
        <v>88.03047091412742</v>
      </c>
      <c r="AF377" s="31" t="str">
        <f>IF(A377&lt;&gt;"",CHOOSE(10-MIN(9,TRUNC((AE377+0.5)/10)),"A","B","C","D","F","F","F","F","F","F"),"")</f>
        <v>B</v>
      </c>
      <c r="AG377" s="31" t="str">
        <f>IF(A377&lt;&gt;"",IF(OR(AE377+0.5&gt;=93,AE377+0.5&lt;60),"",IF(MOD(AE377+0.5,10)&gt;=7,"+",IF(MOD(AE377+0.5,10)&lt;3,"-",""))),"")</f>
        <v>+</v>
      </c>
      <c r="AH377" s="35">
        <f>IF(A377&lt;&gt;"",MIN(MAX(AA377,AE377),AA377+$AH$8,AE377+$AH$8),"")</f>
        <v>88.03047091412742</v>
      </c>
      <c r="AI377" s="31" t="str">
        <f>IF(A377&lt;&gt;"",CHOOSE(10-MIN(9,TRUNC((AH377+0.5)/10)),"A","B","C","D","F","F","F","F","F","F"),"")</f>
        <v>B</v>
      </c>
      <c r="AJ377" s="31" t="str">
        <f>IF(A377&lt;&gt;"",IF(OR(AH377+0.5&gt;=93,AH377+0.5&lt;60),"",IF(MOD(AH377+0.5,10)&gt;=7,"+",IF(MOD(AH377+0.5,10)&lt;3,"-",""))),"")</f>
        <v>+</v>
      </c>
      <c r="AK377" s="31" t="b">
        <f>IF(A377&lt;&gt;"",OR(AI377&lt;&gt;AC377,AJ377&lt;&gt;AD377),"")</f>
        <v>0</v>
      </c>
      <c r="AL377" s="81">
        <f>IF(AND(A377&lt;&gt;"",U377&gt;0),SUM(U377,$AL$8)/$AL$2*100,"")</f>
        <v>95.5</v>
      </c>
      <c r="AM377" s="24">
        <f>IF(AND(A377&lt;&gt;"",V377&gt;0),SUM(V377,$AM$8)/$AM$2*100,"")</f>
        <v>81.333333333333329</v>
      </c>
      <c r="AN377" s="24" t="str">
        <f>IF(AND(A377&lt;&gt;"",P377&lt;&gt;0),SUM(P377,$AN$8)/$AN$2*100,"")</f>
        <v/>
      </c>
      <c r="AO377" s="24" t="str">
        <f>IF(AND(A377&lt;&gt;"",Q377&lt;&gt;0),SUM(Q377,$AO$8)/$AO$2*100,"")</f>
        <v/>
      </c>
      <c r="AP377" s="24">
        <f>IF(AND(A377&lt;&gt;"",R377&lt;&gt;0),SUM(R377,$AP$8)/$AP$2*100,"")</f>
        <v>80.002659574468083</v>
      </c>
      <c r="AQ377" s="24" t="str">
        <f>IF(AND(A377&lt;&gt;"",W377&gt;0),SUM(W377,$AQ$8)/$AQ$2*100,"")</f>
        <v/>
      </c>
      <c r="AR377" s="24">
        <f>IF(AND(A377&lt;&gt;"",T377&gt;0),SUM(T377,$AR$8)/$AR$2*100,"")</f>
        <v>88.03047091412742</v>
      </c>
      <c r="AS377" s="24">
        <f>IF(AND(A377&lt;&gt;"",X377&lt;&gt;0),SUM(X377,$AS$8)/$AS$2*100,"")</f>
        <v>88.03047091412742</v>
      </c>
      <c r="AT377" s="86">
        <f>IF(A377&lt;&gt;"",SUM(W377:X377,$AT$8)/$AT$2*100,"")</f>
        <v>88.03047091412742</v>
      </c>
      <c r="AU377" s="24">
        <f>AA377</f>
        <v>87.815235457063707</v>
      </c>
      <c r="AV377" s="24"/>
      <c r="AW377" s="27">
        <f>IF(A377&lt;&gt;"",AE377-AA377,"")</f>
        <v>0.21523545706371294</v>
      </c>
      <c r="AY377" s="27">
        <f>AR377-AP377</f>
        <v>8.0278113396593369</v>
      </c>
      <c r="AZ377" s="27">
        <f>ABS(AY377)</f>
        <v>8.0278113396593369</v>
      </c>
    </row>
    <row r="378" spans="1:52" s="27" customFormat="1" ht="12.75" customHeight="1" x14ac:dyDescent="0.2">
      <c r="A378" s="10">
        <v>967892</v>
      </c>
      <c r="B378" s="2">
        <v>25</v>
      </c>
      <c r="C378" s="10">
        <v>25</v>
      </c>
      <c r="D378" s="10">
        <v>24</v>
      </c>
      <c r="E378" s="10">
        <v>25</v>
      </c>
      <c r="F378" s="10">
        <v>23</v>
      </c>
      <c r="G378" s="10">
        <v>25</v>
      </c>
      <c r="H378" s="10">
        <v>19</v>
      </c>
      <c r="I378" s="10">
        <v>25</v>
      </c>
      <c r="J378" s="2"/>
      <c r="K378" s="10">
        <v>61</v>
      </c>
      <c r="L378" s="10">
        <v>61</v>
      </c>
      <c r="M378" s="10">
        <v>59</v>
      </c>
      <c r="N378" s="51">
        <v>60</v>
      </c>
      <c r="O378" s="11">
        <v>62</v>
      </c>
      <c r="P378" s="10"/>
      <c r="Q378" s="40"/>
      <c r="R378" s="2">
        <v>166</v>
      </c>
      <c r="S378" s="10">
        <f>IF(T378="",R378,MAX((R378+$R$8)/$R$2,(T378+$T$8)/$T$2)*$R$2-$R$8)</f>
        <v>167.72228934598533</v>
      </c>
      <c r="T378" s="12">
        <v>249</v>
      </c>
      <c r="U378" s="68">
        <f>IF(A378&lt;&gt;"",SUM(B378:I378),"")</f>
        <v>191</v>
      </c>
      <c r="V378" s="10">
        <f>IF(A378&lt;&gt;"",SUM(J378:O378),"")</f>
        <v>303</v>
      </c>
      <c r="W378" s="10">
        <f>IF(A378&lt;&gt;"",SUM(P378:Q378),"")</f>
        <v>0</v>
      </c>
      <c r="X378" s="10">
        <f>IF(A378&lt;&gt;"",SUM(S378:T378),"")</f>
        <v>416.72228934598536</v>
      </c>
      <c r="Y378" s="12">
        <v>3</v>
      </c>
      <c r="Z378" s="12">
        <f>IF(A378&lt;&gt;"",SUM(U378:Y378),"")</f>
        <v>913.72228934598536</v>
      </c>
      <c r="AA378" s="27">
        <f>IF(A378&lt;&gt;"",(Z378+Normalize_To_Add)/(Point_Total_So_Far)*100,"")</f>
        <v>98.881902123730384</v>
      </c>
      <c r="AB378" s="10">
        <f>IF(A378&lt;&gt;"",RANK(AA378,All_Student_XC),"")</f>
        <v>9</v>
      </c>
      <c r="AC378" s="31" t="str">
        <f>IF(A378&lt;&gt;"",CHOOSE(10-MIN(9,TRUNC((AA378+0.5)/10)),"A","B","C","D","F","F","F","F","F","F"),"")</f>
        <v>A</v>
      </c>
      <c r="AD378" s="31" t="str">
        <f>IF(A378&lt;&gt;"",IF(OR(AA378+0.5&gt;=93,AA378+0.5&lt;60),"",IF(MOD(AA378+0.5,10)&gt;=7,"+",IF(MOD(AA378+0.5,10)&lt;3,"-",""))),"")</f>
        <v/>
      </c>
      <c r="AE378" s="31">
        <f>IF(A378&lt;&gt;"",SUM(W378:X378,$W$8:$X$8)/SUM($W$2:$X$2)*100,"")</f>
        <v>98.363804247460763</v>
      </c>
      <c r="AF378" s="31" t="str">
        <f>IF(A378&lt;&gt;"",CHOOSE(10-MIN(9,TRUNC((AE378+0.5)/10)),"A","B","C","D","F","F","F","F","F","F"),"")</f>
        <v>A</v>
      </c>
      <c r="AG378" s="31" t="str">
        <f>IF(A378&lt;&gt;"",IF(OR(AE378+0.5&gt;=93,AE378+0.5&lt;60),"",IF(MOD(AE378+0.5,10)&gt;=7,"+",IF(MOD(AE378+0.5,10)&lt;3,"-",""))),"")</f>
        <v/>
      </c>
      <c r="AH378" s="35">
        <f>IF(A378&lt;&gt;"",MIN(MAX(AA378,AE378),AA378+$AH$8,AE378+$AH$8),"")</f>
        <v>98.881902123730384</v>
      </c>
      <c r="AI378" s="31" t="str">
        <f>IF(A378&lt;&gt;"",CHOOSE(10-MIN(9,TRUNC((AH378+0.5)/10)),"A","B","C","D","F","F","F","F","F","F"),"")</f>
        <v>A</v>
      </c>
      <c r="AJ378" s="31" t="str">
        <f>IF(A378&lt;&gt;"",IF(OR(AH378+0.5&gt;=93,AH378+0.5&lt;60),"",IF(MOD(AH378+0.5,10)&gt;=7,"+",IF(MOD(AH378+0.5,10)&lt;3,"-",""))),"")</f>
        <v/>
      </c>
      <c r="AK378" s="31" t="b">
        <f>IF(A378&lt;&gt;"",OR(AI378&lt;&gt;AC378,AJ378&lt;&gt;AD378),"")</f>
        <v>0</v>
      </c>
      <c r="AL378" s="81">
        <f>IF(AND(A378&lt;&gt;"",U378&gt;0),SUM(U378,$AL$8)/$AL$2*100,"")</f>
        <v>95.5</v>
      </c>
      <c r="AM378" s="24">
        <f>IF(AND(A378&lt;&gt;"",V378&gt;0),SUM(V378,$AM$8)/$AM$2*100,"")</f>
        <v>101</v>
      </c>
      <c r="AN378" s="24" t="str">
        <f>IF(AND(A378&lt;&gt;"",P378&lt;&gt;0),SUM(P378,$AN$8)/$AN$2*100,"")</f>
        <v/>
      </c>
      <c r="AO378" s="24" t="str">
        <f>IF(AND(A378&lt;&gt;"",Q378&lt;&gt;0),SUM(Q378,$AO$8)/$AO$2*100,"")</f>
        <v/>
      </c>
      <c r="AP378" s="24">
        <f>IF(AND(A378&lt;&gt;"",R378&lt;&gt;0),SUM(R378,$AP$8)/$AP$2*100,"")</f>
        <v>97.502659574468083</v>
      </c>
      <c r="AQ378" s="24" t="str">
        <f>IF(AND(A378&lt;&gt;"",W378&gt;0),SUM(W378,$AQ$8)/$AQ$2*100,"")</f>
        <v/>
      </c>
      <c r="AR378" s="24">
        <f>IF(AND(A378&lt;&gt;"",T378&gt;0),SUM(T378,$AR$8)/$AR$2*100,"")</f>
        <v>98.363804247460749</v>
      </c>
      <c r="AS378" s="24">
        <f>IF(AND(A378&lt;&gt;"",X378&lt;&gt;0),SUM(X378,$AS$8)/$AS$2*100,"")</f>
        <v>98.363804247460763</v>
      </c>
      <c r="AT378" s="86">
        <f>IF(A378&lt;&gt;"",SUM(W378:X378,$AT$8)/$AT$2*100,"")</f>
        <v>98.363804247460763</v>
      </c>
      <c r="AU378" s="24">
        <f>AA378</f>
        <v>98.881902123730384</v>
      </c>
      <c r="AV378" s="24"/>
      <c r="AW378" s="27">
        <f>IF(A378&lt;&gt;"",AE378-AA378,"")</f>
        <v>-0.51809787626962134</v>
      </c>
      <c r="AY378" s="27">
        <f>AR378-AP378</f>
        <v>0.86114467299266551</v>
      </c>
      <c r="AZ378" s="27">
        <f>ABS(AY378)</f>
        <v>0.86114467299266551</v>
      </c>
    </row>
    <row r="379" spans="1:52" s="27" customFormat="1" ht="12.75" customHeight="1" x14ac:dyDescent="0.2">
      <c r="A379" s="10">
        <v>971986</v>
      </c>
      <c r="B379" s="2">
        <v>25</v>
      </c>
      <c r="C379" s="10">
        <v>18</v>
      </c>
      <c r="D379" s="10">
        <v>20</v>
      </c>
      <c r="E379" s="10">
        <v>20</v>
      </c>
      <c r="F379" s="10">
        <v>19</v>
      </c>
      <c r="G379" s="10">
        <v>25</v>
      </c>
      <c r="H379" s="10">
        <v>16</v>
      </c>
      <c r="I379" s="10">
        <v>23</v>
      </c>
      <c r="J379" s="2"/>
      <c r="K379" s="10">
        <v>54</v>
      </c>
      <c r="L379" s="10">
        <v>61</v>
      </c>
      <c r="M379" s="10">
        <v>59</v>
      </c>
      <c r="N379" s="51">
        <v>54</v>
      </c>
      <c r="O379" s="11">
        <v>61</v>
      </c>
      <c r="P379" s="10"/>
      <c r="Q379" s="40"/>
      <c r="R379" s="2">
        <v>78</v>
      </c>
      <c r="S379" s="10">
        <f>IF(T379="",R379,MAX((R379+$R$8)/$R$2,(T379+$T$8)/$T$2)*$R$2-$R$8)</f>
        <v>107.05562267931867</v>
      </c>
      <c r="T379" s="12">
        <v>158</v>
      </c>
      <c r="U379" s="68">
        <f>IF(A379&lt;&gt;"",SUM(B379:I379),"")</f>
        <v>166</v>
      </c>
      <c r="V379" s="10">
        <f>IF(A379&lt;&gt;"",SUM(J379:O379),"")</f>
        <v>289</v>
      </c>
      <c r="W379" s="10">
        <f>IF(A379&lt;&gt;"",SUM(P379:Q379),"")</f>
        <v>0</v>
      </c>
      <c r="X379" s="10">
        <f>IF(A379&lt;&gt;"",SUM(S379:T379),"")</f>
        <v>265.05562267931867</v>
      </c>
      <c r="Y379" s="12">
        <v>3</v>
      </c>
      <c r="Z379" s="12">
        <f>IF(A379&lt;&gt;"",SUM(U379:Y379),"")</f>
        <v>723.05562267931873</v>
      </c>
      <c r="AA379" s="27">
        <f>IF(A379&lt;&gt;"",(Z379+Normalize_To_Add)/(Point_Total_So_Far)*100,"")</f>
        <v>79.815235457063721</v>
      </c>
      <c r="AB379" s="10">
        <f>IF(A379&lt;&gt;"",RANK(AA379,All_Student_XC),"")</f>
        <v>212</v>
      </c>
      <c r="AC379" s="31" t="str">
        <f>IF(A379&lt;&gt;"",CHOOSE(10-MIN(9,TRUNC((AA379+0.5)/10)),"A","B","C","D","F","F","F","F","F","F"),"")</f>
        <v>B</v>
      </c>
      <c r="AD379" s="31" t="str">
        <f>IF(A379&lt;&gt;"",IF(OR(AA379+0.5&gt;=93,AA379+0.5&lt;60),"",IF(MOD(AA379+0.5,10)&gt;=7,"+",IF(MOD(AA379+0.5,10)&lt;3,"-",""))),"")</f>
        <v>-</v>
      </c>
      <c r="AE379" s="31">
        <f>IF(A379&lt;&gt;"",SUM(W379:X379,$W$8:$X$8)/SUM($W$2:$X$2)*100,"")</f>
        <v>68.03047091412742</v>
      </c>
      <c r="AF379" s="31" t="str">
        <f>IF(A379&lt;&gt;"",CHOOSE(10-MIN(9,TRUNC((AE379+0.5)/10)),"A","B","C","D","F","F","F","F","F","F"),"")</f>
        <v>D</v>
      </c>
      <c r="AG379" s="31" t="str">
        <f>IF(A379&lt;&gt;"",IF(OR(AE379+0.5&gt;=93,AE379+0.5&lt;60),"",IF(MOD(AE379+0.5,10)&gt;=7,"+",IF(MOD(AE379+0.5,10)&lt;3,"-",""))),"")</f>
        <v>+</v>
      </c>
      <c r="AH379" s="35">
        <f>IF(A379&lt;&gt;"",MIN(MAX(AA379,AE379),AA379+$AH$8,AE379+$AH$8),"")</f>
        <v>79.815235457063721</v>
      </c>
      <c r="AI379" s="31" t="str">
        <f>IF(A379&lt;&gt;"",CHOOSE(10-MIN(9,TRUNC((AH379+0.5)/10)),"A","B","C","D","F","F","F","F","F","F"),"")</f>
        <v>B</v>
      </c>
      <c r="AJ379" s="31" t="str">
        <f>IF(A379&lt;&gt;"",IF(OR(AH379+0.5&gt;=93,AH379+0.5&lt;60),"",IF(MOD(AH379+0.5,10)&gt;=7,"+",IF(MOD(AH379+0.5,10)&lt;3,"-",""))),"")</f>
        <v>-</v>
      </c>
      <c r="AK379" s="31" t="b">
        <f>IF(A379&lt;&gt;"",OR(AI379&lt;&gt;AC379,AJ379&lt;&gt;AD379),"")</f>
        <v>0</v>
      </c>
      <c r="AL379" s="81">
        <f>IF(AND(A379&lt;&gt;"",U379&gt;0),SUM(U379,$AL$8)/$AL$2*100,"")</f>
        <v>83</v>
      </c>
      <c r="AM379" s="24">
        <f>IF(AND(A379&lt;&gt;"",V379&gt;0),SUM(V379,$AM$8)/$AM$2*100,"")</f>
        <v>96.333333333333343</v>
      </c>
      <c r="AN379" s="24" t="str">
        <f>IF(AND(A379&lt;&gt;"",P379&lt;&gt;0),SUM(P379,$AN$8)/$AN$2*100,"")</f>
        <v/>
      </c>
      <c r="AO379" s="24" t="str">
        <f>IF(AND(A379&lt;&gt;"",Q379&lt;&gt;0),SUM(Q379,$AO$8)/$AO$2*100,"")</f>
        <v/>
      </c>
      <c r="AP379" s="24">
        <f>IF(AND(A379&lt;&gt;"",R379&lt;&gt;0),SUM(R379,$AP$8)/$AP$2*100,"")</f>
        <v>53.502659574468083</v>
      </c>
      <c r="AQ379" s="24" t="str">
        <f>IF(AND(A379&lt;&gt;"",W379&gt;0),SUM(W379,$AQ$8)/$AQ$2*100,"")</f>
        <v/>
      </c>
      <c r="AR379" s="24">
        <f>IF(AND(A379&lt;&gt;"",T379&gt;0),SUM(T379,$AR$8)/$AR$2*100,"")</f>
        <v>68.03047091412742</v>
      </c>
      <c r="AS379" s="24">
        <f>IF(AND(A379&lt;&gt;"",X379&lt;&gt;0),SUM(X379,$AS$8)/$AS$2*100,"")</f>
        <v>68.03047091412742</v>
      </c>
      <c r="AT379" s="86">
        <f>IF(A379&lt;&gt;"",SUM(W379:X379,$AT$8)/$AT$2*100,"")</f>
        <v>68.03047091412742</v>
      </c>
      <c r="AU379" s="24">
        <f>AA379</f>
        <v>79.815235457063721</v>
      </c>
      <c r="AV379" s="24"/>
      <c r="AW379" s="27">
        <f>IF(A379&lt;&gt;"",AE379-AA379,"")</f>
        <v>-11.784764542936301</v>
      </c>
      <c r="AY379" s="27">
        <f>AR379-AP379</f>
        <v>14.527811339659337</v>
      </c>
      <c r="AZ379" s="27">
        <f>ABS(AY379)</f>
        <v>14.527811339659337</v>
      </c>
    </row>
    <row r="380" spans="1:52" s="27" customFormat="1" ht="12.75" customHeight="1" x14ac:dyDescent="0.2">
      <c r="A380" s="50">
        <v>979558</v>
      </c>
      <c r="B380" s="2">
        <v>25</v>
      </c>
      <c r="C380" s="50">
        <v>14</v>
      </c>
      <c r="D380" s="10">
        <v>20</v>
      </c>
      <c r="E380" s="10">
        <v>25</v>
      </c>
      <c r="F380" s="10">
        <v>3</v>
      </c>
      <c r="G380" s="10">
        <v>25</v>
      </c>
      <c r="H380" s="10">
        <v>23</v>
      </c>
      <c r="I380" s="10">
        <v>21</v>
      </c>
      <c r="J380" s="2"/>
      <c r="K380" s="10">
        <v>59</v>
      </c>
      <c r="L380" s="10">
        <v>55</v>
      </c>
      <c r="M380" s="10">
        <v>23</v>
      </c>
      <c r="N380" s="51">
        <v>13</v>
      </c>
      <c r="O380" s="11">
        <v>45</v>
      </c>
      <c r="P380" s="10"/>
      <c r="Q380" s="40"/>
      <c r="R380" s="2">
        <v>142</v>
      </c>
      <c r="S380" s="10">
        <f>IF(T380="",R380,MAX((R380+$R$8)/$R$2,(T380+$T$8)/$T$2)*$R$2-$R$8)</f>
        <v>142</v>
      </c>
      <c r="T380" s="62">
        <v>189</v>
      </c>
      <c r="U380" s="2">
        <f>IF(A380&lt;&gt;"",SUM(B380:I380),"")</f>
        <v>156</v>
      </c>
      <c r="V380" s="10">
        <f>IF(A380&lt;&gt;"",SUM(J380:O380),"")</f>
        <v>195</v>
      </c>
      <c r="W380" s="10">
        <f>IF(A380&lt;&gt;"",SUM(P380:Q380),"")</f>
        <v>0</v>
      </c>
      <c r="X380" s="10">
        <f>IF(A380&lt;&gt;"",SUM(S380:T380),"")</f>
        <v>331</v>
      </c>
      <c r="Y380" s="12">
        <v>3</v>
      </c>
      <c r="Z380" s="12">
        <f>IF(A380&lt;&gt;"",SUM(U380:Y380),"")</f>
        <v>685</v>
      </c>
      <c r="AA380" s="27">
        <f>IF(A380&lt;&gt;"",(Z380+Normalize_To_Add)/(Point_Total_So_Far)*100,"")</f>
        <v>76.009673189131846</v>
      </c>
      <c r="AB380" s="10">
        <f>IF(A380&lt;&gt;"",RANK(AA380,All_Student_XC),"")</f>
        <v>263</v>
      </c>
      <c r="AC380" s="31" t="str">
        <f>IF(A380&lt;&gt;"",CHOOSE(10-MIN(9,TRUNC((AA380+0.5)/10)),"A","B","C","D","F","F","F","F","F","F"),"")</f>
        <v>C</v>
      </c>
      <c r="AD380" s="31" t="str">
        <f>IF(A380&lt;&gt;"",IF(OR(AA380+0.5&gt;=93,AA380+0.5&lt;60),"",IF(MOD(AA380+0.5,10)&gt;=7,"+",IF(MOD(AA380+0.5,10)&lt;3,"-",""))),"")</f>
        <v/>
      </c>
      <c r="AE380" s="31">
        <f>IF(A380&lt;&gt;"",SUM(W380:X380,$W$8:$X$8)/SUM($W$2:$X$2)*100,"")</f>
        <v>81.219346378263694</v>
      </c>
      <c r="AF380" s="43" t="str">
        <f>IF(A380&lt;&gt;"",CHOOSE(10-MIN(9,TRUNC((AE380+0.5)/10)),"A","B","C","D","F","F","F","F","F","F"),"")</f>
        <v>B</v>
      </c>
      <c r="AG380" s="43" t="str">
        <f>IF(A380&lt;&gt;"",IF(OR(AE380+0.5&gt;=93,AE380+0.5&lt;60),"",IF(MOD(AE380+0.5,10)&gt;=7,"+",IF(MOD(AE380+0.5,10)&lt;3,"-",""))),"")</f>
        <v>-</v>
      </c>
      <c r="AH380" s="35">
        <f>IF(A380&lt;&gt;"",MIN(MAX(AA380,AE380),AA380+$AH$8,AE380+$AH$8),"")</f>
        <v>81.219346378263694</v>
      </c>
      <c r="AI380" s="31" t="str">
        <f>IF(A380&lt;&gt;"",CHOOSE(10-MIN(9,TRUNC((AH380+0.5)/10)),"A","B","C","D","F","F","F","F","F","F"),"")</f>
        <v>B</v>
      </c>
      <c r="AJ380" s="31" t="str">
        <f>IF(A380&lt;&gt;"",IF(OR(AH380+0.5&gt;=93,AH380+0.5&lt;60),"",IF(MOD(AH380+0.5,10)&gt;=7,"+",IF(MOD(AH380+0.5,10)&lt;3,"-",""))),"")</f>
        <v>-</v>
      </c>
      <c r="AK380" s="31" t="b">
        <f>IF(A380&lt;&gt;"",OR(AI380&lt;&gt;AC380,AJ380&lt;&gt;AD380),"")</f>
        <v>1</v>
      </c>
      <c r="AL380" s="81">
        <f>IF(AND(A380&lt;&gt;"",U380&gt;0),SUM(U380,$AL$8)/$AL$2*100,"")</f>
        <v>78</v>
      </c>
      <c r="AM380" s="24">
        <f>IF(AND(A380&lt;&gt;"",V380&gt;0),SUM(V380,$AM$8)/$AM$2*100,"")</f>
        <v>65</v>
      </c>
      <c r="AN380" s="24" t="str">
        <f>IF(AND(A380&lt;&gt;"",P380&lt;&gt;0),SUM(P380,$AN$8)/$AN$2*100,"")</f>
        <v/>
      </c>
      <c r="AO380" s="24" t="str">
        <f>IF(AND(A380&lt;&gt;"",Q380&lt;&gt;0),SUM(Q380,$AO$8)/$AO$2*100,"")</f>
        <v/>
      </c>
      <c r="AP380" s="24">
        <f>IF(AND(A380&lt;&gt;"",R380&lt;&gt;0),SUM(R380,$AP$8)/$AP$2*100,"")</f>
        <v>85.502659574468083</v>
      </c>
      <c r="AQ380" s="24" t="str">
        <f>IF(AND(A380&lt;&gt;"",W380&gt;0),SUM(W380,$AQ$8)/$AQ$2*100,"")</f>
        <v/>
      </c>
      <c r="AR380" s="24">
        <f>IF(AND(A380&lt;&gt;"",T380&gt;0),SUM(T380,$AR$8)/$AR$2*100,"")</f>
        <v>78.363804247460749</v>
      </c>
      <c r="AS380" s="24">
        <f>IF(AND(A380&lt;&gt;"",X380&lt;&gt;0),SUM(X380,$AS$8)/$AS$2*100,"")</f>
        <v>81.219346378263694</v>
      </c>
      <c r="AT380" s="86">
        <f>IF(A380&lt;&gt;"",SUM(W380:X380,$AT$8)/$AT$2*100,"")</f>
        <v>81.219346378263694</v>
      </c>
      <c r="AU380" s="24">
        <f>AA380</f>
        <v>76.009673189131846</v>
      </c>
      <c r="AV380" s="24"/>
      <c r="AW380" s="27">
        <f>IF(A380&lt;&gt;"",AE380-AA380,"")</f>
        <v>5.2096731891318484</v>
      </c>
      <c r="AY380" s="27">
        <f>AR380-AP380</f>
        <v>-7.1388553270073345</v>
      </c>
      <c r="AZ380" s="27">
        <f>ABS(AY380)</f>
        <v>7.1388553270073345</v>
      </c>
    </row>
    <row r="381" spans="1:52" s="27" customFormat="1" ht="12.75" customHeight="1" x14ac:dyDescent="0.2">
      <c r="A381" s="10">
        <v>980432</v>
      </c>
      <c r="B381" s="2">
        <v>25</v>
      </c>
      <c r="C381" s="10">
        <v>23</v>
      </c>
      <c r="D381" s="10">
        <v>25</v>
      </c>
      <c r="E381" s="10">
        <v>25</v>
      </c>
      <c r="F381" s="10">
        <v>20</v>
      </c>
      <c r="G381" s="10">
        <v>25</v>
      </c>
      <c r="H381" s="10">
        <v>23</v>
      </c>
      <c r="I381" s="10">
        <v>25</v>
      </c>
      <c r="J381" s="2"/>
      <c r="K381" s="10">
        <v>54</v>
      </c>
      <c r="L381" s="10">
        <v>62</v>
      </c>
      <c r="M381" s="10">
        <v>59</v>
      </c>
      <c r="N381" s="51">
        <v>47</v>
      </c>
      <c r="O381" s="11">
        <v>62</v>
      </c>
      <c r="P381" s="10"/>
      <c r="Q381" s="40"/>
      <c r="R381" s="2">
        <v>132</v>
      </c>
      <c r="S381" s="10">
        <f>IF(T381="",R381,MAX((R381+$R$8)/$R$2,(T381+$T$8)/$T$2)*$R$2-$R$8)</f>
        <v>139.72228934598533</v>
      </c>
      <c r="T381" s="12">
        <v>207</v>
      </c>
      <c r="U381" s="1">
        <f>IF(A381&lt;&gt;"",SUM(B381:I381),"")</f>
        <v>191</v>
      </c>
      <c r="V381" s="10">
        <f>IF(A381&lt;&gt;"",SUM(J381:O381),"")</f>
        <v>284</v>
      </c>
      <c r="W381" s="10">
        <f>IF(A381&lt;&gt;"",SUM(P381:Q381),"")</f>
        <v>0</v>
      </c>
      <c r="X381" s="10">
        <f>IF(A381&lt;&gt;"",SUM(S381:T381),"")</f>
        <v>346.72228934598536</v>
      </c>
      <c r="Y381" s="12">
        <v>3</v>
      </c>
      <c r="Z381" s="12">
        <f>IF(A381&lt;&gt;"",SUM(U381:Y381),"")</f>
        <v>824.72228934598536</v>
      </c>
      <c r="AA381" s="27">
        <f>IF(A381&lt;&gt;"",(Z381+Normalize_To_Add)/(Point_Total_So_Far)*100,"")</f>
        <v>89.981902123730379</v>
      </c>
      <c r="AB381" s="10">
        <f>IF(A381&lt;&gt;"",RANK(AA381,All_Student_XC),"")</f>
        <v>76</v>
      </c>
      <c r="AC381" s="31" t="str">
        <f>IF(A381&lt;&gt;"",CHOOSE(10-MIN(9,TRUNC((AA381+0.5)/10)),"A","B","C","D","F","F","F","F","F","F"),"")</f>
        <v>A</v>
      </c>
      <c r="AD381" s="31" t="str">
        <f>IF(A381&lt;&gt;"",IF(OR(AA381+0.5&gt;=93,AA381+0.5&lt;60),"",IF(MOD(AA381+0.5,10)&gt;=7,"+",IF(MOD(AA381+0.5,10)&lt;3,"-",""))),"")</f>
        <v>-</v>
      </c>
      <c r="AE381" s="31">
        <f>IF(A381&lt;&gt;"",SUM(W381:X381,$W$8:$X$8)/SUM($W$2:$X$2)*100,"")</f>
        <v>84.363804247460763</v>
      </c>
      <c r="AF381" s="43" t="str">
        <f>IF(A381&lt;&gt;"",CHOOSE(10-MIN(9,TRUNC((AE381+0.5)/10)),"A","B","C","D","F","F","F","F","F","F"),"")</f>
        <v>B</v>
      </c>
      <c r="AG381" s="43" t="str">
        <f>IF(A381&lt;&gt;"",IF(OR(AE381+0.5&gt;=93,AE381+0.5&lt;60),"",IF(MOD(AE381+0.5,10)&gt;=7,"+",IF(MOD(AE381+0.5,10)&lt;3,"-",""))),"")</f>
        <v/>
      </c>
      <c r="AH381" s="35">
        <f>IF(A381&lt;&gt;"",MIN(MAX(AA381,AE381),AA381+$AH$8,AE381+$AH$8),"")</f>
        <v>89.981902123730379</v>
      </c>
      <c r="AI381" s="31" t="str">
        <f>IF(A381&lt;&gt;"",CHOOSE(10-MIN(9,TRUNC((AH381+0.5)/10)),"A","B","C","D","F","F","F","F","F","F"),"")</f>
        <v>A</v>
      </c>
      <c r="AJ381" s="31" t="str">
        <f>IF(A381&lt;&gt;"",IF(OR(AH381+0.5&gt;=93,AH381+0.5&lt;60),"",IF(MOD(AH381+0.5,10)&gt;=7,"+",IF(MOD(AH381+0.5,10)&lt;3,"-",""))),"")</f>
        <v>-</v>
      </c>
      <c r="AK381" s="31" t="b">
        <f>IF(A381&lt;&gt;"",OR(AI381&lt;&gt;AC381,AJ381&lt;&gt;AD381),"")</f>
        <v>0</v>
      </c>
      <c r="AL381" s="81">
        <f>IF(AND(A381&lt;&gt;"",U381&gt;0),SUM(U381,$AL$8)/$AL$2*100,"")</f>
        <v>95.5</v>
      </c>
      <c r="AM381" s="24">
        <f>IF(AND(A381&lt;&gt;"",V381&gt;0),SUM(V381,$AM$8)/$AM$2*100,"")</f>
        <v>94.666666666666671</v>
      </c>
      <c r="AN381" s="24" t="str">
        <f>IF(AND(A381&lt;&gt;"",P381&lt;&gt;0),SUM(P381,$AN$8)/$AN$2*100,"")</f>
        <v/>
      </c>
      <c r="AO381" s="24" t="str">
        <f>IF(AND(A381&lt;&gt;"",Q381&lt;&gt;0),SUM(Q381,$AO$8)/$AO$2*100,"")</f>
        <v/>
      </c>
      <c r="AP381" s="24">
        <f>IF(AND(A381&lt;&gt;"",R381&lt;&gt;0),SUM(R381,$AP$8)/$AP$2*100,"")</f>
        <v>80.502659574468083</v>
      </c>
      <c r="AQ381" s="24" t="str">
        <f>IF(AND(A381&lt;&gt;"",W381&gt;0),SUM(W381,$AQ$8)/$AQ$2*100,"")</f>
        <v/>
      </c>
      <c r="AR381" s="24">
        <f>IF(AND(A381&lt;&gt;"",T381&gt;0),SUM(T381,$AR$8)/$AR$2*100,"")</f>
        <v>84.363804247460749</v>
      </c>
      <c r="AS381" s="24">
        <f>IF(AND(A381&lt;&gt;"",X381&lt;&gt;0),SUM(X381,$AS$8)/$AS$2*100,"")</f>
        <v>84.363804247460763</v>
      </c>
      <c r="AT381" s="86">
        <f>IF(A381&lt;&gt;"",SUM(W381:X381,$AT$8)/$AT$2*100,"")</f>
        <v>84.363804247460763</v>
      </c>
      <c r="AU381" s="24">
        <f>AA381</f>
        <v>89.981902123730379</v>
      </c>
      <c r="AV381" s="24"/>
      <c r="AW381" s="27">
        <f>IF(A381&lt;&gt;"",AE381-AA381,"")</f>
        <v>-5.6180978762696157</v>
      </c>
      <c r="AY381" s="27">
        <f>AR381-AP381</f>
        <v>3.8611446729926655</v>
      </c>
      <c r="AZ381" s="27">
        <f>ABS(AY381)</f>
        <v>3.8611446729926655</v>
      </c>
    </row>
    <row r="382" spans="1:52" s="27" customFormat="1" ht="12.75" customHeight="1" x14ac:dyDescent="0.2">
      <c r="A382" s="50">
        <v>981324</v>
      </c>
      <c r="B382" s="2">
        <v>23</v>
      </c>
      <c r="C382" s="10">
        <v>20</v>
      </c>
      <c r="D382" s="10">
        <v>24</v>
      </c>
      <c r="E382" s="10">
        <v>25</v>
      </c>
      <c r="F382" s="10">
        <v>16</v>
      </c>
      <c r="G382" s="40">
        <v>25</v>
      </c>
      <c r="H382" s="10">
        <v>25</v>
      </c>
      <c r="I382" s="10">
        <v>25</v>
      </c>
      <c r="J382" s="2"/>
      <c r="K382" s="10">
        <v>62</v>
      </c>
      <c r="L382" s="10">
        <v>62</v>
      </c>
      <c r="M382" s="10">
        <v>57</v>
      </c>
      <c r="N382" s="51">
        <v>61</v>
      </c>
      <c r="O382" s="11">
        <v>47</v>
      </c>
      <c r="P382" s="10"/>
      <c r="Q382" s="40"/>
      <c r="R382" s="2">
        <v>138</v>
      </c>
      <c r="S382" s="10">
        <f>IF(T382="",R382,MAX((R382+$R$8)/$R$2,(T382+$T$8)/$T$2)*$R$2-$R$8)</f>
        <v>138</v>
      </c>
      <c r="T382" s="12">
        <v>130</v>
      </c>
      <c r="U382" s="1">
        <f>IF(A382&lt;&gt;"",SUM(B382:I382),"")</f>
        <v>183</v>
      </c>
      <c r="V382" s="10">
        <f>IF(A382&lt;&gt;"",SUM(J382:O382),"")</f>
        <v>289</v>
      </c>
      <c r="W382" s="10">
        <f>IF(A382&lt;&gt;"",SUM(P382:Q382),"")</f>
        <v>0</v>
      </c>
      <c r="X382" s="10">
        <f>IF(A382&lt;&gt;"",SUM(S382:T382),"")</f>
        <v>268</v>
      </c>
      <c r="Y382" s="12">
        <v>3</v>
      </c>
      <c r="Z382" s="12">
        <f>IF(A382&lt;&gt;"",SUM(U382:Y382),"")</f>
        <v>743</v>
      </c>
      <c r="AA382" s="27">
        <f>IF(A382&lt;&gt;"",(Z382+Normalize_To_Add)/(Point_Total_So_Far)*100,"")</f>
        <v>81.809673189131843</v>
      </c>
      <c r="AB382" s="10">
        <f>IF(A382&lt;&gt;"",RANK(AA382,All_Student_XC),"")</f>
        <v>185</v>
      </c>
      <c r="AC382" s="31" t="str">
        <f>IF(A382&lt;&gt;"",CHOOSE(10-MIN(9,TRUNC((AA382+0.5)/10)),"A","B","C","D","F","F","F","F","F","F"),"")</f>
        <v>B</v>
      </c>
      <c r="AD382" s="31" t="str">
        <f>IF(A382&lt;&gt;"",IF(OR(AA382+0.5&gt;=93,AA382+0.5&lt;60),"",IF(MOD(AA382+0.5,10)&gt;=7,"+",IF(MOD(AA382+0.5,10)&lt;3,"-",""))),"")</f>
        <v>-</v>
      </c>
      <c r="AE382" s="31">
        <f>IF(A382&lt;&gt;"",SUM(W382:X382,$W$8:$X$8)/SUM($W$2:$X$2)*100,"")</f>
        <v>68.619346378263685</v>
      </c>
      <c r="AF382" s="31" t="str">
        <f>IF(A382&lt;&gt;"",CHOOSE(10-MIN(9,TRUNC((AE382+0.5)/10)),"A","B","C","D","F","F","F","F","F","F"),"")</f>
        <v>D</v>
      </c>
      <c r="AG382" s="31" t="str">
        <f>IF(A382&lt;&gt;"",IF(OR(AE382+0.5&gt;=93,AE382+0.5&lt;60),"",IF(MOD(AE382+0.5,10)&gt;=7,"+",IF(MOD(AE382+0.5,10)&lt;3,"-",""))),"")</f>
        <v>+</v>
      </c>
      <c r="AH382" s="35">
        <f>IF(A382&lt;&gt;"",MIN(MAX(AA382,AE382),AA382+$AH$8,AE382+$AH$8),"")</f>
        <v>81.809673189131843</v>
      </c>
      <c r="AI382" s="31" t="str">
        <f>IF(A382&lt;&gt;"",CHOOSE(10-MIN(9,TRUNC((AH382+0.5)/10)),"A","B","C","D","F","F","F","F","F","F"),"")</f>
        <v>B</v>
      </c>
      <c r="AJ382" s="31" t="str">
        <f>IF(A382&lt;&gt;"",IF(OR(AH382+0.5&gt;=93,AH382+0.5&lt;60),"",IF(MOD(AH382+0.5,10)&gt;=7,"+",IF(MOD(AH382+0.5,10)&lt;3,"-",""))),"")</f>
        <v>-</v>
      </c>
      <c r="AK382" s="31" t="b">
        <f>IF(A382&lt;&gt;"",OR(AI382&lt;&gt;AC382,AJ382&lt;&gt;AD382),"")</f>
        <v>0</v>
      </c>
      <c r="AL382" s="81">
        <f>IF(AND(A382&lt;&gt;"",U382&gt;0),SUM(U382,$AL$8)/$AL$2*100,"")</f>
        <v>91.5</v>
      </c>
      <c r="AM382" s="24">
        <f>IF(AND(A382&lt;&gt;"",V382&gt;0),SUM(V382,$AM$8)/$AM$2*100,"")</f>
        <v>96.333333333333343</v>
      </c>
      <c r="AN382" s="24" t="str">
        <f>IF(AND(A382&lt;&gt;"",P382&lt;&gt;0),SUM(P382,$AN$8)/$AN$2*100,"")</f>
        <v/>
      </c>
      <c r="AO382" s="24" t="str">
        <f>IF(AND(A382&lt;&gt;"",Q382&lt;&gt;0),SUM(Q382,$AO$8)/$AO$2*100,"")</f>
        <v/>
      </c>
      <c r="AP382" s="24">
        <f>IF(AND(A382&lt;&gt;"",R382&lt;&gt;0),SUM(R382,$AP$8)/$AP$2*100,"")</f>
        <v>83.502659574468083</v>
      </c>
      <c r="AQ382" s="24" t="str">
        <f>IF(AND(A382&lt;&gt;"",W382&gt;0),SUM(W382,$AQ$8)/$AQ$2*100,"")</f>
        <v/>
      </c>
      <c r="AR382" s="24">
        <f>IF(AND(A382&lt;&gt;"",T382&gt;0),SUM(T382,$AR$8)/$AR$2*100,"")</f>
        <v>58.697137580794092</v>
      </c>
      <c r="AS382" s="24">
        <f>IF(AND(A382&lt;&gt;"",X382&lt;&gt;0),SUM(X382,$AS$8)/$AS$2*100,"")</f>
        <v>68.619346378263685</v>
      </c>
      <c r="AT382" s="86">
        <f>IF(A382&lt;&gt;"",SUM(W382:X382,$AT$8)/$AT$2*100,"")</f>
        <v>68.619346378263685</v>
      </c>
      <c r="AU382" s="24">
        <f>AA382</f>
        <v>81.809673189131843</v>
      </c>
      <c r="AV382" s="24"/>
      <c r="AW382" s="27">
        <f>IF(A382&lt;&gt;"",AE382-AA382,"")</f>
        <v>-13.190326810868157</v>
      </c>
      <c r="AY382" s="27">
        <f>AR382-AP382</f>
        <v>-24.805521993673992</v>
      </c>
      <c r="AZ382" s="27">
        <f>ABS(AY382)</f>
        <v>24.805521993673992</v>
      </c>
    </row>
    <row r="383" spans="1:52" s="27" customFormat="1" ht="12.75" customHeight="1" x14ac:dyDescent="0.2">
      <c r="A383" s="10">
        <v>985200</v>
      </c>
      <c r="B383" s="2">
        <v>2</v>
      </c>
      <c r="C383" s="10">
        <v>8</v>
      </c>
      <c r="D383" s="10" t="s">
        <v>69</v>
      </c>
      <c r="E383" s="10" t="s">
        <v>69</v>
      </c>
      <c r="F383" s="10" t="s">
        <v>69</v>
      </c>
      <c r="G383" s="10" t="s">
        <v>69</v>
      </c>
      <c r="H383" s="10" t="s">
        <v>69</v>
      </c>
      <c r="I383" s="10" t="s">
        <v>69</v>
      </c>
      <c r="J383" s="2"/>
      <c r="K383" s="10">
        <v>38</v>
      </c>
      <c r="L383" s="10" t="s">
        <v>69</v>
      </c>
      <c r="M383" s="10" t="s">
        <v>69</v>
      </c>
      <c r="N383" s="10" t="s">
        <v>69</v>
      </c>
      <c r="O383" s="11" t="s">
        <v>69</v>
      </c>
      <c r="P383" s="34"/>
      <c r="Q383" s="40"/>
      <c r="R383" s="2" t="s">
        <v>69</v>
      </c>
      <c r="S383" s="10" t="str">
        <f>IF(T383="",R383,MAX((R383+$R$8)/$R$2,(T383+$T$8)/$T$2)*$R$2-$R$8)</f>
        <v/>
      </c>
      <c r="T383" s="12" t="s">
        <v>69</v>
      </c>
      <c r="U383" s="1">
        <f>IF(A383&lt;&gt;"",SUM(B383:I383),"")</f>
        <v>10</v>
      </c>
      <c r="V383" s="10">
        <f>IF(A383&lt;&gt;"",SUM(J383:O383),"")</f>
        <v>38</v>
      </c>
      <c r="W383" s="10">
        <f>IF(A383&lt;&gt;"",SUM(P383:Q383),"")</f>
        <v>0</v>
      </c>
      <c r="X383" s="10">
        <f>IF(A383&lt;&gt;"",SUM(S383:T383),"")</f>
        <v>0</v>
      </c>
      <c r="Y383" s="12" t="s">
        <v>69</v>
      </c>
      <c r="Z383" s="12">
        <f>IF(A383&lt;&gt;"",SUM(U383:Y383),"")</f>
        <v>48</v>
      </c>
      <c r="AA383" s="27">
        <f>IF(A383&lt;&gt;"",(Z383+Normalize_To_Add)/(Point_Total_So_Far)*100,"")</f>
        <v>12.309673189131843</v>
      </c>
      <c r="AB383" s="10">
        <f>IF(A383&lt;&gt;"",RANK(AA383,All_Student_XC),"")</f>
        <v>378</v>
      </c>
      <c r="AC383" s="31" t="str">
        <f>IF(A383&lt;&gt;"",CHOOSE(10-MIN(9,TRUNC((AA383+0.5)/10)),"A","B","C","D","F","F","F","F","F","F"),"")</f>
        <v>F</v>
      </c>
      <c r="AD383" s="31" t="str">
        <f>IF(A383&lt;&gt;"",IF(OR(AA383+0.5&gt;=93,AA383+0.5&lt;60),"",IF(MOD(AA383+0.5,10)&gt;=7,"+",IF(MOD(AA383+0.5,10)&lt;3,"-",""))),"")</f>
        <v/>
      </c>
      <c r="AE383" s="31">
        <f>IF(A383&lt;&gt;"",SUM(W383:X383,$W$8:$X$8)/SUM($W$2:$X$2)*100,"")</f>
        <v>15.019346378263684</v>
      </c>
      <c r="AF383" s="31" t="str">
        <f>IF(A383&lt;&gt;"",CHOOSE(10-MIN(9,TRUNC((AE383+0.5)/10)),"A","B","C","D","F","F","F","F","F","F"),"")</f>
        <v>F</v>
      </c>
      <c r="AG383" s="31" t="str">
        <f>IF(A383&lt;&gt;"",IF(OR(AE383+0.5&gt;=93,AE383+0.5&lt;60),"",IF(MOD(AE383+0.5,10)&gt;=7,"+",IF(MOD(AE383+0.5,10)&lt;3,"-",""))),"")</f>
        <v/>
      </c>
      <c r="AH383" s="35">
        <f>IF(A383&lt;&gt;"",MIN(MAX(AA383,AE383),AA383+$AH$8,AE383+$AH$8),"")</f>
        <v>15.019346378263684</v>
      </c>
      <c r="AI383" s="31" t="str">
        <f>IF(A383&lt;&gt;"",CHOOSE(10-MIN(9,TRUNC((AH383+0.5)/10)),"A","B","C","D","F","F","F","F","F","F"),"")</f>
        <v>F</v>
      </c>
      <c r="AJ383" s="31" t="str">
        <f>IF(A383&lt;&gt;"",IF(OR(AH383+0.5&gt;=93,AH383+0.5&lt;60),"",IF(MOD(AH383+0.5,10)&gt;=7,"+",IF(MOD(AH383+0.5,10)&lt;3,"-",""))),"")</f>
        <v/>
      </c>
      <c r="AK383" s="31" t="b">
        <f>IF(A383&lt;&gt;"",OR(AI383&lt;&gt;AC383,AJ383&lt;&gt;AD383),"")</f>
        <v>0</v>
      </c>
      <c r="AL383" s="81">
        <f>IF(AND(A383&lt;&gt;"",U383&gt;0),SUM(U383,$AL$8)/$AL$2*100,"")</f>
        <v>5</v>
      </c>
      <c r="AM383" s="24">
        <f>IF(AND(A383&lt;&gt;"",V383&gt;0),SUM(V383,$AM$8)/$AM$2*100,"")</f>
        <v>12.666666666666668</v>
      </c>
      <c r="AN383" s="24" t="str">
        <f>IF(AND(A383&lt;&gt;"",P383&lt;&gt;0),SUM(P383,$AN$8)/$AN$2*100,"")</f>
        <v/>
      </c>
      <c r="AO383" s="24" t="str">
        <f>IF(AND(A383&lt;&gt;"",Q383&lt;&gt;0),SUM(Q383,$AO$8)/$AO$2*100,"")</f>
        <v/>
      </c>
      <c r="AP383" s="24">
        <f>IF(AND(A383&lt;&gt;"",R383&lt;&gt;0),SUM(R383,$AP$8)/$AP$2*100,"")</f>
        <v>14.502659574468083</v>
      </c>
      <c r="AQ383" s="24" t="str">
        <f>IF(AND(A383&lt;&gt;"",W383&gt;0),SUM(W383,$AQ$8)/$AQ$2*100,"")</f>
        <v/>
      </c>
      <c r="AR383" s="24">
        <f>IF(AND(A383&lt;&gt;"",T383&gt;0),SUM(T383,$AR$8)/$AR$2*100,"")</f>
        <v>15.363804247460756</v>
      </c>
      <c r="AS383" s="24" t="str">
        <f>IF(AND(A383&lt;&gt;"",X383&lt;&gt;0),SUM(X383,$AS$8)/$AS$2*100,"")</f>
        <v/>
      </c>
      <c r="AT383" s="86">
        <f>IF(A383&lt;&gt;"",SUM(W383:X383,$AT$8)/$AT$2*100,"")</f>
        <v>15.019346378263684</v>
      </c>
      <c r="AU383" s="24">
        <f>AA383</f>
        <v>12.309673189131843</v>
      </c>
      <c r="AV383" s="24"/>
      <c r="AW383" s="27">
        <f>IF(A383&lt;&gt;"",AE383-AA383,"")</f>
        <v>2.7096731891318413</v>
      </c>
      <c r="AY383" s="27">
        <f>AR383-AP383</f>
        <v>0.86114467299267261</v>
      </c>
      <c r="AZ383" s="27">
        <f>ABS(AY383)</f>
        <v>0.86114467299267261</v>
      </c>
    </row>
    <row r="384" spans="1:52" s="27" customFormat="1" ht="12.75" customHeight="1" x14ac:dyDescent="0.2">
      <c r="A384" s="10">
        <v>988850</v>
      </c>
      <c r="B384" s="2">
        <v>20</v>
      </c>
      <c r="C384" s="10">
        <v>20</v>
      </c>
      <c r="D384" s="10">
        <v>22</v>
      </c>
      <c r="E384" s="10">
        <v>22</v>
      </c>
      <c r="F384" s="10">
        <v>21</v>
      </c>
      <c r="G384" s="10">
        <v>17</v>
      </c>
      <c r="H384" s="10">
        <v>25</v>
      </c>
      <c r="I384" s="10">
        <v>14</v>
      </c>
      <c r="J384" s="2"/>
      <c r="K384" s="10">
        <v>60</v>
      </c>
      <c r="L384" s="10">
        <v>41</v>
      </c>
      <c r="M384" s="10">
        <v>50</v>
      </c>
      <c r="N384" s="51">
        <v>59</v>
      </c>
      <c r="O384" s="11">
        <v>60</v>
      </c>
      <c r="P384" s="10"/>
      <c r="Q384" s="40"/>
      <c r="R384" s="2">
        <v>127</v>
      </c>
      <c r="S384" s="10">
        <f>IF(T384="",R384,MAX((R384+$R$8)/$R$2,(T384+$T$8)/$T$2)*$R$2-$R$8)</f>
        <v>127</v>
      </c>
      <c r="T384" s="12">
        <v>85</v>
      </c>
      <c r="U384" s="1">
        <f>IF(A384&lt;&gt;"",SUM(B384:I384),"")</f>
        <v>161</v>
      </c>
      <c r="V384" s="10">
        <f>IF(A384&lt;&gt;"",SUM(J384:O384),"")</f>
        <v>270</v>
      </c>
      <c r="W384" s="10">
        <f>IF(A384&lt;&gt;"",SUM(P384:Q384),"")</f>
        <v>0</v>
      </c>
      <c r="X384" s="10">
        <f>IF(A384&lt;&gt;"",SUM(S384:T384),"")</f>
        <v>212</v>
      </c>
      <c r="Y384" s="12">
        <v>3</v>
      </c>
      <c r="Z384" s="12">
        <f>IF(A384&lt;&gt;"",SUM(U384:Y384),"")</f>
        <v>646</v>
      </c>
      <c r="AA384" s="27">
        <f>IF(A384&lt;&gt;"",(Z384+Normalize_To_Add)/(Point_Total_So_Far)*100,"")</f>
        <v>72.10967318913184</v>
      </c>
      <c r="AB384" s="10">
        <f>IF(A384&lt;&gt;"",RANK(AA384,All_Student_XC),"")</f>
        <v>294</v>
      </c>
      <c r="AC384" s="31" t="str">
        <f>IF(A384&lt;&gt;"",CHOOSE(10-MIN(9,TRUNC((AA384+0.5)/10)),"A","B","C","D","F","F","F","F","F","F"),"")</f>
        <v>C</v>
      </c>
      <c r="AD384" s="31" t="str">
        <f>IF(A384&lt;&gt;"",IF(OR(AA384+0.5&gt;=93,AA384+0.5&lt;60),"",IF(MOD(AA384+0.5,10)&gt;=7,"+",IF(MOD(AA384+0.5,10)&lt;3,"-",""))),"")</f>
        <v>-</v>
      </c>
      <c r="AE384" s="31">
        <f>IF(A384&lt;&gt;"",SUM(W384:X384,$W$8:$X$8)/SUM($W$2:$X$2)*100,"")</f>
        <v>57.419346378263683</v>
      </c>
      <c r="AF384" s="31" t="str">
        <f>IF(A384&lt;&gt;"",CHOOSE(10-MIN(9,TRUNC((AE384+0.5)/10)),"A","B","C","D","F","F","F","F","F","F"),"")</f>
        <v>F</v>
      </c>
      <c r="AG384" s="31" t="str">
        <f>IF(A384&lt;&gt;"",IF(OR(AE384+0.5&gt;=93,AE384+0.5&lt;60),"",IF(MOD(AE384+0.5,10)&gt;=7,"+",IF(MOD(AE384+0.5,10)&lt;3,"-",""))),"")</f>
        <v/>
      </c>
      <c r="AH384" s="35">
        <f>IF(A384&lt;&gt;"",MIN(MAX(AA384,AE384),AA384+$AH$8,AE384+$AH$8),"")</f>
        <v>72.10967318913184</v>
      </c>
      <c r="AI384" s="31" t="str">
        <f>IF(A384&lt;&gt;"",CHOOSE(10-MIN(9,TRUNC((AH384+0.5)/10)),"A","B","C","D","F","F","F","F","F","F"),"")</f>
        <v>C</v>
      </c>
      <c r="AJ384" s="31" t="str">
        <f>IF(A384&lt;&gt;"",IF(OR(AH384+0.5&gt;=93,AH384+0.5&lt;60),"",IF(MOD(AH384+0.5,10)&gt;=7,"+",IF(MOD(AH384+0.5,10)&lt;3,"-",""))),"")</f>
        <v>-</v>
      </c>
      <c r="AK384" s="31" t="b">
        <f>IF(A384&lt;&gt;"",OR(AI384&lt;&gt;AC384,AJ384&lt;&gt;AD384),"")</f>
        <v>0</v>
      </c>
      <c r="AL384" s="81">
        <f>IF(AND(A384&lt;&gt;"",U384&gt;0),SUM(U384,$AL$8)/$AL$2*100,"")</f>
        <v>80.5</v>
      </c>
      <c r="AM384" s="24">
        <f>IF(AND(A384&lt;&gt;"",V384&gt;0),SUM(V384,$AM$8)/$AM$2*100,"")</f>
        <v>90</v>
      </c>
      <c r="AN384" s="24" t="str">
        <f>IF(AND(A384&lt;&gt;"",P384&lt;&gt;0),SUM(P384,$AN$8)/$AN$2*100,"")</f>
        <v/>
      </c>
      <c r="AO384" s="24" t="str">
        <f>IF(AND(A384&lt;&gt;"",Q384&lt;&gt;0),SUM(Q384,$AO$8)/$AO$2*100,"")</f>
        <v/>
      </c>
      <c r="AP384" s="24">
        <f>IF(AND(A384&lt;&gt;"",R384&lt;&gt;0),SUM(R384,$AP$8)/$AP$2*100,"")</f>
        <v>78.002659574468083</v>
      </c>
      <c r="AQ384" s="24" t="str">
        <f>IF(AND(A384&lt;&gt;"",W384&gt;0),SUM(W384,$AQ$8)/$AQ$2*100,"")</f>
        <v/>
      </c>
      <c r="AR384" s="24">
        <f>IF(AND(A384&lt;&gt;"",T384&gt;0),SUM(T384,$AR$8)/$AR$2*100,"")</f>
        <v>43.697137580794084</v>
      </c>
      <c r="AS384" s="24">
        <f>IF(AND(A384&lt;&gt;"",X384&lt;&gt;0),SUM(X384,$AS$8)/$AS$2*100,"")</f>
        <v>57.419346378263683</v>
      </c>
      <c r="AT384" s="86">
        <f>IF(A384&lt;&gt;"",SUM(W384:X384,$AT$8)/$AT$2*100,"")</f>
        <v>57.419346378263683</v>
      </c>
      <c r="AU384" s="24">
        <f>AA384</f>
        <v>72.10967318913184</v>
      </c>
      <c r="AV384" s="24"/>
      <c r="AW384" s="27">
        <f>IF(A384&lt;&gt;"",AE384-AA384,"")</f>
        <v>-14.690326810868157</v>
      </c>
      <c r="AY384" s="27">
        <f>AR384-AP384</f>
        <v>-34.305521993673999</v>
      </c>
      <c r="AZ384" s="27">
        <f>ABS(AY384)</f>
        <v>34.305521993673999</v>
      </c>
    </row>
    <row r="385" spans="1:52" s="27" customFormat="1" ht="12.75" customHeight="1" x14ac:dyDescent="0.2">
      <c r="A385" s="50">
        <v>990358</v>
      </c>
      <c r="B385" s="2">
        <v>25</v>
      </c>
      <c r="C385" s="50">
        <v>22</v>
      </c>
      <c r="D385" s="10">
        <v>19</v>
      </c>
      <c r="E385" s="10">
        <v>25</v>
      </c>
      <c r="F385" s="10">
        <v>22</v>
      </c>
      <c r="G385" s="10">
        <v>25</v>
      </c>
      <c r="H385" s="10">
        <v>24</v>
      </c>
      <c r="I385" s="10">
        <v>23</v>
      </c>
      <c r="J385" s="2"/>
      <c r="K385" s="10">
        <v>58</v>
      </c>
      <c r="L385" s="10">
        <v>45</v>
      </c>
      <c r="M385" s="10">
        <v>47</v>
      </c>
      <c r="N385" s="51">
        <v>31</v>
      </c>
      <c r="O385" s="11">
        <v>61</v>
      </c>
      <c r="P385" s="10"/>
      <c r="Q385" s="40"/>
      <c r="R385" s="2">
        <v>149</v>
      </c>
      <c r="S385" s="10">
        <f>IF(T385="",R385,MAX((R385+$R$8)/$R$2,(T385+$T$8)/$T$2)*$R$2-$R$8)</f>
        <v>155.05562267931867</v>
      </c>
      <c r="T385" s="62">
        <v>230</v>
      </c>
      <c r="U385" s="2">
        <f>IF(A385&lt;&gt;"",SUM(B385:I385),"")</f>
        <v>185</v>
      </c>
      <c r="V385" s="10">
        <f>IF(A385&lt;&gt;"",SUM(J385:O385),"")</f>
        <v>242</v>
      </c>
      <c r="W385" s="10">
        <f>IF(A385&lt;&gt;"",SUM(P385:Q385),"")</f>
        <v>0</v>
      </c>
      <c r="X385" s="10">
        <f>IF(A385&lt;&gt;"",SUM(S385:T385),"")</f>
        <v>385.05562267931867</v>
      </c>
      <c r="Y385" s="12">
        <v>3</v>
      </c>
      <c r="Z385" s="12">
        <f>IF(A385&lt;&gt;"",SUM(U385:Y385),"")</f>
        <v>815.05562267931873</v>
      </c>
      <c r="AA385" s="27">
        <f>IF(A385&lt;&gt;"",(Z385+Normalize_To_Add)/(Point_Total_So_Far)*100,"")</f>
        <v>89.01523545706371</v>
      </c>
      <c r="AB385" s="10">
        <f>IF(A385&lt;&gt;"",RANK(AA385,All_Student_XC),"")</f>
        <v>94</v>
      </c>
      <c r="AC385" s="31" t="str">
        <f>IF(A385&lt;&gt;"",CHOOSE(10-MIN(9,TRUNC((AA385+0.5)/10)),"A","B","C","D","F","F","F","F","F","F"),"")</f>
        <v>B</v>
      </c>
      <c r="AD385" s="31" t="str">
        <f>IF(A385&lt;&gt;"",IF(OR(AA385+0.5&gt;=93,AA385+0.5&lt;60),"",IF(MOD(AA385+0.5,10)&gt;=7,"+",IF(MOD(AA385+0.5,10)&lt;3,"-",""))),"")</f>
        <v>+</v>
      </c>
      <c r="AE385" s="31">
        <f>IF(A385&lt;&gt;"",SUM(W385:X385,$W$8:$X$8)/SUM($W$2:$X$2)*100,"")</f>
        <v>92.03047091412742</v>
      </c>
      <c r="AF385" s="43" t="str">
        <f>IF(A385&lt;&gt;"",CHOOSE(10-MIN(9,TRUNC((AE385+0.5)/10)),"A","B","C","D","F","F","F","F","F","F"),"")</f>
        <v>A</v>
      </c>
      <c r="AG385" s="43" t="str">
        <f>IF(A385&lt;&gt;"",IF(OR(AE385+0.5&gt;=93,AE385+0.5&lt;60),"",IF(MOD(AE385+0.5,10)&gt;=7,"+",IF(MOD(AE385+0.5,10)&lt;3,"-",""))),"")</f>
        <v>-</v>
      </c>
      <c r="AH385" s="35">
        <f>IF(A385&lt;&gt;"",MIN(MAX(AA385,AE385),AA385+$AH$8,AE385+$AH$8),"")</f>
        <v>92.03047091412742</v>
      </c>
      <c r="AI385" s="31" t="str">
        <f>IF(A385&lt;&gt;"",CHOOSE(10-MIN(9,TRUNC((AH385+0.5)/10)),"A","B","C","D","F","F","F","F","F","F"),"")</f>
        <v>A</v>
      </c>
      <c r="AJ385" s="31" t="str">
        <f>IF(A385&lt;&gt;"",IF(OR(AH385+0.5&gt;=93,AH385+0.5&lt;60),"",IF(MOD(AH385+0.5,10)&gt;=7,"+",IF(MOD(AH385+0.5,10)&lt;3,"-",""))),"")</f>
        <v>-</v>
      </c>
      <c r="AK385" s="31" t="b">
        <f>IF(A385&lt;&gt;"",OR(AI385&lt;&gt;AC385,AJ385&lt;&gt;AD385),"")</f>
        <v>1</v>
      </c>
      <c r="AL385" s="81">
        <f>IF(AND(A385&lt;&gt;"",U385&gt;0),SUM(U385,$AL$8)/$AL$2*100,"")</f>
        <v>92.5</v>
      </c>
      <c r="AM385" s="24">
        <f>IF(AND(A385&lt;&gt;"",V385&gt;0),SUM(V385,$AM$8)/$AM$2*100,"")</f>
        <v>80.666666666666657</v>
      </c>
      <c r="AN385" s="24" t="str">
        <f>IF(AND(A385&lt;&gt;"",P385&lt;&gt;0),SUM(P385,$AN$8)/$AN$2*100,"")</f>
        <v/>
      </c>
      <c r="AO385" s="24" t="str">
        <f>IF(AND(A385&lt;&gt;"",Q385&lt;&gt;0),SUM(Q385,$AO$8)/$AO$2*100,"")</f>
        <v/>
      </c>
      <c r="AP385" s="24">
        <f>IF(AND(A385&lt;&gt;"",R385&lt;&gt;0),SUM(R385,$AP$8)/$AP$2*100,"")</f>
        <v>89.002659574468083</v>
      </c>
      <c r="AQ385" s="24" t="str">
        <f>IF(AND(A385&lt;&gt;"",W385&gt;0),SUM(W385,$AQ$8)/$AQ$2*100,"")</f>
        <v/>
      </c>
      <c r="AR385" s="24">
        <f>IF(AND(A385&lt;&gt;"",T385&gt;0),SUM(T385,$AR$8)/$AR$2*100,"")</f>
        <v>92.03047091412742</v>
      </c>
      <c r="AS385" s="24">
        <f>IF(AND(A385&lt;&gt;"",X385&lt;&gt;0),SUM(X385,$AS$8)/$AS$2*100,"")</f>
        <v>92.03047091412742</v>
      </c>
      <c r="AT385" s="86">
        <f>IF(A385&lt;&gt;"",SUM(W385:X385,$AT$8)/$AT$2*100,"")</f>
        <v>92.03047091412742</v>
      </c>
      <c r="AU385" s="24">
        <f>AA385</f>
        <v>89.01523545706371</v>
      </c>
      <c r="AV385" s="24"/>
      <c r="AW385" s="27">
        <f>IF(A385&lt;&gt;"",AE385-AA385,"")</f>
        <v>3.0152354570637101</v>
      </c>
      <c r="AY385" s="27">
        <f>AR385-AP385</f>
        <v>3.0278113396593369</v>
      </c>
      <c r="AZ385" s="27">
        <f>ABS(AY385)</f>
        <v>3.0278113396593369</v>
      </c>
    </row>
    <row r="386" spans="1:52" s="27" customFormat="1" ht="12.75" customHeight="1" x14ac:dyDescent="0.2">
      <c r="A386" s="50">
        <v>990370</v>
      </c>
      <c r="B386" s="2">
        <v>25</v>
      </c>
      <c r="C386" s="50">
        <v>23</v>
      </c>
      <c r="D386" s="10">
        <v>20</v>
      </c>
      <c r="E386" s="10">
        <v>25</v>
      </c>
      <c r="F386" s="10">
        <v>25</v>
      </c>
      <c r="G386" s="10">
        <v>25</v>
      </c>
      <c r="H386" s="10">
        <v>25</v>
      </c>
      <c r="I386" s="10">
        <v>25</v>
      </c>
      <c r="J386" s="2"/>
      <c r="K386" s="10">
        <v>62</v>
      </c>
      <c r="L386" s="10">
        <v>47</v>
      </c>
      <c r="M386" s="10">
        <v>30</v>
      </c>
      <c r="N386" s="51">
        <v>57</v>
      </c>
      <c r="O386" s="11">
        <v>62</v>
      </c>
      <c r="P386" s="10"/>
      <c r="Q386" s="40"/>
      <c r="R386" s="2">
        <v>139</v>
      </c>
      <c r="S386" s="10">
        <f>IF(T386="",R386,MAX((R386+$R$8)/$R$2,(T386+$T$8)/$T$2)*$R$2-$R$8)</f>
        <v>145.72228934598533</v>
      </c>
      <c r="T386" s="62">
        <v>216</v>
      </c>
      <c r="U386" s="2">
        <f>IF(A386&lt;&gt;"",SUM(B386:I386),"")</f>
        <v>193</v>
      </c>
      <c r="V386" s="10">
        <f>IF(A386&lt;&gt;"",SUM(J386:O386),"")</f>
        <v>258</v>
      </c>
      <c r="W386" s="10">
        <f>IF(A386&lt;&gt;"",SUM(P386:Q386),"")</f>
        <v>0</v>
      </c>
      <c r="X386" s="10">
        <f>IF(A386&lt;&gt;"",SUM(S386:T386),"")</f>
        <v>361.72228934598536</v>
      </c>
      <c r="Y386" s="12">
        <v>3</v>
      </c>
      <c r="Z386" s="12">
        <f>IF(A386&lt;&gt;"",SUM(U386:Y386),"")</f>
        <v>815.72228934598536</v>
      </c>
      <c r="AA386" s="27">
        <f>IF(A386&lt;&gt;"",(Z386+Normalize_To_Add)/(Point_Total_So_Far)*100,"")</f>
        <v>89.081902123730387</v>
      </c>
      <c r="AB386" s="10">
        <f>IF(A386&lt;&gt;"",RANK(AA386,All_Student_XC),"")</f>
        <v>92</v>
      </c>
      <c r="AC386" s="31" t="str">
        <f>IF(A386&lt;&gt;"",CHOOSE(10-MIN(9,TRUNC((AA386+0.5)/10)),"A","B","C","D","F","F","F","F","F","F"),"")</f>
        <v>B</v>
      </c>
      <c r="AD386" s="31" t="str">
        <f>IF(A386&lt;&gt;"",IF(OR(AA386+0.5&gt;=93,AA386+0.5&lt;60),"",IF(MOD(AA386+0.5,10)&gt;=7,"+",IF(MOD(AA386+0.5,10)&lt;3,"-",""))),"")</f>
        <v>+</v>
      </c>
      <c r="AE386" s="31">
        <f>IF(A386&lt;&gt;"",SUM(W386:X386,$W$8:$X$8)/SUM($W$2:$X$2)*100,"")</f>
        <v>87.363804247460749</v>
      </c>
      <c r="AF386" s="43" t="str">
        <f>IF(A386&lt;&gt;"",CHOOSE(10-MIN(9,TRUNC((AE386+0.5)/10)),"A","B","C","D","F","F","F","F","F","F"),"")</f>
        <v>B</v>
      </c>
      <c r="AG386" s="43" t="str">
        <f>IF(A386&lt;&gt;"",IF(OR(AE386+0.5&gt;=93,AE386+0.5&lt;60),"",IF(MOD(AE386+0.5,10)&gt;=7,"+",IF(MOD(AE386+0.5,10)&lt;3,"-",""))),"")</f>
        <v>+</v>
      </c>
      <c r="AH386" s="35">
        <f>IF(A386&lt;&gt;"",MIN(MAX(AA386,AE386),AA386+$AH$8,AE386+$AH$8),"")</f>
        <v>89.081902123730387</v>
      </c>
      <c r="AI386" s="31" t="str">
        <f>IF(A386&lt;&gt;"",CHOOSE(10-MIN(9,TRUNC((AH386+0.5)/10)),"A","B","C","D","F","F","F","F","F","F"),"")</f>
        <v>B</v>
      </c>
      <c r="AJ386" s="31" t="str">
        <f>IF(A386&lt;&gt;"",IF(OR(AH386+0.5&gt;=93,AH386+0.5&lt;60),"",IF(MOD(AH386+0.5,10)&gt;=7,"+",IF(MOD(AH386+0.5,10)&lt;3,"-",""))),"")</f>
        <v>+</v>
      </c>
      <c r="AK386" s="31" t="b">
        <f>IF(A386&lt;&gt;"",OR(AI386&lt;&gt;AC386,AJ386&lt;&gt;AD386),"")</f>
        <v>0</v>
      </c>
      <c r="AL386" s="81">
        <f>IF(AND(A386&lt;&gt;"",U386&gt;0),SUM(U386,$AL$8)/$AL$2*100,"")</f>
        <v>96.5</v>
      </c>
      <c r="AM386" s="24">
        <f>IF(AND(A386&lt;&gt;"",V386&gt;0),SUM(V386,$AM$8)/$AM$2*100,"")</f>
        <v>86</v>
      </c>
      <c r="AN386" s="24" t="str">
        <f>IF(AND(A386&lt;&gt;"",P386&lt;&gt;0),SUM(P386,$AN$8)/$AN$2*100,"")</f>
        <v/>
      </c>
      <c r="AO386" s="24" t="str">
        <f>IF(AND(A386&lt;&gt;"",Q386&lt;&gt;0),SUM(Q386,$AO$8)/$AO$2*100,"")</f>
        <v/>
      </c>
      <c r="AP386" s="24">
        <f>IF(AND(A386&lt;&gt;"",R386&lt;&gt;0),SUM(R386,$AP$8)/$AP$2*100,"")</f>
        <v>84.002659574468083</v>
      </c>
      <c r="AQ386" s="24" t="str">
        <f>IF(AND(A386&lt;&gt;"",W386&gt;0),SUM(W386,$AQ$8)/$AQ$2*100,"")</f>
        <v/>
      </c>
      <c r="AR386" s="24">
        <f>IF(AND(A386&lt;&gt;"",T386&gt;0),SUM(T386,$AR$8)/$AR$2*100,"")</f>
        <v>87.363804247460749</v>
      </c>
      <c r="AS386" s="24">
        <f>IF(AND(A386&lt;&gt;"",X386&lt;&gt;0),SUM(X386,$AS$8)/$AS$2*100,"")</f>
        <v>87.363804247460749</v>
      </c>
      <c r="AT386" s="86">
        <f>IF(A386&lt;&gt;"",SUM(W386:X386,$AT$8)/$AT$2*100,"")</f>
        <v>87.363804247460749</v>
      </c>
      <c r="AU386" s="24">
        <f>AA386</f>
        <v>89.081902123730387</v>
      </c>
      <c r="AV386" s="24"/>
      <c r="AW386" s="27">
        <f>IF(A386&lt;&gt;"",AE386-AA386,"")</f>
        <v>-1.7180978762696384</v>
      </c>
      <c r="AY386" s="27">
        <f>AR386-AP386</f>
        <v>3.3611446729926655</v>
      </c>
      <c r="AZ386" s="27">
        <f>ABS(AY386)</f>
        <v>3.3611446729926655</v>
      </c>
    </row>
    <row r="387" spans="1:52" s="27" customFormat="1" ht="12.75" customHeight="1" x14ac:dyDescent="0.2">
      <c r="A387" s="50">
        <v>992568</v>
      </c>
      <c r="B387" s="2">
        <v>14</v>
      </c>
      <c r="C387" s="50">
        <v>22</v>
      </c>
      <c r="D387" s="10">
        <v>19</v>
      </c>
      <c r="E387" s="10">
        <v>23</v>
      </c>
      <c r="F387" s="10">
        <v>18</v>
      </c>
      <c r="G387" s="10">
        <v>16</v>
      </c>
      <c r="H387" s="10">
        <v>12</v>
      </c>
      <c r="I387" s="10">
        <v>17</v>
      </c>
      <c r="J387" s="2"/>
      <c r="K387" s="10">
        <v>48</v>
      </c>
      <c r="L387" s="10">
        <v>44</v>
      </c>
      <c r="M387" s="10">
        <v>36</v>
      </c>
      <c r="N387" s="51">
        <v>13</v>
      </c>
      <c r="O387" s="11">
        <v>4</v>
      </c>
      <c r="P387" s="10"/>
      <c r="Q387" s="40"/>
      <c r="R387" s="2">
        <v>134</v>
      </c>
      <c r="S387" s="10">
        <f>IF(T387="",R387,MAX((R387+$R$8)/$R$2,(T387+$T$8)/$T$2)*$R$2-$R$8)</f>
        <v>134</v>
      </c>
      <c r="T387" s="62">
        <v>121</v>
      </c>
      <c r="U387" s="2">
        <f>IF(A387&lt;&gt;"",SUM(B387:I387),"")</f>
        <v>141</v>
      </c>
      <c r="V387" s="10">
        <f>IF(A387&lt;&gt;"",SUM(J387:O387),"")</f>
        <v>145</v>
      </c>
      <c r="W387" s="10">
        <f>IF(A387&lt;&gt;"",SUM(P387:Q387),"")</f>
        <v>0</v>
      </c>
      <c r="X387" s="10">
        <f>IF(A387&lt;&gt;"",SUM(S387:T387),"")</f>
        <v>255</v>
      </c>
      <c r="Y387" s="12">
        <v>3</v>
      </c>
      <c r="Z387" s="12">
        <f>IF(A387&lt;&gt;"",SUM(U387:Y387),"")</f>
        <v>544</v>
      </c>
      <c r="AA387" s="27">
        <f>IF(A387&lt;&gt;"",(Z387+Normalize_To_Add)/(Point_Total_So_Far)*100,"")</f>
        <v>61.909673189131844</v>
      </c>
      <c r="AB387" s="10">
        <f>IF(A387&lt;&gt;"",RANK(AA387,All_Student_XC),"")</f>
        <v>341</v>
      </c>
      <c r="AC387" s="31" t="str">
        <f>IF(A387&lt;&gt;"",CHOOSE(10-MIN(9,TRUNC((AA387+0.5)/10)),"A","B","C","D","F","F","F","F","F","F"),"")</f>
        <v>D</v>
      </c>
      <c r="AD387" s="31" t="str">
        <f>IF(A387&lt;&gt;"",IF(OR(AA387+0.5&gt;=93,AA387+0.5&lt;60),"",IF(MOD(AA387+0.5,10)&gt;=7,"+",IF(MOD(AA387+0.5,10)&lt;3,"-",""))),"")</f>
        <v>-</v>
      </c>
      <c r="AE387" s="31">
        <f>IF(A387&lt;&gt;"",SUM(W387:X387,$W$8:$X$8)/SUM($W$2:$X$2)*100,"")</f>
        <v>66.019346378263691</v>
      </c>
      <c r="AF387" s="43" t="str">
        <f>IF(A387&lt;&gt;"",CHOOSE(10-MIN(9,TRUNC((AE387+0.5)/10)),"A","B","C","D","F","F","F","F","F","F"),"")</f>
        <v>D</v>
      </c>
      <c r="AG387" s="43" t="str">
        <f>IF(A387&lt;&gt;"",IF(OR(AE387+0.5&gt;=93,AE387+0.5&lt;60),"",IF(MOD(AE387+0.5,10)&gt;=7,"+",IF(MOD(AE387+0.5,10)&lt;3,"-",""))),"")</f>
        <v/>
      </c>
      <c r="AH387" s="35">
        <f>IF(A387&lt;&gt;"",MIN(MAX(AA387,AE387),AA387+$AH$8,AE387+$AH$8),"")</f>
        <v>66.019346378263691</v>
      </c>
      <c r="AI387" s="31" t="str">
        <f>IF(A387&lt;&gt;"",CHOOSE(10-MIN(9,TRUNC((AH387+0.5)/10)),"A","B","C","D","F","F","F","F","F","F"),"")</f>
        <v>D</v>
      </c>
      <c r="AJ387" s="31" t="str">
        <f>IF(A387&lt;&gt;"",IF(OR(AH387+0.5&gt;=93,AH387+0.5&lt;60),"",IF(MOD(AH387+0.5,10)&gt;=7,"+",IF(MOD(AH387+0.5,10)&lt;3,"-",""))),"")</f>
        <v/>
      </c>
      <c r="AK387" s="31" t="b">
        <f>IF(A387&lt;&gt;"",OR(AI387&lt;&gt;AC387,AJ387&lt;&gt;AD387),"")</f>
        <v>1</v>
      </c>
      <c r="AL387" s="81">
        <f>IF(AND(A387&lt;&gt;"",U387&gt;0),SUM(U387,$AL$8)/$AL$2*100,"")</f>
        <v>70.5</v>
      </c>
      <c r="AM387" s="24">
        <f>IF(AND(A387&lt;&gt;"",V387&gt;0),SUM(V387,$AM$8)/$AM$2*100,"")</f>
        <v>48.333333333333336</v>
      </c>
      <c r="AN387" s="24" t="str">
        <f>IF(AND(A387&lt;&gt;"",P387&lt;&gt;0),SUM(P387,$AN$8)/$AN$2*100,"")</f>
        <v/>
      </c>
      <c r="AO387" s="24" t="str">
        <f>IF(AND(A387&lt;&gt;"",Q387&lt;&gt;0),SUM(Q387,$AO$8)/$AO$2*100,"")</f>
        <v/>
      </c>
      <c r="AP387" s="24">
        <f>IF(AND(A387&lt;&gt;"",R387&lt;&gt;0),SUM(R387,$AP$8)/$AP$2*100,"")</f>
        <v>81.502659574468083</v>
      </c>
      <c r="AQ387" s="24" t="str">
        <f>IF(AND(A387&lt;&gt;"",W387&gt;0),SUM(W387,$AQ$8)/$AQ$2*100,"")</f>
        <v/>
      </c>
      <c r="AR387" s="24">
        <f>IF(AND(A387&lt;&gt;"",T387&gt;0),SUM(T387,$AR$8)/$AR$2*100,"")</f>
        <v>55.697137580794084</v>
      </c>
      <c r="AS387" s="24">
        <f>IF(AND(A387&lt;&gt;"",X387&lt;&gt;0),SUM(X387,$AS$8)/$AS$2*100,"")</f>
        <v>66.019346378263691</v>
      </c>
      <c r="AT387" s="86">
        <f>IF(A387&lt;&gt;"",SUM(W387:X387,$AT$8)/$AT$2*100,"")</f>
        <v>66.019346378263691</v>
      </c>
      <c r="AU387" s="24">
        <f>AA387</f>
        <v>61.909673189131844</v>
      </c>
      <c r="AV387" s="24"/>
      <c r="AW387" s="27">
        <f>IF(A387&lt;&gt;"",AE387-AA387,"")</f>
        <v>4.109673189131847</v>
      </c>
      <c r="AY387" s="27">
        <f>AR387-AP387</f>
        <v>-25.805521993673999</v>
      </c>
      <c r="AZ387" s="27">
        <f>ABS(AY387)</f>
        <v>25.805521993673999</v>
      </c>
    </row>
    <row r="388" spans="1:52" s="28" customFormat="1" ht="13.5" customHeight="1" thickBot="1" x14ac:dyDescent="0.25">
      <c r="A388" s="96">
        <v>995850</v>
      </c>
      <c r="B388" s="5">
        <v>25</v>
      </c>
      <c r="C388" s="96">
        <v>19</v>
      </c>
      <c r="D388" s="6">
        <v>24</v>
      </c>
      <c r="E388" s="6">
        <v>23</v>
      </c>
      <c r="F388" s="6">
        <v>20</v>
      </c>
      <c r="G388" s="6">
        <v>25</v>
      </c>
      <c r="H388" s="6">
        <v>12</v>
      </c>
      <c r="I388" s="6">
        <v>25</v>
      </c>
      <c r="J388" s="5"/>
      <c r="K388" s="6">
        <v>46</v>
      </c>
      <c r="L388" s="6">
        <v>45</v>
      </c>
      <c r="M388" s="6">
        <v>47</v>
      </c>
      <c r="N388" s="97">
        <v>56</v>
      </c>
      <c r="O388" s="13">
        <v>60</v>
      </c>
      <c r="P388" s="6"/>
      <c r="Q388" s="67"/>
      <c r="R388" s="5">
        <v>119</v>
      </c>
      <c r="S388" s="6">
        <f>IF(T388="",R388,MAX((R388+$R$8)/$R$2,(T388+$T$8)/$T$2)*$R$2-$R$8)</f>
        <v>146.38895601265199</v>
      </c>
      <c r="T388" s="98">
        <v>217</v>
      </c>
      <c r="U388" s="5">
        <f>IF(A388&lt;&gt;"",SUM(B388:I388),"")</f>
        <v>173</v>
      </c>
      <c r="V388" s="6">
        <f>IF(A388&lt;&gt;"",SUM(J388:O388),"")</f>
        <v>254</v>
      </c>
      <c r="W388" s="6">
        <f>IF(A388&lt;&gt;"",SUM(P388:Q388),"")</f>
        <v>0</v>
      </c>
      <c r="X388" s="6">
        <f>IF(A388&lt;&gt;"",SUM(S388:T388),"")</f>
        <v>363.38895601265199</v>
      </c>
      <c r="Y388" s="33">
        <v>3</v>
      </c>
      <c r="Z388" s="33">
        <f>IF(A388&lt;&gt;"",SUM(U388:Y388),"")</f>
        <v>793.38895601265199</v>
      </c>
      <c r="AA388" s="28">
        <f>IF(A388&lt;&gt;"",(Z388+Normalize_To_Add)/(Point_Total_So_Far)*100,"")</f>
        <v>86.848568790397039</v>
      </c>
      <c r="AB388" s="6" t="e">
        <f>IF(A388&lt;&gt;"",RANK(AA388,All_Student_XC),"")</f>
        <v>#N/A</v>
      </c>
      <c r="AC388" s="32" t="str">
        <f>IF(A388&lt;&gt;"",CHOOSE(10-MIN(9,TRUNC((AA388+0.5)/10)),"A","B","C","D","F","F","F","F","F","F"),"")</f>
        <v>B</v>
      </c>
      <c r="AD388" s="32" t="str">
        <f>IF(A388&lt;&gt;"",IF(OR(AA388+0.5&gt;=93,AA388+0.5&lt;60),"",IF(MOD(AA388+0.5,10)&gt;=7,"+",IF(MOD(AA388+0.5,10)&lt;3,"-",""))),"")</f>
        <v>+</v>
      </c>
      <c r="AE388" s="32">
        <f>IF(A388&lt;&gt;"",SUM(W388:X388,$W$8:$X$8)/SUM($W$2:$X$2)*100,"")</f>
        <v>87.697137580794077</v>
      </c>
      <c r="AF388" s="100" t="str">
        <f>IF(A388&lt;&gt;"",CHOOSE(10-MIN(9,TRUNC((AE388+0.5)/10)),"A","B","C","D","F","F","F","F","F","F"),"")</f>
        <v>B</v>
      </c>
      <c r="AG388" s="100" t="str">
        <f>IF(A388&lt;&gt;"",IF(OR(AE388+0.5&gt;=93,AE388+0.5&lt;60),"",IF(MOD(AE388+0.5,10)&gt;=7,"+",IF(MOD(AE388+0.5,10)&lt;3,"-",""))),"")</f>
        <v>+</v>
      </c>
      <c r="AH388" s="37">
        <f>IF(A388&lt;&gt;"",MIN(MAX(AA388,AE388),AA388+$AH$8,AE388+$AH$8),"")</f>
        <v>87.697137580794077</v>
      </c>
      <c r="AI388" s="32" t="str">
        <f>IF(A388&lt;&gt;"",CHOOSE(10-MIN(9,TRUNC((AH388+0.5)/10)),"A","B","C","D","F","F","F","F","F","F"),"")</f>
        <v>B</v>
      </c>
      <c r="AJ388" s="32" t="str">
        <f>IF(A388&lt;&gt;"",IF(OR(AH388+0.5&gt;=93,AH388+0.5&lt;60),"",IF(MOD(AH388+0.5,10)&gt;=7,"+",IF(MOD(AH388+0.5,10)&lt;3,"-",""))),"")</f>
        <v>+</v>
      </c>
      <c r="AK388" s="32" t="b">
        <f>IF(A388&lt;&gt;"",OR(AI388&lt;&gt;AC388,AJ388&lt;&gt;AD388),"")</f>
        <v>0</v>
      </c>
      <c r="AL388" s="82">
        <f>IF(AND(A388&lt;&gt;"",U388&gt;0),SUM(U388,$AL$8)/$AL$2*100,"")</f>
        <v>86.5</v>
      </c>
      <c r="AM388" s="59">
        <f>IF(AND(A388&lt;&gt;"",V388&gt;0),SUM(V388,$AM$8)/$AM$2*100,"")</f>
        <v>84.666666666666671</v>
      </c>
      <c r="AN388" s="59" t="str">
        <f>IF(AND(A388&lt;&gt;"",P388&lt;&gt;0),SUM(P388,$AN$8)/$AN$2*100,"")</f>
        <v/>
      </c>
      <c r="AO388" s="59" t="str">
        <f>IF(AND(A388&lt;&gt;"",Q388&lt;&gt;0),SUM(Q388,$AO$8)/$AO$2*100,"")</f>
        <v/>
      </c>
      <c r="AP388" s="59">
        <f>IF(AND(A388&lt;&gt;"",R388&lt;&gt;0),SUM(R388,$AP$8)/$AP$2*100,"")</f>
        <v>74.002659574468083</v>
      </c>
      <c r="AQ388" s="59" t="str">
        <f>IF(AND(A388&lt;&gt;"",W388&gt;0),SUM(W388,$AQ$8)/$AQ$2*100,"")</f>
        <v/>
      </c>
      <c r="AR388" s="59">
        <f>IF(AND(A388&lt;&gt;"",T388&gt;0),SUM(T388,$AR$8)/$AR$2*100,"")</f>
        <v>87.697137580794077</v>
      </c>
      <c r="AS388" s="59">
        <f>IF(AND(A388&lt;&gt;"",X388&lt;&gt;0),SUM(X388,$AS$8)/$AS$2*100,"")</f>
        <v>87.697137580794077</v>
      </c>
      <c r="AT388" s="88">
        <f>IF(A388&lt;&gt;"",SUM(W388:X388,$AT$8)/$AT$2*100,"")</f>
        <v>87.697137580794077</v>
      </c>
      <c r="AU388" s="59">
        <f>AA388</f>
        <v>86.848568790397039</v>
      </c>
      <c r="AV388" s="59"/>
      <c r="AW388" s="28">
        <f>IF(A388&lt;&gt;"",AE388-AA388,"")</f>
        <v>0.8485687903970387</v>
      </c>
      <c r="AY388" s="28">
        <f>AR388-AP388</f>
        <v>13.694478006325994</v>
      </c>
      <c r="AZ388" s="28">
        <f>ABS(AY388)</f>
        <v>13.694478006325994</v>
      </c>
    </row>
    <row r="389" spans="1:52" ht="12.75" customHeight="1" x14ac:dyDescent="0.2">
      <c r="D389" s="7"/>
      <c r="E389" s="7"/>
      <c r="F389" s="7"/>
      <c r="G389" s="7"/>
      <c r="H389" s="7"/>
      <c r="J389" s="7"/>
      <c r="K389" s="7"/>
      <c r="L389" s="7"/>
      <c r="M389" s="7"/>
      <c r="N389" s="7"/>
      <c r="R389" s="7"/>
      <c r="S389" s="7"/>
      <c r="T389" s="7"/>
      <c r="U389" s="7"/>
      <c r="V389" s="7"/>
      <c r="W389" s="7"/>
      <c r="X389" s="7"/>
    </row>
    <row r="390" spans="1:52" ht="12.75" customHeight="1" x14ac:dyDescent="0.2">
      <c r="D390" s="7"/>
      <c r="E390" s="7"/>
      <c r="F390" s="7"/>
      <c r="G390" s="7"/>
      <c r="H390" s="7"/>
      <c r="J390" s="7"/>
      <c r="K390" s="7"/>
      <c r="L390" s="7"/>
      <c r="M390" s="7"/>
      <c r="N390" s="7"/>
      <c r="R390" s="7"/>
      <c r="S390" s="7"/>
      <c r="T390" s="7"/>
      <c r="U390" s="7"/>
      <c r="V390" s="7"/>
      <c r="W390" s="7"/>
      <c r="X390" s="7"/>
    </row>
    <row r="391" spans="1:52" ht="12.75" customHeight="1" x14ac:dyDescent="0.2">
      <c r="A391" s="48"/>
      <c r="D391" s="7"/>
      <c r="E391" s="7"/>
      <c r="F391" s="7"/>
      <c r="G391" s="7"/>
      <c r="H391" s="7"/>
      <c r="J391" s="7"/>
      <c r="K391" s="7"/>
      <c r="L391" s="7"/>
      <c r="M391" s="7"/>
      <c r="N391" s="7"/>
      <c r="R391" s="7"/>
      <c r="S391" s="7"/>
      <c r="T391" s="7"/>
      <c r="U391" s="7"/>
      <c r="V391" s="7"/>
      <c r="W391" s="7"/>
      <c r="X391" s="7"/>
    </row>
    <row r="392" spans="1:52" ht="13.5" customHeight="1" x14ac:dyDescent="0.2">
      <c r="I392"/>
      <c r="O392"/>
      <c r="P392"/>
      <c r="Q392"/>
      <c r="Z392"/>
      <c r="AF392"/>
      <c r="AG392"/>
      <c r="AH392"/>
      <c r="AI392"/>
      <c r="AJ392"/>
      <c r="AK392"/>
      <c r="AL392"/>
      <c r="AM392"/>
      <c r="AN392"/>
      <c r="AO392"/>
      <c r="AP392" s="7"/>
      <c r="AQ392"/>
      <c r="AR392"/>
      <c r="AS392"/>
      <c r="AT392"/>
      <c r="AU392"/>
      <c r="AV392"/>
    </row>
    <row r="393" spans="1:52" ht="12.75" customHeight="1" x14ac:dyDescent="0.2">
      <c r="I393"/>
      <c r="O393"/>
      <c r="P393"/>
      <c r="Q393"/>
      <c r="Z393"/>
      <c r="AF393"/>
      <c r="AG393"/>
      <c r="AH393"/>
      <c r="AI393"/>
      <c r="AJ393"/>
      <c r="AK393"/>
      <c r="AL393"/>
      <c r="AM393"/>
      <c r="AN393"/>
      <c r="AO393"/>
      <c r="AP393" s="7"/>
      <c r="AQ393"/>
      <c r="AR393"/>
      <c r="AS393"/>
      <c r="AT393"/>
      <c r="AU393"/>
      <c r="AV393"/>
    </row>
    <row r="394" spans="1:52" ht="12.75" customHeight="1" x14ac:dyDescent="0.2">
      <c r="I394"/>
      <c r="O394"/>
      <c r="P394"/>
      <c r="Q394"/>
      <c r="Z394"/>
      <c r="AF394"/>
      <c r="AG394"/>
      <c r="AH394"/>
      <c r="AI394"/>
      <c r="AJ394"/>
      <c r="AK394"/>
      <c r="AL394"/>
      <c r="AM394"/>
      <c r="AN394"/>
      <c r="AO394"/>
      <c r="AP394" s="7"/>
      <c r="AQ394"/>
      <c r="AR394"/>
      <c r="AS394"/>
      <c r="AT394"/>
      <c r="AU394"/>
      <c r="AV394"/>
    </row>
    <row r="395" spans="1:52" ht="12.75" customHeight="1" x14ac:dyDescent="0.2">
      <c r="I395"/>
      <c r="O395"/>
      <c r="P395"/>
      <c r="Q395"/>
      <c r="Z395"/>
      <c r="AF395"/>
      <c r="AG395"/>
      <c r="AH395"/>
      <c r="AI395"/>
      <c r="AJ395"/>
      <c r="AK395"/>
      <c r="AL395"/>
      <c r="AM395"/>
      <c r="AN395"/>
      <c r="AO395"/>
      <c r="AP395" s="7"/>
      <c r="AQ395"/>
      <c r="AR395"/>
      <c r="AS395"/>
      <c r="AT395"/>
      <c r="AU395"/>
      <c r="AV395"/>
    </row>
    <row r="396" spans="1:52" ht="12.75" customHeight="1" x14ac:dyDescent="0.2">
      <c r="I396"/>
      <c r="O396"/>
      <c r="P396"/>
      <c r="Q396"/>
      <c r="Z396"/>
      <c r="AF396"/>
      <c r="AG396"/>
      <c r="AH396"/>
      <c r="AI396"/>
      <c r="AJ396"/>
      <c r="AK396"/>
      <c r="AL396"/>
      <c r="AM396"/>
      <c r="AN396"/>
      <c r="AO396"/>
      <c r="AP396" s="7"/>
      <c r="AQ396"/>
      <c r="AR396"/>
      <c r="AS396"/>
      <c r="AT396"/>
      <c r="AU396"/>
      <c r="AV396"/>
    </row>
    <row r="397" spans="1:52" ht="12.75" customHeight="1" x14ac:dyDescent="0.2">
      <c r="I397"/>
      <c r="O397"/>
      <c r="P397"/>
      <c r="Q397"/>
      <c r="Z397"/>
      <c r="AF397"/>
      <c r="AG397"/>
      <c r="AH397"/>
      <c r="AI397"/>
      <c r="AJ397"/>
      <c r="AK397"/>
      <c r="AL397"/>
      <c r="AM397"/>
      <c r="AN397"/>
      <c r="AO397"/>
      <c r="AP397" s="7"/>
      <c r="AQ397"/>
      <c r="AR397"/>
      <c r="AS397"/>
      <c r="AT397"/>
      <c r="AU397"/>
      <c r="AV397"/>
    </row>
    <row r="398" spans="1:52" ht="12.75" customHeight="1" x14ac:dyDescent="0.2">
      <c r="I398"/>
      <c r="O398"/>
      <c r="P398"/>
      <c r="Q398"/>
      <c r="Z398"/>
      <c r="AF398"/>
      <c r="AG398"/>
      <c r="AH398"/>
      <c r="AI398"/>
      <c r="AJ398"/>
      <c r="AK398"/>
      <c r="AL398"/>
      <c r="AM398"/>
      <c r="AN398"/>
      <c r="AO398"/>
      <c r="AP398" s="7"/>
      <c r="AQ398"/>
      <c r="AR398"/>
      <c r="AS398"/>
      <c r="AT398"/>
      <c r="AU398"/>
      <c r="AV398"/>
    </row>
    <row r="399" spans="1:52" ht="12.75" customHeight="1" x14ac:dyDescent="0.2">
      <c r="I399"/>
      <c r="O399"/>
      <c r="P399"/>
      <c r="Q399"/>
      <c r="Z399"/>
      <c r="AF399"/>
      <c r="AG399"/>
      <c r="AH399"/>
      <c r="AI399"/>
      <c r="AJ399"/>
      <c r="AK399"/>
      <c r="AL399"/>
      <c r="AM399"/>
      <c r="AN399"/>
      <c r="AO399"/>
      <c r="AP399" s="7"/>
      <c r="AQ399"/>
      <c r="AR399"/>
      <c r="AS399"/>
      <c r="AT399"/>
      <c r="AU399"/>
      <c r="AV399"/>
    </row>
    <row r="400" spans="1:52" ht="12.75" customHeight="1" x14ac:dyDescent="0.2">
      <c r="I400"/>
      <c r="O400"/>
      <c r="P400"/>
      <c r="Q400"/>
      <c r="Z400"/>
      <c r="AF400"/>
      <c r="AG400"/>
      <c r="AH400"/>
      <c r="AI400"/>
      <c r="AJ400"/>
      <c r="AK400"/>
      <c r="AL400"/>
      <c r="AM400"/>
      <c r="AN400"/>
      <c r="AO400"/>
      <c r="AP400" s="7"/>
      <c r="AQ400"/>
      <c r="AR400"/>
      <c r="AS400"/>
      <c r="AT400"/>
      <c r="AU400"/>
      <c r="AV400"/>
    </row>
    <row r="401" spans="1:24" ht="12.75" customHeight="1" x14ac:dyDescent="0.2">
      <c r="D401" s="7"/>
      <c r="E401" s="7"/>
      <c r="F401" s="7"/>
      <c r="G401" s="7"/>
      <c r="H401" s="7"/>
      <c r="J401" s="7"/>
      <c r="K401" s="7"/>
      <c r="L401" s="7"/>
      <c r="M401" s="7"/>
      <c r="N401" s="7"/>
      <c r="R401" s="7"/>
      <c r="S401" s="7"/>
      <c r="T401" s="7"/>
      <c r="U401" s="7"/>
      <c r="V401" s="7"/>
      <c r="W401" s="7"/>
      <c r="X401" s="7"/>
    </row>
    <row r="402" spans="1:24" ht="12.75" customHeight="1" x14ac:dyDescent="0.2">
      <c r="D402" s="7"/>
      <c r="E402" s="7"/>
      <c r="F402" s="7"/>
      <c r="G402" s="7"/>
      <c r="H402" s="7"/>
      <c r="J402" s="7"/>
      <c r="K402" s="7"/>
      <c r="L402" s="7"/>
      <c r="M402" s="7"/>
      <c r="N402" s="7"/>
      <c r="R402" s="7"/>
      <c r="S402" s="7"/>
      <c r="T402" s="7"/>
      <c r="U402" s="7"/>
      <c r="V402" s="7"/>
      <c r="W402" s="7"/>
      <c r="X402" s="7"/>
    </row>
    <row r="403" spans="1:24" ht="12.75" customHeight="1" x14ac:dyDescent="0.2">
      <c r="D403" s="7"/>
      <c r="E403" s="7"/>
      <c r="F403" s="7"/>
      <c r="G403" s="7"/>
      <c r="H403" s="7"/>
      <c r="J403" s="7"/>
      <c r="K403" s="7"/>
      <c r="L403" s="7"/>
      <c r="M403" s="7"/>
      <c r="N403" s="7"/>
      <c r="R403" s="7"/>
      <c r="S403" s="7"/>
      <c r="T403" s="7"/>
      <c r="U403" s="7"/>
      <c r="V403" s="7"/>
      <c r="W403" s="7"/>
      <c r="X403" s="7"/>
    </row>
    <row r="404" spans="1:24" ht="12.75" customHeight="1" x14ac:dyDescent="0.2">
      <c r="D404" s="7"/>
      <c r="E404" s="7"/>
      <c r="F404" s="7"/>
      <c r="G404" s="7"/>
      <c r="H404" s="7"/>
      <c r="J404" s="7"/>
      <c r="K404" s="7"/>
      <c r="L404" s="7"/>
      <c r="M404" s="7"/>
      <c r="N404" s="7"/>
      <c r="R404" s="7"/>
      <c r="S404" s="7"/>
      <c r="T404" s="7"/>
      <c r="U404" s="7"/>
      <c r="V404" s="7"/>
      <c r="W404" s="7"/>
      <c r="X404" s="7"/>
    </row>
    <row r="405" spans="1:24" ht="12.75" customHeight="1" x14ac:dyDescent="0.2">
      <c r="D405" s="7"/>
      <c r="E405" s="7"/>
      <c r="F405" s="7"/>
      <c r="G405" s="7"/>
      <c r="H405" s="7"/>
      <c r="J405" s="7"/>
      <c r="K405" s="7"/>
      <c r="L405" s="7"/>
      <c r="M405" s="7"/>
      <c r="N405" s="7"/>
      <c r="R405" s="7"/>
      <c r="S405" s="7"/>
      <c r="T405" s="7"/>
      <c r="U405" s="7"/>
      <c r="V405" s="7"/>
      <c r="W405" s="7"/>
      <c r="X405" s="7"/>
    </row>
    <row r="406" spans="1:24" ht="12.75" customHeight="1" x14ac:dyDescent="0.2">
      <c r="D406" s="7"/>
      <c r="E406" s="7"/>
      <c r="F406" s="7"/>
      <c r="G406" s="7"/>
      <c r="H406" s="7"/>
      <c r="J406" s="7"/>
      <c r="K406" s="7"/>
      <c r="L406" s="7"/>
      <c r="M406" s="7"/>
      <c r="N406" s="7"/>
      <c r="R406" s="7"/>
      <c r="S406" s="7"/>
      <c r="T406" s="7"/>
      <c r="U406" s="7"/>
      <c r="V406" s="7"/>
      <c r="W406" s="7"/>
      <c r="X406" s="7"/>
    </row>
    <row r="407" spans="1:24" ht="12.75" customHeight="1" x14ac:dyDescent="0.2">
      <c r="D407" s="7"/>
      <c r="E407" s="7"/>
      <c r="F407" s="7"/>
      <c r="G407" s="7"/>
      <c r="H407" s="7"/>
      <c r="J407" s="7"/>
      <c r="K407" s="7"/>
      <c r="L407" s="7"/>
      <c r="M407" s="7"/>
      <c r="N407" s="7"/>
      <c r="R407" s="7"/>
      <c r="S407" s="7"/>
      <c r="T407" s="7"/>
      <c r="U407" s="7"/>
      <c r="V407" s="7"/>
      <c r="W407" s="7"/>
      <c r="X407" s="7"/>
    </row>
    <row r="408" spans="1:24" ht="12.75" customHeight="1" x14ac:dyDescent="0.2">
      <c r="D408" s="7"/>
      <c r="E408" s="7"/>
      <c r="F408" s="7"/>
      <c r="G408" s="7"/>
      <c r="H408" s="7"/>
      <c r="J408" s="7"/>
      <c r="K408" s="7"/>
      <c r="L408" s="7"/>
      <c r="M408" s="7"/>
      <c r="N408" s="7"/>
      <c r="R408" s="7"/>
      <c r="S408" s="7"/>
      <c r="T408" s="7"/>
      <c r="U408" s="7"/>
      <c r="V408" s="7"/>
      <c r="W408" s="7"/>
      <c r="X408" s="7"/>
    </row>
    <row r="409" spans="1:24" ht="12.75" customHeight="1" x14ac:dyDescent="0.2">
      <c r="D409" s="7"/>
      <c r="E409" s="7"/>
      <c r="F409" s="7"/>
      <c r="G409" s="7"/>
      <c r="H409" s="7"/>
      <c r="J409" s="7"/>
      <c r="K409" s="7"/>
      <c r="L409" s="7"/>
      <c r="M409" s="7"/>
      <c r="N409" s="7"/>
      <c r="R409" s="7"/>
      <c r="S409" s="7"/>
      <c r="T409" s="7"/>
      <c r="U409" s="7"/>
      <c r="V409" s="7"/>
      <c r="W409" s="7"/>
      <c r="X409" s="7"/>
    </row>
    <row r="410" spans="1:24" ht="12.75" customHeight="1" x14ac:dyDescent="0.2">
      <c r="D410" s="7"/>
      <c r="E410" s="7"/>
      <c r="F410" s="7"/>
      <c r="G410" s="7"/>
      <c r="H410" s="7"/>
      <c r="J410" s="7"/>
      <c r="K410" s="7"/>
      <c r="L410" s="7"/>
      <c r="M410" s="7"/>
      <c r="N410" s="7"/>
      <c r="R410" s="7"/>
      <c r="S410" s="7"/>
      <c r="T410" s="7"/>
      <c r="U410" s="7"/>
      <c r="V410" s="7"/>
      <c r="W410" s="7"/>
      <c r="X410" s="7"/>
    </row>
    <row r="411" spans="1:24" ht="12.75" customHeight="1" x14ac:dyDescent="0.2">
      <c r="D411" s="7"/>
      <c r="E411" s="7"/>
      <c r="F411" s="7"/>
      <c r="G411" s="7"/>
      <c r="H411" s="7"/>
      <c r="J411" s="7"/>
      <c r="K411" s="7"/>
      <c r="L411" s="7"/>
      <c r="M411" s="7"/>
      <c r="N411" s="7"/>
      <c r="R411" s="7"/>
      <c r="S411" s="7"/>
      <c r="T411" s="7"/>
      <c r="U411" s="7"/>
      <c r="V411" s="7"/>
      <c r="W411" s="7"/>
      <c r="X411" s="7"/>
    </row>
    <row r="412" spans="1:24" ht="12.75" customHeight="1" x14ac:dyDescent="0.2">
      <c r="D412" s="7"/>
      <c r="E412" s="7"/>
      <c r="F412" s="7"/>
      <c r="G412" s="7"/>
      <c r="H412" s="7"/>
      <c r="J412" s="7"/>
      <c r="K412" s="7"/>
      <c r="L412" s="7"/>
      <c r="M412" s="7"/>
      <c r="N412" s="7"/>
      <c r="R412" s="7"/>
      <c r="S412" s="7"/>
      <c r="T412" s="7"/>
      <c r="U412" s="7"/>
      <c r="V412" s="7"/>
      <c r="W412" s="7"/>
      <c r="X412" s="7"/>
    </row>
    <row r="413" spans="1:24" x14ac:dyDescent="0.2">
      <c r="A413" s="48"/>
      <c r="D413" s="7"/>
      <c r="E413" s="7"/>
      <c r="F413" s="7"/>
      <c r="G413" s="7"/>
      <c r="H413" s="7"/>
      <c r="J413" s="7"/>
      <c r="K413" s="7"/>
      <c r="L413" s="7"/>
      <c r="M413" s="7"/>
      <c r="N413" s="7"/>
      <c r="R413" s="7"/>
      <c r="S413" s="7"/>
      <c r="T413" s="7"/>
      <c r="U413" s="7"/>
      <c r="V413" s="7"/>
      <c r="W413" s="7"/>
      <c r="X413" s="7"/>
    </row>
  </sheetData>
  <sortState ref="A9:BN388">
    <sortCondition ref="A9"/>
  </sortState>
  <phoneticPr fontId="5" type="noConversion"/>
  <conditionalFormatting sqref="AC176:AC177 AC197:AC199 AC201:AC204 AC179:AC191 AC193:AC195 AC369:AC370 AC45:AC63 AC206:AC268 AC356:AC367 AC24:AC43 AC65:AC66 AC68:AC137 AC372:AC378 AC380:AC387 AC9:AC22 AC270:AC354 AC139:AC173">
    <cfRule type="expression" dxfId="99" priority="611" stopIfTrue="1">
      <formula>AND(AC9&lt;="C", T9&lt;$T$4*$AC$7)</formula>
    </cfRule>
  </conditionalFormatting>
  <conditionalFormatting sqref="AC192">
    <cfRule type="expression" dxfId="97" priority="562" stopIfTrue="1">
      <formula>AND(AC192&lt;="C", T192&lt;$T$4*$AC$7)</formula>
    </cfRule>
  </conditionalFormatting>
  <conditionalFormatting sqref="W176:W177 W197:W199 W201:W204 W179:W195 W369:W370 W45:W63 W206:W268 W356:W367 W24:W43 W65:W66 W68:W137 W372:W378 W380:W387 W9:W22 W270:W354 W139:W173">
    <cfRule type="expression" dxfId="96" priority="512">
      <formula>W9/$W$2&lt;V9/$V$2-0.4</formula>
    </cfRule>
  </conditionalFormatting>
  <conditionalFormatting sqref="S179:S199 S201:S354 S356:S387 S9:S177">
    <cfRule type="expression" dxfId="95" priority="511">
      <formula>S9/$S$2 &gt; R9/$R$2</formula>
    </cfRule>
  </conditionalFormatting>
  <conditionalFormatting sqref="AC388">
    <cfRule type="expression" dxfId="94" priority="478" stopIfTrue="1">
      <formula>AND(AC388&lt;="C", T388&lt;$T$4*$AC$7)</formula>
    </cfRule>
  </conditionalFormatting>
  <conditionalFormatting sqref="W388">
    <cfRule type="expression" dxfId="93" priority="475">
      <formula>W388/$W$2&lt;V388/$V$2-0.4</formula>
    </cfRule>
  </conditionalFormatting>
  <conditionalFormatting sqref="AC370:AC372">
    <cfRule type="expression" dxfId="92" priority="442" stopIfTrue="1">
      <formula>AND(AC370&lt;="C", T370&lt;$T$4*$AC$7)</formula>
    </cfRule>
  </conditionalFormatting>
  <conditionalFormatting sqref="W370:W372">
    <cfRule type="expression" dxfId="91" priority="439">
      <formula>W370/$W$2&lt;V370/$V$2-0.4</formula>
    </cfRule>
  </conditionalFormatting>
  <conditionalFormatting sqref="AC174:AC175">
    <cfRule type="expression" dxfId="90" priority="418" stopIfTrue="1">
      <formula>AND(AC174&lt;="C", T174&lt;$T$4*$AC$7)</formula>
    </cfRule>
  </conditionalFormatting>
  <conditionalFormatting sqref="W174:W175">
    <cfRule type="expression" dxfId="89" priority="415">
      <formula>W174/$W$2&lt;V174/$V$2-0.4</formula>
    </cfRule>
  </conditionalFormatting>
  <conditionalFormatting sqref="AC368">
    <cfRule type="expression" dxfId="88" priority="382" stopIfTrue="1">
      <formula>AND(AC368&lt;="C", T368&lt;$T$4*$AC$7)</formula>
    </cfRule>
  </conditionalFormatting>
  <conditionalFormatting sqref="W368">
    <cfRule type="expression" dxfId="87" priority="379">
      <formula>W368/$W$2&lt;V368/$V$2-0.4</formula>
    </cfRule>
  </conditionalFormatting>
  <conditionalFormatting sqref="AC374">
    <cfRule type="expression" dxfId="86" priority="376" stopIfTrue="1">
      <formula>AND(AC374&lt;="C", T374&lt;$T$4*$AC$7)</formula>
    </cfRule>
  </conditionalFormatting>
  <conditionalFormatting sqref="W374">
    <cfRule type="expression" dxfId="85" priority="373">
      <formula>W374/$W$2&lt;V374/$V$2-0.4</formula>
    </cfRule>
  </conditionalFormatting>
  <conditionalFormatting sqref="AC367">
    <cfRule type="expression" dxfId="84" priority="299" stopIfTrue="1">
      <formula>AND(AC367&lt;="C", T367&lt;$T$4*$AC$7)</formula>
    </cfRule>
  </conditionalFormatting>
  <conditionalFormatting sqref="W367">
    <cfRule type="expression" dxfId="83" priority="296">
      <formula>W367/$W$2&lt;V367/$V$2-0.4</formula>
    </cfRule>
  </conditionalFormatting>
  <conditionalFormatting sqref="S367">
    <cfRule type="expression" dxfId="82" priority="295">
      <formula>S367/$S$2 &gt; R367/$R$2</formula>
    </cfRule>
  </conditionalFormatting>
  <conditionalFormatting sqref="AI197:AJ199 AI201:AJ204 AI179:AJ195 AI45:AJ63 AI206:AJ268 AI356:AJ361 AI24:AJ43 AI65:AJ66 AI68:AJ137 AI363:AJ388 AI9:AJ22 AI270:AJ354 AI139:AJ177">
    <cfRule type="expression" dxfId="81" priority="682">
      <formula>AND(OR($AC9&lt;&gt;$AI9,$AD9&lt;&gt;$AJ9),$AH9&lt;$AA9)</formula>
    </cfRule>
    <cfRule type="expression" dxfId="80" priority="683">
      <formula>AND(OR($AC9&lt;&gt;$AI9,$AD9&lt;&gt;$AJ9),$AH9&gt;$AA9)</formula>
    </cfRule>
  </conditionalFormatting>
  <conditionalFormatting sqref="AT197:AT199 AT201:AT204 AT179:AT195 AT45:AT63 AT206:AT268 AT356:AT361 AT24:AT43 AT65:AT66 AT68:AT137 AT363:AT388 AT9:AT22 AT270:AT354 AT139:AT177">
    <cfRule type="expression" dxfId="79" priority="685" stopIfTrue="1">
      <formula>AND(AT9&gt;AA9,OR(AC9&lt;&gt;#REF!,AD9&lt;&gt;#REF!))</formula>
    </cfRule>
  </conditionalFormatting>
  <conditionalFormatting sqref="AC200">
    <cfRule type="expression" dxfId="78" priority="137" stopIfTrue="1">
      <formula>AND(AC200&lt;="C", T200&lt;$T$4*$AC$7)</formula>
    </cfRule>
  </conditionalFormatting>
  <conditionalFormatting sqref="W200">
    <cfRule type="expression" dxfId="77" priority="135">
      <formula>W200/$W$2&lt;V200/$V$2-0.4</formula>
    </cfRule>
  </conditionalFormatting>
  <conditionalFormatting sqref="S200">
    <cfRule type="expression" dxfId="76" priority="134">
      <formula>S200/$S$2 &gt; R200/$R$2</formula>
    </cfRule>
  </conditionalFormatting>
  <conditionalFormatting sqref="AI200:AJ200">
    <cfRule type="expression" dxfId="75" priority="138">
      <formula>AND(OR($AC200&lt;&gt;$AI200,$AD200&lt;&gt;$AJ200),$AH200&lt;$AA200)</formula>
    </cfRule>
    <cfRule type="expression" dxfId="74" priority="139">
      <formula>AND(OR($AC200&lt;&gt;$AI200,$AD200&lt;&gt;$AJ200),$AH200&gt;$AA200)</formula>
    </cfRule>
  </conditionalFormatting>
  <conditionalFormatting sqref="AT200">
    <cfRule type="expression" dxfId="73" priority="140" stopIfTrue="1">
      <formula>AND(AT200&gt;AA200,OR(AC200&lt;&gt;#REF!,AD200&lt;&gt;#REF!))</formula>
    </cfRule>
  </conditionalFormatting>
  <conditionalFormatting sqref="AC196">
    <cfRule type="expression" dxfId="72" priority="124" stopIfTrue="1">
      <formula>AND(AC196&lt;="C", T196&lt;$T$4*$AC$7)</formula>
    </cfRule>
  </conditionalFormatting>
  <conditionalFormatting sqref="W196">
    <cfRule type="expression" dxfId="71" priority="122">
      <formula>W196/$W$2&lt;V196/$V$2-0.4</formula>
    </cfRule>
  </conditionalFormatting>
  <conditionalFormatting sqref="AI196:AJ196">
    <cfRule type="expression" dxfId="70" priority="125">
      <formula>AND(OR($AC196&lt;&gt;$AI196,$AD196&lt;&gt;$AJ196),$AH196&lt;$AA196)</formula>
    </cfRule>
    <cfRule type="expression" dxfId="69" priority="126">
      <formula>AND(OR($AC196&lt;&gt;$AI196,$AD196&lt;&gt;$AJ196),$AH196&gt;$AA196)</formula>
    </cfRule>
  </conditionalFormatting>
  <conditionalFormatting sqref="AT196">
    <cfRule type="expression" dxfId="68" priority="127" stopIfTrue="1">
      <formula>AND(AT196&gt;AA196,OR(AC196&lt;&gt;#REF!,AD196&lt;&gt;#REF!))</formula>
    </cfRule>
  </conditionalFormatting>
  <conditionalFormatting sqref="S179:S354 S356:S387 S9:S177">
    <cfRule type="expression" dxfId="67" priority="99">
      <formula>S9&lt;&gt;R9</formula>
    </cfRule>
  </conditionalFormatting>
  <conditionalFormatting sqref="AC362">
    <cfRule type="expression" dxfId="66" priority="95" stopIfTrue="1">
      <formula>AND(AC362&lt;="C", T362&lt;$T$4*$AC$7)</formula>
    </cfRule>
  </conditionalFormatting>
  <conditionalFormatting sqref="W362">
    <cfRule type="expression" dxfId="65" priority="93">
      <formula>W362/$W$2&lt;V362/$V$2-0.4</formula>
    </cfRule>
  </conditionalFormatting>
  <conditionalFormatting sqref="AI362:AJ362">
    <cfRule type="expression" dxfId="64" priority="96">
      <formula>AND(OR($AC362&lt;&gt;$AI362,$AD362&lt;&gt;$AJ362),$AH362&lt;$AA362)</formula>
    </cfRule>
    <cfRule type="expression" dxfId="63" priority="97">
      <formula>AND(OR($AC362&lt;&gt;$AI362,$AD362&lt;&gt;$AJ362),$AH362&gt;$AA362)</formula>
    </cfRule>
  </conditionalFormatting>
  <conditionalFormatting sqref="AT362">
    <cfRule type="expression" dxfId="62" priority="98" stopIfTrue="1">
      <formula>AND(AT362&gt;AA362,OR(AC362&lt;&gt;#REF!,AD362&lt;&gt;#REF!))</formula>
    </cfRule>
  </conditionalFormatting>
  <conditionalFormatting sqref="AC178">
    <cfRule type="expression" dxfId="61" priority="89" stopIfTrue="1">
      <formula>AND(AC178&lt;="C", T178&lt;$T$4*$AC$7)</formula>
    </cfRule>
  </conditionalFormatting>
  <conditionalFormatting sqref="W178">
    <cfRule type="expression" dxfId="60" priority="87">
      <formula>W178/$W$2&lt;V178/$V$2-0.4</formula>
    </cfRule>
  </conditionalFormatting>
  <conditionalFormatting sqref="S178">
    <cfRule type="expression" dxfId="59" priority="86">
      <formula>S178/$S$2 &gt; R178/$R$2</formula>
    </cfRule>
  </conditionalFormatting>
  <conditionalFormatting sqref="AI178:AJ178">
    <cfRule type="expression" dxfId="58" priority="90">
      <formula>AND(OR($AC178&lt;&gt;$AI178,$AD178&lt;&gt;$AJ178),$AH178&lt;$AA178)</formula>
    </cfRule>
    <cfRule type="expression" dxfId="57" priority="91">
      <formula>AND(OR($AC178&lt;&gt;$AI178,$AD178&lt;&gt;$AJ178),$AH178&gt;$AA178)</formula>
    </cfRule>
  </conditionalFormatting>
  <conditionalFormatting sqref="AT178">
    <cfRule type="expression" dxfId="56" priority="92" stopIfTrue="1">
      <formula>AND(AT178&gt;AA178,OR(AC178&lt;&gt;#REF!,AD178&lt;&gt;#REF!))</formula>
    </cfRule>
  </conditionalFormatting>
  <conditionalFormatting sqref="S178">
    <cfRule type="expression" dxfId="55" priority="85">
      <formula>S178&lt;&gt;R178</formula>
    </cfRule>
  </conditionalFormatting>
  <conditionalFormatting sqref="AC369">
    <cfRule type="expression" dxfId="54" priority="72" stopIfTrue="1">
      <formula>AND(AC369&lt;="C", T369&lt;$T$4*$AC$7)</formula>
    </cfRule>
  </conditionalFormatting>
  <conditionalFormatting sqref="W369">
    <cfRule type="expression" dxfId="53" priority="71">
      <formula>W369/$W$2&lt;V369/$V$2-0.4</formula>
    </cfRule>
  </conditionalFormatting>
  <conditionalFormatting sqref="AC375">
    <cfRule type="expression" dxfId="52" priority="70" stopIfTrue="1">
      <formula>AND(AC375&lt;="C", T375&lt;$T$4*$AC$7)</formula>
    </cfRule>
  </conditionalFormatting>
  <conditionalFormatting sqref="W375">
    <cfRule type="expression" dxfId="51" priority="69">
      <formula>W375/$W$2&lt;V375/$V$2-0.4</formula>
    </cfRule>
  </conditionalFormatting>
  <conditionalFormatting sqref="AC368">
    <cfRule type="expression" dxfId="50" priority="68" stopIfTrue="1">
      <formula>AND(AC368&lt;="C", T368&lt;$T$4*$AC$7)</formula>
    </cfRule>
  </conditionalFormatting>
  <conditionalFormatting sqref="W368">
    <cfRule type="expression" dxfId="49" priority="67">
      <formula>W368/$W$2&lt;V368/$V$2-0.4</formula>
    </cfRule>
  </conditionalFormatting>
  <conditionalFormatting sqref="S368">
    <cfRule type="expression" dxfId="48" priority="66">
      <formula>S368/$S$2 &gt; R368/$R$2</formula>
    </cfRule>
  </conditionalFormatting>
  <conditionalFormatting sqref="AC363">
    <cfRule type="expression" dxfId="47" priority="65" stopIfTrue="1">
      <formula>AND(AC363&lt;="C", T363&lt;$T$4*$AC$7)</formula>
    </cfRule>
  </conditionalFormatting>
  <conditionalFormatting sqref="W363">
    <cfRule type="expression" dxfId="46" priority="64">
      <formula>W363/$W$2&lt;V363/$V$2-0.4</formula>
    </cfRule>
  </conditionalFormatting>
  <conditionalFormatting sqref="W44">
    <cfRule type="expression" dxfId="45" priority="58">
      <formula>W44/$W$2&lt;V44/$V$2-0.4</formula>
    </cfRule>
  </conditionalFormatting>
  <conditionalFormatting sqref="AC44">
    <cfRule type="expression" dxfId="44" priority="60" stopIfTrue="1">
      <formula>AND(AC44&lt;="C", T44&lt;$T$4*$AC$7)</formula>
    </cfRule>
  </conditionalFormatting>
  <conditionalFormatting sqref="AI44:AJ44">
    <cfRule type="expression" dxfId="43" priority="61">
      <formula>AND(OR($AC44&lt;&gt;$AI44,$AD44&lt;&gt;$AJ44),$AH44&lt;$AA44)</formula>
    </cfRule>
    <cfRule type="expression" dxfId="42" priority="62">
      <formula>AND(OR($AC44&lt;&gt;$AI44,$AD44&lt;&gt;$AJ44),$AH44&gt;$AA44)</formula>
    </cfRule>
  </conditionalFormatting>
  <conditionalFormatting sqref="AT44">
    <cfRule type="expression" dxfId="41" priority="63" stopIfTrue="1">
      <formula>AND(AT44&gt;AA44,OR(AC44&lt;&gt;#REF!,AD44&lt;&gt;#REF!))</formula>
    </cfRule>
  </conditionalFormatting>
  <conditionalFormatting sqref="AC205">
    <cfRule type="expression" dxfId="40" priority="54" stopIfTrue="1">
      <formula>AND(AC205&lt;="C", T205&lt;$T$4*$AC$7)</formula>
    </cfRule>
  </conditionalFormatting>
  <conditionalFormatting sqref="W205">
    <cfRule type="expression" dxfId="39" priority="52">
      <formula>W205/$W$2&lt;V205/$V$2-0.4</formula>
    </cfRule>
  </conditionalFormatting>
  <conditionalFormatting sqref="AI205:AJ205">
    <cfRule type="expression" dxfId="38" priority="55">
      <formula>AND(OR($AC205&lt;&gt;$AI205,$AD205&lt;&gt;$AJ205),$AH205&lt;$AA205)</formula>
    </cfRule>
    <cfRule type="expression" dxfId="37" priority="56">
      <formula>AND(OR($AC205&lt;&gt;$AI205,$AD205&lt;&gt;$AJ205),$AH205&gt;$AA205)</formula>
    </cfRule>
  </conditionalFormatting>
  <conditionalFormatting sqref="AT205">
    <cfRule type="expression" dxfId="36" priority="57" stopIfTrue="1">
      <formula>AND(AT205&gt;AA205,OR(AC205&lt;&gt;#REF!,AD205&lt;&gt;#REF!))</formula>
    </cfRule>
  </conditionalFormatting>
  <conditionalFormatting sqref="AC355">
    <cfRule type="expression" dxfId="35" priority="48" stopIfTrue="1">
      <formula>AND(AC355&lt;="C", T355&lt;$T$4*$AC$7)</formula>
    </cfRule>
  </conditionalFormatting>
  <conditionalFormatting sqref="W355">
    <cfRule type="expression" dxfId="34" priority="46">
      <formula>W355/$W$2&lt;V355/$V$2-0.4</formula>
    </cfRule>
  </conditionalFormatting>
  <conditionalFormatting sqref="S355">
    <cfRule type="expression" dxfId="33" priority="45">
      <formula>S355/$S$2 &gt; R355/$R$2</formula>
    </cfRule>
  </conditionalFormatting>
  <conditionalFormatting sqref="AI355:AJ355">
    <cfRule type="expression" dxfId="32" priority="49">
      <formula>AND(OR($AC355&lt;&gt;$AI355,$AD355&lt;&gt;$AJ355),$AH355&lt;$AA355)</formula>
    </cfRule>
    <cfRule type="expression" dxfId="31" priority="50">
      <formula>AND(OR($AC355&lt;&gt;$AI355,$AD355&lt;&gt;$AJ355),$AH355&gt;$AA355)</formula>
    </cfRule>
  </conditionalFormatting>
  <conditionalFormatting sqref="AT355">
    <cfRule type="expression" dxfId="30" priority="51" stopIfTrue="1">
      <formula>AND(AT355&gt;AA355,OR(AC355&lt;&gt;#REF!,AD355&lt;&gt;#REF!))</formula>
    </cfRule>
  </conditionalFormatting>
  <conditionalFormatting sqref="S355">
    <cfRule type="expression" dxfId="29" priority="44">
      <formula>S355&lt;&gt;R355</formula>
    </cfRule>
  </conditionalFormatting>
  <conditionalFormatting sqref="AC23">
    <cfRule type="expression" dxfId="28" priority="40" stopIfTrue="1">
      <formula>AND(AC23&lt;="C", T23&lt;$T$4*$AC$7)</formula>
    </cfRule>
  </conditionalFormatting>
  <conditionalFormatting sqref="W23">
    <cfRule type="expression" dxfId="27" priority="38">
      <formula>W23/$W$2&lt;V23/$V$2-0.4</formula>
    </cfRule>
  </conditionalFormatting>
  <conditionalFormatting sqref="AI23:AJ23">
    <cfRule type="expression" dxfId="26" priority="41">
      <formula>AND(OR($AC23&lt;&gt;$AI23,$AD23&lt;&gt;$AJ23),$AH23&lt;$AA23)</formula>
    </cfRule>
    <cfRule type="expression" dxfId="25" priority="42">
      <formula>AND(OR($AC23&lt;&gt;$AI23,$AD23&lt;&gt;$AJ23),$AH23&gt;$AA23)</formula>
    </cfRule>
  </conditionalFormatting>
  <conditionalFormatting sqref="AT23">
    <cfRule type="expression" dxfId="24" priority="43" stopIfTrue="1">
      <formula>AND(AT23&gt;AA23,OR(AC23&lt;&gt;#REF!,AD23&lt;&gt;#REF!))</formula>
    </cfRule>
  </conditionalFormatting>
  <conditionalFormatting sqref="AC64">
    <cfRule type="expression" dxfId="23" priority="34" stopIfTrue="1">
      <formula>AND(AC64&lt;="C", T64&lt;$T$4*$AC$7)</formula>
    </cfRule>
  </conditionalFormatting>
  <conditionalFormatting sqref="W64">
    <cfRule type="expression" dxfId="22" priority="32">
      <formula>W64/$W$2&lt;V64/$V$2-0.4</formula>
    </cfRule>
  </conditionalFormatting>
  <conditionalFormatting sqref="AI64:AJ64">
    <cfRule type="expression" dxfId="21" priority="35">
      <formula>AND(OR($AC64&lt;&gt;$AI64,$AD64&lt;&gt;$AJ64),$AH64&lt;$AA64)</formula>
    </cfRule>
    <cfRule type="expression" dxfId="20" priority="36">
      <formula>AND(OR($AC64&lt;&gt;$AI64,$AD64&lt;&gt;$AJ64),$AH64&gt;$AA64)</formula>
    </cfRule>
  </conditionalFormatting>
  <conditionalFormatting sqref="AT64">
    <cfRule type="expression" dxfId="19" priority="37" stopIfTrue="1">
      <formula>AND(AT64&gt;AA64,OR(AC64&lt;&gt;#REF!,AD64&lt;&gt;#REF!))</formula>
    </cfRule>
  </conditionalFormatting>
  <conditionalFormatting sqref="AC67">
    <cfRule type="expression" dxfId="18" priority="28" stopIfTrue="1">
      <formula>AND(AC67&lt;="C", T67&lt;$T$4*$AC$7)</formula>
    </cfRule>
  </conditionalFormatting>
  <conditionalFormatting sqref="W67">
    <cfRule type="expression" dxfId="17" priority="26">
      <formula>W67/$W$2&lt;V67/$V$2-0.4</formula>
    </cfRule>
  </conditionalFormatting>
  <conditionalFormatting sqref="AI67:AJ67">
    <cfRule type="expression" dxfId="16" priority="29">
      <formula>AND(OR($AC67&lt;&gt;$AI67,$AD67&lt;&gt;$AJ67),$AH67&lt;$AA67)</formula>
    </cfRule>
    <cfRule type="expression" dxfId="15" priority="30">
      <formula>AND(OR($AC67&lt;&gt;$AI67,$AD67&lt;&gt;$AJ67),$AH67&gt;$AA67)</formula>
    </cfRule>
  </conditionalFormatting>
  <conditionalFormatting sqref="AT67">
    <cfRule type="expression" dxfId="14" priority="31" stopIfTrue="1">
      <formula>AND(AT67&gt;AA67,OR(AC67&lt;&gt;#REF!,AD67&lt;&gt;#REF!))</formula>
    </cfRule>
  </conditionalFormatting>
  <conditionalFormatting sqref="AC379">
    <cfRule type="expression" dxfId="13" priority="25" stopIfTrue="1">
      <formula>AND(AC379&lt;="C", T379&lt;$T$4*$AC$7)</formula>
    </cfRule>
  </conditionalFormatting>
  <conditionalFormatting sqref="W379">
    <cfRule type="expression" dxfId="12" priority="23">
      <formula>W379/$W$2&lt;V379/$V$2-0.4</formula>
    </cfRule>
  </conditionalFormatting>
  <conditionalFormatting sqref="AC269">
    <cfRule type="expression" dxfId="11" priority="13" stopIfTrue="1">
      <formula>AND(AC269&lt;="C", T269&lt;$T$4*$AC$7)</formula>
    </cfRule>
  </conditionalFormatting>
  <conditionalFormatting sqref="W269">
    <cfRule type="expression" dxfId="9" priority="11">
      <formula>W269/$W$2&lt;V269/$V$2-0.4</formula>
    </cfRule>
  </conditionalFormatting>
  <conditionalFormatting sqref="AI269:AJ269">
    <cfRule type="expression" dxfId="8" priority="14">
      <formula>AND(OR($AC269&lt;&gt;$AI269,$AD269&lt;&gt;$AJ269),$AH269&lt;$AA269)</formula>
    </cfRule>
    <cfRule type="expression" dxfId="7" priority="15">
      <formula>AND(OR($AC269&lt;&gt;$AI269,$AD269&lt;&gt;$AJ269),$AH269&gt;$AA269)</formula>
    </cfRule>
  </conditionalFormatting>
  <conditionalFormatting sqref="AT269">
    <cfRule type="expression" dxfId="6" priority="16" stopIfTrue="1">
      <formula>AND(AT269&gt;AA269,OR(AC269&lt;&gt;#REF!,AD269&lt;&gt;#REF!))</formula>
    </cfRule>
  </conditionalFormatting>
  <conditionalFormatting sqref="AC138">
    <cfRule type="expression" dxfId="5" priority="3" stopIfTrue="1">
      <formula>AND(AC138&lt;="C", T138&lt;$T$4*$AC$7)</formula>
    </cfRule>
  </conditionalFormatting>
  <conditionalFormatting sqref="W138">
    <cfRule type="expression" dxfId="3" priority="1">
      <formula>W138/$W$2&lt;V138/$V$2-0.4</formula>
    </cfRule>
  </conditionalFormatting>
  <conditionalFormatting sqref="AI138:AJ138">
    <cfRule type="expression" dxfId="2" priority="4">
      <formula>AND(OR($AC138&lt;&gt;$AI138,$AD138&lt;&gt;$AJ138),$AH138&lt;$AA138)</formula>
    </cfRule>
    <cfRule type="expression" dxfId="1" priority="5">
      <formula>AND(OR($AC138&lt;&gt;$AI138,$AD138&lt;&gt;$AJ138),$AH138&gt;$AA138)</formula>
    </cfRule>
  </conditionalFormatting>
  <conditionalFormatting sqref="AT138">
    <cfRule type="expression" dxfId="0" priority="6" stopIfTrue="1">
      <formula>AND(AT138&gt;AA138,OR(AC138&lt;&gt;#REF!,AD138&lt;&gt;#REF!))</formula>
    </cfRule>
  </conditionalFormatting>
  <printOptions gridLines="1"/>
  <pageMargins left="0.25" right="0" top="0.5" bottom="0.5" header="0.25" footer="0.25"/>
  <pageSetup scale="18" fitToWidth="2" orientation="landscape" verticalDpi="200" r:id="rId1"/>
  <headerFooter alignWithMargins="0">
    <oddHeader>&amp;A</oddHeader>
    <oddFooter>Page &amp;P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328"/>
  <sheetViews>
    <sheetView topLeftCell="A12" zoomScale="90" workbookViewId="0">
      <selection activeCell="D32" sqref="D32"/>
    </sheetView>
  </sheetViews>
  <sheetFormatPr defaultRowHeight="12.75" x14ac:dyDescent="0.2"/>
  <cols>
    <col min="1" max="1" width="9.7109375" bestFit="1" customWidth="1"/>
  </cols>
  <sheetData>
    <row r="1" spans="1:3" x14ac:dyDescent="0.2">
      <c r="A1" t="s">
        <v>24</v>
      </c>
      <c r="B1" t="s">
        <v>25</v>
      </c>
    </row>
    <row r="2" spans="1:3" x14ac:dyDescent="0.2">
      <c r="A2" s="30">
        <v>1.25</v>
      </c>
      <c r="B2">
        <f t="array" ref="B2:B21">FREQUENCY('Winter 2016'!$B$9:'Winter 2016'!$B$388,A2:A27)</f>
        <v>4</v>
      </c>
      <c r="C2">
        <v>5</v>
      </c>
    </row>
    <row r="3" spans="1:3" x14ac:dyDescent="0.2">
      <c r="A3" s="30">
        <f>1.25+A2</f>
        <v>2.5</v>
      </c>
      <c r="B3">
        <v>1</v>
      </c>
      <c r="C3">
        <f>5+C2</f>
        <v>10</v>
      </c>
    </row>
    <row r="4" spans="1:3" x14ac:dyDescent="0.2">
      <c r="A4" s="30">
        <f t="shared" ref="A4:A20" si="0">1.25+A3</f>
        <v>3.75</v>
      </c>
      <c r="B4">
        <v>4</v>
      </c>
      <c r="C4">
        <f t="shared" ref="C4:C20" si="1">5+C3</f>
        <v>15</v>
      </c>
    </row>
    <row r="5" spans="1:3" x14ac:dyDescent="0.2">
      <c r="A5" s="30">
        <f t="shared" si="0"/>
        <v>5</v>
      </c>
      <c r="B5">
        <v>11</v>
      </c>
      <c r="C5">
        <f t="shared" si="1"/>
        <v>20</v>
      </c>
    </row>
    <row r="6" spans="1:3" x14ac:dyDescent="0.2">
      <c r="A6" s="30">
        <f t="shared" si="0"/>
        <v>6.25</v>
      </c>
      <c r="B6">
        <v>1</v>
      </c>
      <c r="C6">
        <f t="shared" si="1"/>
        <v>25</v>
      </c>
    </row>
    <row r="7" spans="1:3" x14ac:dyDescent="0.2">
      <c r="A7" s="30">
        <f t="shared" si="0"/>
        <v>7.5</v>
      </c>
      <c r="B7">
        <v>1</v>
      </c>
      <c r="C7">
        <f t="shared" si="1"/>
        <v>30</v>
      </c>
    </row>
    <row r="8" spans="1:3" x14ac:dyDescent="0.2">
      <c r="A8" s="30">
        <f t="shared" si="0"/>
        <v>8.75</v>
      </c>
      <c r="B8">
        <v>5</v>
      </c>
      <c r="C8">
        <f t="shared" si="1"/>
        <v>35</v>
      </c>
    </row>
    <row r="9" spans="1:3" x14ac:dyDescent="0.2">
      <c r="A9" s="30">
        <f t="shared" si="0"/>
        <v>10</v>
      </c>
      <c r="B9">
        <v>9</v>
      </c>
      <c r="C9">
        <f t="shared" si="1"/>
        <v>40</v>
      </c>
    </row>
    <row r="10" spans="1:3" x14ac:dyDescent="0.2">
      <c r="A10" s="30">
        <f t="shared" si="0"/>
        <v>11.25</v>
      </c>
      <c r="B10">
        <v>1</v>
      </c>
      <c r="C10">
        <f t="shared" si="1"/>
        <v>45</v>
      </c>
    </row>
    <row r="11" spans="1:3" x14ac:dyDescent="0.2">
      <c r="A11" s="30">
        <f t="shared" si="0"/>
        <v>12.5</v>
      </c>
      <c r="B11">
        <v>3</v>
      </c>
      <c r="C11">
        <f t="shared" si="1"/>
        <v>50</v>
      </c>
    </row>
    <row r="12" spans="1:3" x14ac:dyDescent="0.2">
      <c r="A12" s="30">
        <f t="shared" si="0"/>
        <v>13.75</v>
      </c>
      <c r="B12">
        <v>5</v>
      </c>
      <c r="C12">
        <f>5+C11</f>
        <v>55</v>
      </c>
    </row>
    <row r="13" spans="1:3" x14ac:dyDescent="0.2">
      <c r="A13" s="30">
        <f t="shared" si="0"/>
        <v>15</v>
      </c>
      <c r="B13">
        <v>7</v>
      </c>
      <c r="C13">
        <f t="shared" si="1"/>
        <v>60</v>
      </c>
    </row>
    <row r="14" spans="1:3" x14ac:dyDescent="0.2">
      <c r="A14" s="30">
        <f t="shared" si="0"/>
        <v>16.25</v>
      </c>
      <c r="B14">
        <v>3</v>
      </c>
      <c r="C14">
        <f t="shared" si="1"/>
        <v>65</v>
      </c>
    </row>
    <row r="15" spans="1:3" x14ac:dyDescent="0.2">
      <c r="A15" s="30">
        <f t="shared" si="0"/>
        <v>17.5</v>
      </c>
      <c r="B15">
        <v>3</v>
      </c>
      <c r="C15">
        <f t="shared" si="1"/>
        <v>70</v>
      </c>
    </row>
    <row r="16" spans="1:3" x14ac:dyDescent="0.2">
      <c r="A16" s="30">
        <f t="shared" si="0"/>
        <v>18.75</v>
      </c>
      <c r="B16">
        <v>8</v>
      </c>
      <c r="C16">
        <f t="shared" si="1"/>
        <v>75</v>
      </c>
    </row>
    <row r="17" spans="1:7" x14ac:dyDescent="0.2">
      <c r="A17" s="30">
        <f t="shared" si="0"/>
        <v>20</v>
      </c>
      <c r="B17">
        <v>18</v>
      </c>
      <c r="C17">
        <f t="shared" si="1"/>
        <v>80</v>
      </c>
    </row>
    <row r="18" spans="1:7" x14ac:dyDescent="0.2">
      <c r="A18" s="30">
        <f t="shared" si="0"/>
        <v>21.25</v>
      </c>
      <c r="B18">
        <v>0</v>
      </c>
      <c r="C18">
        <f t="shared" si="1"/>
        <v>85</v>
      </c>
    </row>
    <row r="19" spans="1:7" x14ac:dyDescent="0.2">
      <c r="A19" s="30">
        <f t="shared" si="0"/>
        <v>22.5</v>
      </c>
      <c r="B19">
        <v>5</v>
      </c>
      <c r="C19">
        <f t="shared" si="1"/>
        <v>90</v>
      </c>
    </row>
    <row r="20" spans="1:7" x14ac:dyDescent="0.2">
      <c r="A20" s="30">
        <f t="shared" si="0"/>
        <v>23.75</v>
      </c>
      <c r="B20">
        <v>56</v>
      </c>
      <c r="C20">
        <f t="shared" si="1"/>
        <v>95</v>
      </c>
    </row>
    <row r="21" spans="1:7" x14ac:dyDescent="0.2">
      <c r="A21" s="30">
        <v>26</v>
      </c>
      <c r="B21">
        <v>227</v>
      </c>
      <c r="C21">
        <f>5+C20</f>
        <v>100</v>
      </c>
    </row>
    <row r="22" spans="1:7" x14ac:dyDescent="0.2">
      <c r="A22" s="30"/>
    </row>
    <row r="27" spans="1:7" ht="13.5" thickBot="1" x14ac:dyDescent="0.25"/>
    <row r="28" spans="1:7" x14ac:dyDescent="0.2">
      <c r="A28" t="s">
        <v>25</v>
      </c>
      <c r="B28" s="16">
        <f>SUM(B2:B27)</f>
        <v>372</v>
      </c>
    </row>
    <row r="29" spans="1:7" x14ac:dyDescent="0.2">
      <c r="F29" s="36" t="s">
        <v>29</v>
      </c>
      <c r="G29" s="17" t="s">
        <v>55</v>
      </c>
    </row>
    <row r="30" spans="1:7" x14ac:dyDescent="0.2">
      <c r="A30" t="s">
        <v>20</v>
      </c>
      <c r="B30">
        <f>MIN('Winter 2016'!$B$9:'Winter 2016'!$B$388)/25*100</f>
        <v>0</v>
      </c>
      <c r="F30" s="48" t="s">
        <v>14</v>
      </c>
      <c r="G30" s="3">
        <f>SUM(B20:B21)/B28*100</f>
        <v>76.075268817204304</v>
      </c>
    </row>
    <row r="31" spans="1:7" x14ac:dyDescent="0.2">
      <c r="A31" t="s">
        <v>21</v>
      </c>
      <c r="B31">
        <f>MAX('Winter 2016'!$B$9:'Winter 2016'!$B$388)/25*100</f>
        <v>100</v>
      </c>
      <c r="F31" s="48" t="s">
        <v>15</v>
      </c>
      <c r="G31" s="3">
        <f>SUM(B18:B19)/B28*100</f>
        <v>1.3440860215053763</v>
      </c>
    </row>
    <row r="32" spans="1:7" x14ac:dyDescent="0.2">
      <c r="A32" t="s">
        <v>22</v>
      </c>
      <c r="B32">
        <f>MEDIAN('Winter 2016'!$B$9:'Winter 2016'!$B$388)/25*100</f>
        <v>100</v>
      </c>
      <c r="F32" s="48" t="s">
        <v>16</v>
      </c>
      <c r="G32" s="3">
        <f>SUM(B16:B17)/B28*100</f>
        <v>6.9892473118279561</v>
      </c>
    </row>
    <row r="33" spans="1:15" x14ac:dyDescent="0.2">
      <c r="A33" t="s">
        <v>30</v>
      </c>
      <c r="B33" s="3">
        <f>SUMIF('Winter 2016'!$B$9:'Winter 2016'!$B$388,"&gt;0")/COUNTIF('Winter 2016'!$B$9:'Winter 2016'!$B$388,"&gt;0")/25*100</f>
        <v>87.392953929539289</v>
      </c>
      <c r="F33" s="48" t="s">
        <v>18</v>
      </c>
      <c r="G33" s="3">
        <f>SUM(B14:B15)/B28*100</f>
        <v>1.6129032258064515</v>
      </c>
    </row>
    <row r="34" spans="1:15" x14ac:dyDescent="0.2">
      <c r="A34" s="48" t="s">
        <v>72</v>
      </c>
      <c r="B34" s="30">
        <f t="array" ref="B34">SUM(G30:G34*{4;3;2;1;0})/100</f>
        <v>3.2392473118279579</v>
      </c>
      <c r="F34" s="48" t="s">
        <v>27</v>
      </c>
      <c r="G34" s="3">
        <f>SUM(B2:B13)/B28*100</f>
        <v>13.978494623655912</v>
      </c>
      <c r="H34" s="3">
        <f>SUM(G30:G34)</f>
        <v>100</v>
      </c>
    </row>
    <row r="35" spans="1:15" x14ac:dyDescent="0.2">
      <c r="G35" s="3"/>
    </row>
    <row r="38" spans="1:15" x14ac:dyDescent="0.2">
      <c r="A38" t="s">
        <v>24</v>
      </c>
      <c r="B38" t="s">
        <v>25</v>
      </c>
    </row>
    <row r="39" spans="1:15" x14ac:dyDescent="0.2">
      <c r="A39" s="30">
        <v>1.25</v>
      </c>
      <c r="B39">
        <f t="array" ref="B39:B58">FREQUENCY('Winter 2016'!$C$9:'Winter 2016'!$C$388,A39:A64)</f>
        <v>0</v>
      </c>
      <c r="C39">
        <v>5</v>
      </c>
      <c r="O39" s="30"/>
    </row>
    <row r="40" spans="1:15" x14ac:dyDescent="0.2">
      <c r="A40" s="30">
        <f>1.25+A39</f>
        <v>2.5</v>
      </c>
      <c r="B40">
        <v>0</v>
      </c>
      <c r="C40">
        <f>5+C39</f>
        <v>10</v>
      </c>
      <c r="O40" s="30"/>
    </row>
    <row r="41" spans="1:15" x14ac:dyDescent="0.2">
      <c r="A41" s="30">
        <f t="shared" ref="A41:A58" si="2">1.25+A40</f>
        <v>3.75</v>
      </c>
      <c r="B41">
        <v>0</v>
      </c>
      <c r="C41">
        <f t="shared" ref="C41:C48" si="3">5+C40</f>
        <v>15</v>
      </c>
      <c r="O41" s="30"/>
    </row>
    <row r="42" spans="1:15" x14ac:dyDescent="0.2">
      <c r="A42" s="30">
        <f t="shared" si="2"/>
        <v>5</v>
      </c>
      <c r="B42">
        <v>0</v>
      </c>
      <c r="C42">
        <f t="shared" si="3"/>
        <v>20</v>
      </c>
      <c r="O42" s="30"/>
    </row>
    <row r="43" spans="1:15" x14ac:dyDescent="0.2">
      <c r="A43" s="30">
        <f t="shared" si="2"/>
        <v>6.25</v>
      </c>
      <c r="B43">
        <v>0</v>
      </c>
      <c r="C43">
        <f t="shared" si="3"/>
        <v>25</v>
      </c>
      <c r="O43" s="30"/>
    </row>
    <row r="44" spans="1:15" x14ac:dyDescent="0.2">
      <c r="A44" s="30">
        <f t="shared" si="2"/>
        <v>7.5</v>
      </c>
      <c r="B44">
        <v>0</v>
      </c>
      <c r="C44">
        <f t="shared" si="3"/>
        <v>30</v>
      </c>
      <c r="O44" s="30"/>
    </row>
    <row r="45" spans="1:15" x14ac:dyDescent="0.2">
      <c r="A45" s="30">
        <f t="shared" si="2"/>
        <v>8.75</v>
      </c>
      <c r="B45">
        <v>1</v>
      </c>
      <c r="C45">
        <f t="shared" si="3"/>
        <v>35</v>
      </c>
      <c r="O45" s="30"/>
    </row>
    <row r="46" spans="1:15" x14ac:dyDescent="0.2">
      <c r="A46" s="30">
        <f t="shared" si="2"/>
        <v>10</v>
      </c>
      <c r="B46">
        <v>4</v>
      </c>
      <c r="C46">
        <f t="shared" si="3"/>
        <v>40</v>
      </c>
      <c r="O46" s="30"/>
    </row>
    <row r="47" spans="1:15" x14ac:dyDescent="0.2">
      <c r="A47" s="30">
        <f t="shared" si="2"/>
        <v>11.25</v>
      </c>
      <c r="B47">
        <v>3</v>
      </c>
      <c r="C47">
        <f t="shared" si="3"/>
        <v>45</v>
      </c>
      <c r="O47" s="30"/>
    </row>
    <row r="48" spans="1:15" x14ac:dyDescent="0.2">
      <c r="A48" s="30">
        <f t="shared" si="2"/>
        <v>12.5</v>
      </c>
      <c r="B48">
        <v>2</v>
      </c>
      <c r="C48">
        <f t="shared" si="3"/>
        <v>50</v>
      </c>
      <c r="O48" s="30"/>
    </row>
    <row r="49" spans="1:15" x14ac:dyDescent="0.2">
      <c r="A49" s="30">
        <f t="shared" si="2"/>
        <v>13.75</v>
      </c>
      <c r="B49">
        <v>5</v>
      </c>
      <c r="C49">
        <f>5+C48</f>
        <v>55</v>
      </c>
      <c r="O49" s="30"/>
    </row>
    <row r="50" spans="1:15" x14ac:dyDescent="0.2">
      <c r="A50" s="30">
        <f t="shared" si="2"/>
        <v>15</v>
      </c>
      <c r="B50">
        <v>7</v>
      </c>
      <c r="C50">
        <f t="shared" ref="C50:C57" si="4">5+C49</f>
        <v>60</v>
      </c>
      <c r="O50" s="30"/>
    </row>
    <row r="51" spans="1:15" x14ac:dyDescent="0.2">
      <c r="A51" s="30">
        <f t="shared" si="2"/>
        <v>16.25</v>
      </c>
      <c r="B51">
        <v>4</v>
      </c>
      <c r="C51">
        <f t="shared" si="4"/>
        <v>65</v>
      </c>
      <c r="O51" s="30"/>
    </row>
    <row r="52" spans="1:15" x14ac:dyDescent="0.2">
      <c r="A52" s="30">
        <f t="shared" si="2"/>
        <v>17.5</v>
      </c>
      <c r="B52">
        <v>7</v>
      </c>
      <c r="C52">
        <f t="shared" si="4"/>
        <v>70</v>
      </c>
      <c r="O52" s="30"/>
    </row>
    <row r="53" spans="1:15" x14ac:dyDescent="0.2">
      <c r="A53" s="30">
        <f t="shared" si="2"/>
        <v>18.75</v>
      </c>
      <c r="B53">
        <v>21</v>
      </c>
      <c r="C53">
        <f t="shared" si="4"/>
        <v>75</v>
      </c>
      <c r="O53" s="30"/>
    </row>
    <row r="54" spans="1:15" x14ac:dyDescent="0.2">
      <c r="A54" s="30">
        <f t="shared" si="2"/>
        <v>20</v>
      </c>
      <c r="B54">
        <v>28</v>
      </c>
      <c r="C54">
        <f t="shared" si="4"/>
        <v>80</v>
      </c>
      <c r="O54" s="30"/>
    </row>
    <row r="55" spans="1:15" x14ac:dyDescent="0.2">
      <c r="A55" s="30">
        <f t="shared" si="2"/>
        <v>21.25</v>
      </c>
      <c r="B55">
        <v>25</v>
      </c>
      <c r="C55">
        <f t="shared" si="4"/>
        <v>85</v>
      </c>
      <c r="O55" s="30"/>
    </row>
    <row r="56" spans="1:15" x14ac:dyDescent="0.2">
      <c r="A56" s="30">
        <f t="shared" si="2"/>
        <v>22.5</v>
      </c>
      <c r="B56">
        <v>40</v>
      </c>
      <c r="C56">
        <f t="shared" si="4"/>
        <v>90</v>
      </c>
      <c r="O56" s="30"/>
    </row>
    <row r="57" spans="1:15" x14ac:dyDescent="0.2">
      <c r="A57" s="30">
        <f t="shared" si="2"/>
        <v>23.75</v>
      </c>
      <c r="B57">
        <v>46</v>
      </c>
      <c r="C57">
        <f t="shared" si="4"/>
        <v>95</v>
      </c>
      <c r="O57" s="30"/>
    </row>
    <row r="58" spans="1:15" x14ac:dyDescent="0.2">
      <c r="A58" s="30">
        <f t="shared" si="2"/>
        <v>25</v>
      </c>
      <c r="B58">
        <v>184</v>
      </c>
      <c r="C58">
        <f>5+C57</f>
        <v>100</v>
      </c>
      <c r="O58" s="30"/>
    </row>
    <row r="59" spans="1:15" x14ac:dyDescent="0.2">
      <c r="A59" s="30"/>
      <c r="O59" s="30"/>
    </row>
    <row r="64" spans="1:15" ht="13.5" thickBot="1" x14ac:dyDescent="0.25"/>
    <row r="65" spans="1:8" x14ac:dyDescent="0.2">
      <c r="A65" t="s">
        <v>25</v>
      </c>
      <c r="B65" s="16">
        <f>SUM(B39:B64)</f>
        <v>377</v>
      </c>
    </row>
    <row r="66" spans="1:8" x14ac:dyDescent="0.2">
      <c r="F66" s="36" t="s">
        <v>29</v>
      </c>
      <c r="G66" s="17" t="s">
        <v>55</v>
      </c>
    </row>
    <row r="67" spans="1:8" x14ac:dyDescent="0.2">
      <c r="A67" t="s">
        <v>20</v>
      </c>
      <c r="B67">
        <f>MIN('Winter 2016'!$C$9:'Winter 2016'!$C$388)/25*100</f>
        <v>32</v>
      </c>
      <c r="F67" s="48" t="s">
        <v>14</v>
      </c>
      <c r="G67" s="3">
        <f>SUM(B57:B58)/B65*100</f>
        <v>61.007957559681699</v>
      </c>
    </row>
    <row r="68" spans="1:8" x14ac:dyDescent="0.2">
      <c r="A68" t="s">
        <v>21</v>
      </c>
      <c r="B68">
        <f>MAX('Winter 2016'!$C$9:'Winter 2016'!$C$388)/25*100</f>
        <v>100</v>
      </c>
      <c r="F68" s="48" t="s">
        <v>15</v>
      </c>
      <c r="G68" s="3">
        <f>SUM(B55:B56)/B65*100</f>
        <v>17.241379310344829</v>
      </c>
    </row>
    <row r="69" spans="1:8" x14ac:dyDescent="0.2">
      <c r="A69" t="s">
        <v>22</v>
      </c>
      <c r="B69">
        <f>MEDIAN('Winter 2016'!$C$9:'Winter 2016'!$C$388)/25*100</f>
        <v>92</v>
      </c>
      <c r="F69" s="48" t="s">
        <v>16</v>
      </c>
      <c r="G69" s="3">
        <f>SUM(B53:B54)/B65*100</f>
        <v>12.9973474801061</v>
      </c>
    </row>
    <row r="70" spans="1:8" x14ac:dyDescent="0.2">
      <c r="A70" t="s">
        <v>30</v>
      </c>
      <c r="B70" s="3">
        <f>SUMIF('Winter 2016'!$C$9:'Winter 2016'!$C$388,"&gt;0")/COUNTIF('Winter 2016'!$C$9:'Winter 2016'!$C$388,"&gt;0")/25*100</f>
        <v>89.198938992042443</v>
      </c>
      <c r="F70" s="48" t="s">
        <v>18</v>
      </c>
      <c r="G70" s="3">
        <f>SUM(B51:B52)/B65*100</f>
        <v>2.9177718832891246</v>
      </c>
    </row>
    <row r="71" spans="1:8" x14ac:dyDescent="0.2">
      <c r="A71" s="48" t="s">
        <v>72</v>
      </c>
      <c r="B71" s="30">
        <f t="array" ref="B71">SUM(G67:G71*{4;3;2;1;0})/100</f>
        <v>3.2466843501326257</v>
      </c>
      <c r="F71" s="48" t="s">
        <v>27</v>
      </c>
      <c r="G71" s="3">
        <f>SUM(B39:B50)/B65*100</f>
        <v>5.8355437665782492</v>
      </c>
      <c r="H71" s="3">
        <f>SUM(G67:G71)</f>
        <v>100</v>
      </c>
    </row>
    <row r="72" spans="1:8" x14ac:dyDescent="0.2">
      <c r="G72" s="3"/>
    </row>
    <row r="75" spans="1:8" x14ac:dyDescent="0.2">
      <c r="A75" t="s">
        <v>24</v>
      </c>
      <c r="B75" t="s">
        <v>25</v>
      </c>
    </row>
    <row r="76" spans="1:8" x14ac:dyDescent="0.2">
      <c r="A76" s="30">
        <v>1.25</v>
      </c>
      <c r="B76">
        <f t="array" ref="B76:B95">FREQUENCY('Winter 2016'!$D$9:'Winter 2016'!$D$388,A76:A101)</f>
        <v>0</v>
      </c>
      <c r="C76">
        <v>5</v>
      </c>
    </row>
    <row r="77" spans="1:8" x14ac:dyDescent="0.2">
      <c r="A77" s="30">
        <f>1.25+A76</f>
        <v>2.5</v>
      </c>
      <c r="B77">
        <v>0</v>
      </c>
      <c r="C77">
        <f>5+C76</f>
        <v>10</v>
      </c>
    </row>
    <row r="78" spans="1:8" x14ac:dyDescent="0.2">
      <c r="A78" s="30">
        <f t="shared" ref="A78:A95" si="5">1.25+A77</f>
        <v>3.75</v>
      </c>
      <c r="B78">
        <v>0</v>
      </c>
      <c r="C78">
        <f t="shared" ref="C78:C85" si="6">5+C77</f>
        <v>15</v>
      </c>
    </row>
    <row r="79" spans="1:8" x14ac:dyDescent="0.2">
      <c r="A79" s="30">
        <f t="shared" si="5"/>
        <v>5</v>
      </c>
      <c r="B79">
        <v>0</v>
      </c>
      <c r="C79">
        <f t="shared" si="6"/>
        <v>20</v>
      </c>
    </row>
    <row r="80" spans="1:8" x14ac:dyDescent="0.2">
      <c r="A80" s="30">
        <f t="shared" si="5"/>
        <v>6.25</v>
      </c>
      <c r="B80">
        <v>1</v>
      </c>
      <c r="C80">
        <f t="shared" si="6"/>
        <v>25</v>
      </c>
    </row>
    <row r="81" spans="1:3" x14ac:dyDescent="0.2">
      <c r="A81" s="30">
        <f t="shared" si="5"/>
        <v>7.5</v>
      </c>
      <c r="B81">
        <v>0</v>
      </c>
      <c r="C81">
        <f t="shared" si="6"/>
        <v>30</v>
      </c>
    </row>
    <row r="82" spans="1:3" x14ac:dyDescent="0.2">
      <c r="A82" s="30">
        <f t="shared" si="5"/>
        <v>8.75</v>
      </c>
      <c r="B82">
        <v>0</v>
      </c>
      <c r="C82">
        <f t="shared" si="6"/>
        <v>35</v>
      </c>
    </row>
    <row r="83" spans="1:3" x14ac:dyDescent="0.2">
      <c r="A83" s="30">
        <f t="shared" si="5"/>
        <v>10</v>
      </c>
      <c r="B83">
        <v>1</v>
      </c>
      <c r="C83">
        <f t="shared" si="6"/>
        <v>40</v>
      </c>
    </row>
    <row r="84" spans="1:3" x14ac:dyDescent="0.2">
      <c r="A84" s="30">
        <f t="shared" si="5"/>
        <v>11.25</v>
      </c>
      <c r="B84">
        <v>0</v>
      </c>
      <c r="C84">
        <f t="shared" si="6"/>
        <v>45</v>
      </c>
    </row>
    <row r="85" spans="1:3" x14ac:dyDescent="0.2">
      <c r="A85" s="30">
        <f t="shared" si="5"/>
        <v>12.5</v>
      </c>
      <c r="B85">
        <v>2</v>
      </c>
      <c r="C85">
        <f t="shared" si="6"/>
        <v>50</v>
      </c>
    </row>
    <row r="86" spans="1:3" x14ac:dyDescent="0.2">
      <c r="A86" s="30">
        <f t="shared" si="5"/>
        <v>13.75</v>
      </c>
      <c r="B86">
        <v>1</v>
      </c>
      <c r="C86">
        <f>5+C85</f>
        <v>55</v>
      </c>
    </row>
    <row r="87" spans="1:3" x14ac:dyDescent="0.2">
      <c r="A87" s="30">
        <f t="shared" si="5"/>
        <v>15</v>
      </c>
      <c r="B87">
        <v>14</v>
      </c>
      <c r="C87">
        <f t="shared" ref="C87:C94" si="7">5+C86</f>
        <v>60</v>
      </c>
    </row>
    <row r="88" spans="1:3" x14ac:dyDescent="0.2">
      <c r="A88" s="30">
        <f t="shared" si="5"/>
        <v>16.25</v>
      </c>
      <c r="B88">
        <v>9</v>
      </c>
      <c r="C88">
        <f t="shared" si="7"/>
        <v>65</v>
      </c>
    </row>
    <row r="89" spans="1:3" x14ac:dyDescent="0.2">
      <c r="A89" s="30">
        <f t="shared" si="5"/>
        <v>17.5</v>
      </c>
      <c r="B89">
        <v>9</v>
      </c>
      <c r="C89">
        <f t="shared" si="7"/>
        <v>70</v>
      </c>
    </row>
    <row r="90" spans="1:3" x14ac:dyDescent="0.2">
      <c r="A90" s="30">
        <f t="shared" si="5"/>
        <v>18.75</v>
      </c>
      <c r="B90">
        <v>12</v>
      </c>
      <c r="C90">
        <f t="shared" si="7"/>
        <v>75</v>
      </c>
    </row>
    <row r="91" spans="1:3" x14ac:dyDescent="0.2">
      <c r="A91" s="30">
        <f t="shared" si="5"/>
        <v>20</v>
      </c>
      <c r="B91">
        <v>61</v>
      </c>
      <c r="C91">
        <f t="shared" si="7"/>
        <v>80</v>
      </c>
    </row>
    <row r="92" spans="1:3" x14ac:dyDescent="0.2">
      <c r="A92" s="30">
        <f t="shared" si="5"/>
        <v>21.25</v>
      </c>
      <c r="B92">
        <v>46</v>
      </c>
      <c r="C92">
        <f t="shared" si="7"/>
        <v>85</v>
      </c>
    </row>
    <row r="93" spans="1:3" x14ac:dyDescent="0.2">
      <c r="A93" s="30">
        <f t="shared" si="5"/>
        <v>22.5</v>
      </c>
      <c r="B93">
        <v>46</v>
      </c>
      <c r="C93">
        <f t="shared" si="7"/>
        <v>90</v>
      </c>
    </row>
    <row r="94" spans="1:3" x14ac:dyDescent="0.2">
      <c r="A94" s="30">
        <f t="shared" si="5"/>
        <v>23.75</v>
      </c>
      <c r="B94">
        <v>72</v>
      </c>
      <c r="C94">
        <f t="shared" si="7"/>
        <v>95</v>
      </c>
    </row>
    <row r="95" spans="1:3" x14ac:dyDescent="0.2">
      <c r="A95" s="30">
        <f t="shared" si="5"/>
        <v>25</v>
      </c>
      <c r="B95">
        <v>92</v>
      </c>
      <c r="C95">
        <f>5+C94</f>
        <v>100</v>
      </c>
    </row>
    <row r="101" spans="1:8" ht="13.5" thickBot="1" x14ac:dyDescent="0.25"/>
    <row r="102" spans="1:8" x14ac:dyDescent="0.2">
      <c r="A102" t="s">
        <v>25</v>
      </c>
      <c r="B102" s="16">
        <f>SUM(B76:B101)</f>
        <v>366</v>
      </c>
    </row>
    <row r="103" spans="1:8" x14ac:dyDescent="0.2">
      <c r="F103" s="36" t="s">
        <v>29</v>
      </c>
      <c r="G103" s="17" t="s">
        <v>55</v>
      </c>
    </row>
    <row r="104" spans="1:8" x14ac:dyDescent="0.2">
      <c r="A104" t="s">
        <v>20</v>
      </c>
      <c r="B104">
        <f>MIN('Winter 2016'!$D$9:'Winter 2016'!$D$388)/25*100</f>
        <v>24</v>
      </c>
      <c r="F104" s="48" t="s">
        <v>14</v>
      </c>
      <c r="G104" s="3">
        <f>SUM(B94:B95)/B102*100</f>
        <v>44.808743169398909</v>
      </c>
    </row>
    <row r="105" spans="1:8" x14ac:dyDescent="0.2">
      <c r="A105" t="s">
        <v>21</v>
      </c>
      <c r="B105">
        <f>MAX('Winter 2016'!$D$9:'Winter 2016'!$D$388)/25*100</f>
        <v>104</v>
      </c>
      <c r="F105" s="48" t="s">
        <v>15</v>
      </c>
      <c r="G105" s="3">
        <f>SUM(B92:B93)/B102*100</f>
        <v>25.136612021857925</v>
      </c>
    </row>
    <row r="106" spans="1:8" x14ac:dyDescent="0.2">
      <c r="A106" t="s">
        <v>22</v>
      </c>
      <c r="B106">
        <f>MEDIAN('Winter 2016'!$D$9:'Winter 2016'!$D$388)/25*100</f>
        <v>88</v>
      </c>
      <c r="F106" s="48" t="s">
        <v>16</v>
      </c>
      <c r="G106" s="3">
        <f>SUM(B90:B91)/B102*100</f>
        <v>19.94535519125683</v>
      </c>
    </row>
    <row r="107" spans="1:8" x14ac:dyDescent="0.2">
      <c r="A107" t="s">
        <v>30</v>
      </c>
      <c r="B107" s="3">
        <f>SUMIF('Winter 2016'!$D$9:'Winter 2016'!$D$388,"&gt;0")/COUNTIF('Winter 2016'!$D$9:'Winter 2016'!$D$388,"&gt;0")/25*100</f>
        <v>85.734417344173437</v>
      </c>
      <c r="F107" s="48" t="s">
        <v>18</v>
      </c>
      <c r="G107" s="3">
        <f>SUM(B88:B89)/B102*100</f>
        <v>4.918032786885246</v>
      </c>
    </row>
    <row r="108" spans="1:8" x14ac:dyDescent="0.2">
      <c r="A108" s="48" t="s">
        <v>72</v>
      </c>
      <c r="B108" s="30">
        <f t="array" ref="B108">SUM(G104:G108*{4;3;2;1;0})/100</f>
        <v>2.9945355191256828</v>
      </c>
      <c r="F108" s="48" t="s">
        <v>27</v>
      </c>
      <c r="G108" s="3">
        <f>SUM(B76:B87)/B102*100</f>
        <v>5.1912568306010929</v>
      </c>
      <c r="H108" s="3">
        <f>SUM(G104:G108)</f>
        <v>100.00000000000001</v>
      </c>
    </row>
    <row r="109" spans="1:8" x14ac:dyDescent="0.2">
      <c r="G109" s="3"/>
    </row>
    <row r="112" spans="1:8" x14ac:dyDescent="0.2">
      <c r="A112" t="s">
        <v>24</v>
      </c>
      <c r="B112" t="s">
        <v>25</v>
      </c>
    </row>
    <row r="113" spans="1:3" x14ac:dyDescent="0.2">
      <c r="A113" s="30">
        <v>1.25</v>
      </c>
      <c r="B113">
        <f t="array" ref="B113:B132">FREQUENCY('Winter 2016'!$E$9:'Winter 2016'!$E$388,A113:A138)</f>
        <v>0</v>
      </c>
      <c r="C113">
        <v>5</v>
      </c>
    </row>
    <row r="114" spans="1:3" x14ac:dyDescent="0.2">
      <c r="A114" s="30">
        <f>1.25+A113</f>
        <v>2.5</v>
      </c>
      <c r="B114">
        <v>0</v>
      </c>
      <c r="C114">
        <f>5+C113</f>
        <v>10</v>
      </c>
    </row>
    <row r="115" spans="1:3" x14ac:dyDescent="0.2">
      <c r="A115" s="30">
        <f t="shared" ref="A115:A132" si="8">1.25+A114</f>
        <v>3.75</v>
      </c>
      <c r="B115">
        <v>0</v>
      </c>
      <c r="C115">
        <f t="shared" ref="C115:C122" si="9">5+C114</f>
        <v>15</v>
      </c>
    </row>
    <row r="116" spans="1:3" x14ac:dyDescent="0.2">
      <c r="A116" s="30">
        <f t="shared" si="8"/>
        <v>5</v>
      </c>
      <c r="B116">
        <v>0</v>
      </c>
      <c r="C116">
        <f t="shared" si="9"/>
        <v>20</v>
      </c>
    </row>
    <row r="117" spans="1:3" x14ac:dyDescent="0.2">
      <c r="A117" s="30">
        <f t="shared" si="8"/>
        <v>6.25</v>
      </c>
      <c r="B117">
        <v>0</v>
      </c>
      <c r="C117">
        <f t="shared" si="9"/>
        <v>25</v>
      </c>
    </row>
    <row r="118" spans="1:3" x14ac:dyDescent="0.2">
      <c r="A118" s="30">
        <f t="shared" si="8"/>
        <v>7.5</v>
      </c>
      <c r="B118">
        <v>1</v>
      </c>
      <c r="C118">
        <f t="shared" si="9"/>
        <v>30</v>
      </c>
    </row>
    <row r="119" spans="1:3" x14ac:dyDescent="0.2">
      <c r="A119" s="30">
        <f t="shared" si="8"/>
        <v>8.75</v>
      </c>
      <c r="B119">
        <v>0</v>
      </c>
      <c r="C119">
        <f t="shared" si="9"/>
        <v>35</v>
      </c>
    </row>
    <row r="120" spans="1:3" x14ac:dyDescent="0.2">
      <c r="A120" s="30">
        <f t="shared" si="8"/>
        <v>10</v>
      </c>
      <c r="B120">
        <v>3</v>
      </c>
      <c r="C120">
        <f t="shared" si="9"/>
        <v>40</v>
      </c>
    </row>
    <row r="121" spans="1:3" x14ac:dyDescent="0.2">
      <c r="A121" s="30">
        <f t="shared" si="8"/>
        <v>11.25</v>
      </c>
      <c r="B121">
        <v>1</v>
      </c>
      <c r="C121">
        <f t="shared" si="9"/>
        <v>45</v>
      </c>
    </row>
    <row r="122" spans="1:3" x14ac:dyDescent="0.2">
      <c r="A122" s="30">
        <f t="shared" si="8"/>
        <v>12.5</v>
      </c>
      <c r="B122">
        <v>6</v>
      </c>
      <c r="C122">
        <f t="shared" si="9"/>
        <v>50</v>
      </c>
    </row>
    <row r="123" spans="1:3" x14ac:dyDescent="0.2">
      <c r="A123" s="30">
        <f t="shared" si="8"/>
        <v>13.75</v>
      </c>
      <c r="B123">
        <v>3</v>
      </c>
      <c r="C123">
        <f>5+C122</f>
        <v>55</v>
      </c>
    </row>
    <row r="124" spans="1:3" x14ac:dyDescent="0.2">
      <c r="A124" s="30">
        <f t="shared" si="8"/>
        <v>15</v>
      </c>
      <c r="B124">
        <v>16</v>
      </c>
      <c r="C124">
        <f t="shared" ref="C124:C131" si="10">5+C123</f>
        <v>60</v>
      </c>
    </row>
    <row r="125" spans="1:3" x14ac:dyDescent="0.2">
      <c r="A125" s="30">
        <f t="shared" si="8"/>
        <v>16.25</v>
      </c>
      <c r="B125">
        <v>10</v>
      </c>
      <c r="C125">
        <f t="shared" si="10"/>
        <v>65</v>
      </c>
    </row>
    <row r="126" spans="1:3" x14ac:dyDescent="0.2">
      <c r="A126" s="30">
        <f t="shared" si="8"/>
        <v>17.5</v>
      </c>
      <c r="B126">
        <v>14</v>
      </c>
      <c r="C126">
        <f t="shared" si="10"/>
        <v>70</v>
      </c>
    </row>
    <row r="127" spans="1:3" x14ac:dyDescent="0.2">
      <c r="A127" s="30">
        <f t="shared" si="8"/>
        <v>18.75</v>
      </c>
      <c r="B127">
        <v>18</v>
      </c>
      <c r="C127">
        <f t="shared" si="10"/>
        <v>75</v>
      </c>
    </row>
    <row r="128" spans="1:3" x14ac:dyDescent="0.2">
      <c r="A128" s="30">
        <f t="shared" si="8"/>
        <v>20</v>
      </c>
      <c r="B128">
        <v>47</v>
      </c>
      <c r="C128">
        <f t="shared" si="10"/>
        <v>80</v>
      </c>
    </row>
    <row r="129" spans="1:7" x14ac:dyDescent="0.2">
      <c r="A129" s="30">
        <f t="shared" si="8"/>
        <v>21.25</v>
      </c>
      <c r="B129">
        <v>33</v>
      </c>
      <c r="C129">
        <f t="shared" si="10"/>
        <v>85</v>
      </c>
    </row>
    <row r="130" spans="1:7" x14ac:dyDescent="0.2">
      <c r="A130" s="30">
        <f t="shared" si="8"/>
        <v>22.5</v>
      </c>
      <c r="B130">
        <v>45</v>
      </c>
      <c r="C130">
        <f t="shared" si="10"/>
        <v>90</v>
      </c>
    </row>
    <row r="131" spans="1:7" x14ac:dyDescent="0.2">
      <c r="A131" s="30">
        <f t="shared" si="8"/>
        <v>23.75</v>
      </c>
      <c r="B131">
        <v>49</v>
      </c>
      <c r="C131">
        <f t="shared" si="10"/>
        <v>95</v>
      </c>
    </row>
    <row r="132" spans="1:7" x14ac:dyDescent="0.2">
      <c r="A132" s="30">
        <f t="shared" si="8"/>
        <v>25</v>
      </c>
      <c r="B132">
        <v>125</v>
      </c>
      <c r="C132">
        <f>5+C131</f>
        <v>100</v>
      </c>
    </row>
    <row r="138" spans="1:7" ht="13.5" thickBot="1" x14ac:dyDescent="0.25"/>
    <row r="139" spans="1:7" x14ac:dyDescent="0.2">
      <c r="A139" t="s">
        <v>25</v>
      </c>
      <c r="B139" s="16">
        <f>SUM(B113:B138)</f>
        <v>371</v>
      </c>
    </row>
    <row r="140" spans="1:7" x14ac:dyDescent="0.2">
      <c r="F140" s="36" t="s">
        <v>29</v>
      </c>
      <c r="G140" s="17" t="s">
        <v>55</v>
      </c>
    </row>
    <row r="141" spans="1:7" x14ac:dyDescent="0.2">
      <c r="A141" t="s">
        <v>20</v>
      </c>
      <c r="B141">
        <f>MIN('Winter 2016'!$E$9:'Winter 2016'!$E$388)/25*100</f>
        <v>28.000000000000004</v>
      </c>
      <c r="F141" s="48" t="s">
        <v>14</v>
      </c>
      <c r="G141" s="3">
        <f>SUM(B131:B132)/B139*100</f>
        <v>46.900269541778975</v>
      </c>
    </row>
    <row r="142" spans="1:7" x14ac:dyDescent="0.2">
      <c r="A142" t="s">
        <v>21</v>
      </c>
      <c r="B142">
        <f>MAX('Winter 2016'!$E$9:'Winter 2016'!$E$388)/25*100</f>
        <v>100</v>
      </c>
      <c r="F142" s="48" t="s">
        <v>15</v>
      </c>
      <c r="G142" s="3">
        <f>SUM(B129:B130)/B139*100</f>
        <v>21.024258760107816</v>
      </c>
    </row>
    <row r="143" spans="1:7" x14ac:dyDescent="0.2">
      <c r="A143" t="s">
        <v>22</v>
      </c>
      <c r="B143">
        <f>MEDIAN('Winter 2016'!$E$9:'Winter 2016'!$E$388)/25*100</f>
        <v>88</v>
      </c>
      <c r="F143" s="48" t="s">
        <v>16</v>
      </c>
      <c r="G143" s="3">
        <f>SUM(B127:B128)/B139*100</f>
        <v>17.520215633423181</v>
      </c>
    </row>
    <row r="144" spans="1:7" x14ac:dyDescent="0.2">
      <c r="A144" t="s">
        <v>30</v>
      </c>
      <c r="B144" s="3">
        <f>SUMIF('Winter 2016'!$E$9:'Winter 2016'!$E$388,"&gt;0")/COUNTIF('Winter 2016'!$E$9:'Winter 2016'!$E$388,"&gt;0")/25*100</f>
        <v>85.466307277628033</v>
      </c>
      <c r="F144" s="48" t="s">
        <v>18</v>
      </c>
      <c r="G144" s="3">
        <f>SUM(B125:B126)/B139*100</f>
        <v>6.4690026954177897</v>
      </c>
    </row>
    <row r="145" spans="1:8" x14ac:dyDescent="0.2">
      <c r="A145" s="48" t="s">
        <v>72</v>
      </c>
      <c r="B145" s="30">
        <f t="array" ref="B145">SUM(G141:G145*{4;3;2;1;0})/100</f>
        <v>2.9218328840970349</v>
      </c>
      <c r="F145" s="48" t="s">
        <v>27</v>
      </c>
      <c r="G145" s="3">
        <f>SUM(B113:B124)/B139*100</f>
        <v>8.0862533692722369</v>
      </c>
      <c r="H145" s="3">
        <f>SUM(G141:G145)</f>
        <v>100</v>
      </c>
    </row>
    <row r="146" spans="1:8" x14ac:dyDescent="0.2">
      <c r="G146" s="3"/>
    </row>
    <row r="149" spans="1:8" x14ac:dyDescent="0.2">
      <c r="A149" t="s">
        <v>24</v>
      </c>
      <c r="B149" t="s">
        <v>25</v>
      </c>
    </row>
    <row r="150" spans="1:8" x14ac:dyDescent="0.2">
      <c r="A150" s="30">
        <v>1.25</v>
      </c>
      <c r="B150">
        <f t="array" ref="B150:B169">FREQUENCY('Winter 2016'!$F$9:'Winter 2016'!$F$388,A150:A175)</f>
        <v>0</v>
      </c>
      <c r="C150">
        <v>5</v>
      </c>
    </row>
    <row r="151" spans="1:8" x14ac:dyDescent="0.2">
      <c r="A151" s="30">
        <f>1.25+A150</f>
        <v>2.5</v>
      </c>
      <c r="B151">
        <v>0</v>
      </c>
      <c r="C151">
        <f>5+C150</f>
        <v>10</v>
      </c>
    </row>
    <row r="152" spans="1:8" x14ac:dyDescent="0.2">
      <c r="A152" s="30">
        <f t="shared" ref="A152:A169" si="11">1.25+A151</f>
        <v>3.75</v>
      </c>
      <c r="B152">
        <v>1</v>
      </c>
      <c r="C152">
        <f t="shared" ref="C152:C159" si="12">5+C151</f>
        <v>15</v>
      </c>
    </row>
    <row r="153" spans="1:8" x14ac:dyDescent="0.2">
      <c r="A153" s="30">
        <f t="shared" si="11"/>
        <v>5</v>
      </c>
      <c r="B153">
        <v>3</v>
      </c>
      <c r="C153">
        <f t="shared" si="12"/>
        <v>20</v>
      </c>
    </row>
    <row r="154" spans="1:8" x14ac:dyDescent="0.2">
      <c r="A154" s="30">
        <f t="shared" si="11"/>
        <v>6.25</v>
      </c>
      <c r="B154">
        <v>1</v>
      </c>
      <c r="C154">
        <f t="shared" si="12"/>
        <v>25</v>
      </c>
    </row>
    <row r="155" spans="1:8" x14ac:dyDescent="0.2">
      <c r="A155" s="30">
        <f t="shared" si="11"/>
        <v>7.5</v>
      </c>
      <c r="B155">
        <v>3</v>
      </c>
      <c r="C155">
        <f t="shared" si="12"/>
        <v>30</v>
      </c>
    </row>
    <row r="156" spans="1:8" x14ac:dyDescent="0.2">
      <c r="A156" s="30">
        <f t="shared" si="11"/>
        <v>8.75</v>
      </c>
      <c r="B156">
        <v>3</v>
      </c>
      <c r="C156">
        <f t="shared" si="12"/>
        <v>35</v>
      </c>
    </row>
    <row r="157" spans="1:8" x14ac:dyDescent="0.2">
      <c r="A157" s="30">
        <f t="shared" si="11"/>
        <v>10</v>
      </c>
      <c r="B157">
        <v>6</v>
      </c>
      <c r="C157">
        <f t="shared" si="12"/>
        <v>40</v>
      </c>
    </row>
    <row r="158" spans="1:8" x14ac:dyDescent="0.2">
      <c r="A158" s="30">
        <f t="shared" si="11"/>
        <v>11.25</v>
      </c>
      <c r="B158">
        <v>3</v>
      </c>
      <c r="C158">
        <f t="shared" si="12"/>
        <v>45</v>
      </c>
    </row>
    <row r="159" spans="1:8" x14ac:dyDescent="0.2">
      <c r="A159" s="30">
        <f t="shared" si="11"/>
        <v>12.5</v>
      </c>
      <c r="B159">
        <v>9</v>
      </c>
      <c r="C159">
        <f t="shared" si="12"/>
        <v>50</v>
      </c>
    </row>
    <row r="160" spans="1:8" x14ac:dyDescent="0.2">
      <c r="A160" s="30">
        <f t="shared" si="11"/>
        <v>13.75</v>
      </c>
      <c r="B160">
        <v>9</v>
      </c>
      <c r="C160">
        <f>5+C159</f>
        <v>55</v>
      </c>
    </row>
    <row r="161" spans="1:3" x14ac:dyDescent="0.2">
      <c r="A161" s="30">
        <f t="shared" si="11"/>
        <v>15</v>
      </c>
      <c r="B161">
        <v>23</v>
      </c>
      <c r="C161">
        <f t="shared" ref="C161:C168" si="13">5+C160</f>
        <v>60</v>
      </c>
    </row>
    <row r="162" spans="1:3" x14ac:dyDescent="0.2">
      <c r="A162" s="30">
        <f t="shared" si="11"/>
        <v>16.25</v>
      </c>
      <c r="B162">
        <v>19</v>
      </c>
      <c r="C162">
        <f t="shared" si="13"/>
        <v>65</v>
      </c>
    </row>
    <row r="163" spans="1:3" x14ac:dyDescent="0.2">
      <c r="A163" s="30">
        <f t="shared" si="11"/>
        <v>17.5</v>
      </c>
      <c r="B163">
        <v>11</v>
      </c>
      <c r="C163">
        <f t="shared" si="13"/>
        <v>70</v>
      </c>
    </row>
    <row r="164" spans="1:3" x14ac:dyDescent="0.2">
      <c r="A164" s="30">
        <f t="shared" si="11"/>
        <v>18.75</v>
      </c>
      <c r="B164">
        <v>12</v>
      </c>
      <c r="C164">
        <f t="shared" si="13"/>
        <v>75</v>
      </c>
    </row>
    <row r="165" spans="1:3" x14ac:dyDescent="0.2">
      <c r="A165" s="30">
        <f t="shared" si="11"/>
        <v>20</v>
      </c>
      <c r="B165">
        <v>52</v>
      </c>
      <c r="C165">
        <f t="shared" si="13"/>
        <v>80</v>
      </c>
    </row>
    <row r="166" spans="1:3" x14ac:dyDescent="0.2">
      <c r="A166" s="30">
        <f t="shared" si="11"/>
        <v>21.25</v>
      </c>
      <c r="B166">
        <v>35</v>
      </c>
      <c r="C166">
        <f t="shared" si="13"/>
        <v>85</v>
      </c>
    </row>
    <row r="167" spans="1:3" x14ac:dyDescent="0.2">
      <c r="A167" s="30">
        <f t="shared" si="11"/>
        <v>22.5</v>
      </c>
      <c r="B167">
        <v>39</v>
      </c>
      <c r="C167">
        <f t="shared" si="13"/>
        <v>90</v>
      </c>
    </row>
    <row r="168" spans="1:3" x14ac:dyDescent="0.2">
      <c r="A168" s="30">
        <f t="shared" si="11"/>
        <v>23.75</v>
      </c>
      <c r="B168">
        <v>48</v>
      </c>
      <c r="C168">
        <f t="shared" si="13"/>
        <v>95</v>
      </c>
    </row>
    <row r="169" spans="1:3" x14ac:dyDescent="0.2">
      <c r="A169" s="30">
        <f t="shared" si="11"/>
        <v>25</v>
      </c>
      <c r="B169">
        <v>96</v>
      </c>
      <c r="C169">
        <f>5+C168</f>
        <v>100</v>
      </c>
    </row>
    <row r="175" spans="1:3" ht="13.5" thickBot="1" x14ac:dyDescent="0.25"/>
    <row r="176" spans="1:3" x14ac:dyDescent="0.2">
      <c r="A176" t="s">
        <v>25</v>
      </c>
      <c r="B176" s="16">
        <f>SUM(B150:B175)</f>
        <v>373</v>
      </c>
    </row>
    <row r="177" spans="1:8" x14ac:dyDescent="0.2">
      <c r="F177" s="36" t="s">
        <v>29</v>
      </c>
      <c r="G177" s="17" t="s">
        <v>55</v>
      </c>
    </row>
    <row r="178" spans="1:8" x14ac:dyDescent="0.2">
      <c r="A178" t="s">
        <v>20</v>
      </c>
      <c r="B178">
        <f>MIN('Winter 2016'!$F$9:'Winter 2016'!$F$388)/25*100</f>
        <v>12</v>
      </c>
      <c r="F178" s="48" t="s">
        <v>14</v>
      </c>
      <c r="G178" s="3">
        <f>SUM(B168:B169)/B176*100</f>
        <v>38.605898123324394</v>
      </c>
    </row>
    <row r="179" spans="1:8" x14ac:dyDescent="0.2">
      <c r="A179" t="s">
        <v>21</v>
      </c>
      <c r="B179">
        <f>MAX('Winter 2016'!$F$9:'Winter 2016'!$F$388)/25*100</f>
        <v>100</v>
      </c>
      <c r="F179" s="48" t="s">
        <v>15</v>
      </c>
      <c r="G179" s="3">
        <f>SUM(B166:B167)/B176*100</f>
        <v>19.839142091152816</v>
      </c>
    </row>
    <row r="180" spans="1:8" x14ac:dyDescent="0.2">
      <c r="A180" t="s">
        <v>22</v>
      </c>
      <c r="B180">
        <f>MEDIAN('Winter 2016'!$F$9:'Winter 2016'!$F$388)/25*100</f>
        <v>84</v>
      </c>
      <c r="F180" s="48" t="s">
        <v>16</v>
      </c>
      <c r="G180" s="3">
        <f>SUM(B164:B165)/B176*100</f>
        <v>17.158176943699733</v>
      </c>
    </row>
    <row r="181" spans="1:8" x14ac:dyDescent="0.2">
      <c r="A181" t="s">
        <v>30</v>
      </c>
      <c r="B181" s="3">
        <f>SUMIF('Winter 2016'!$F$9:'Winter 2016'!$F$388,"&gt;0")/COUNTIF('Winter 2016'!$F$9:'Winter 2016'!$F$388,"&gt;0")/25*100</f>
        <v>80.41823056300268</v>
      </c>
      <c r="F181" s="48" t="s">
        <v>18</v>
      </c>
      <c r="G181" s="3">
        <f>SUM(B162:B163)/B176*100</f>
        <v>8.0428954423592494</v>
      </c>
    </row>
    <row r="182" spans="1:8" x14ac:dyDescent="0.2">
      <c r="A182" s="48" t="s">
        <v>72</v>
      </c>
      <c r="B182" s="30">
        <f t="array" ref="B182">SUM(G178:G182*{4;3;2;1;0})/100</f>
        <v>2.5630026809651474</v>
      </c>
      <c r="F182" s="48" t="s">
        <v>27</v>
      </c>
      <c r="G182" s="3">
        <f>SUM(B150:B161)/B176*100</f>
        <v>16.353887399463808</v>
      </c>
      <c r="H182" s="3">
        <f>SUM(G178:G182)</f>
        <v>100</v>
      </c>
    </row>
    <row r="183" spans="1:8" x14ac:dyDescent="0.2">
      <c r="G183" s="3"/>
    </row>
    <row r="186" spans="1:8" x14ac:dyDescent="0.2">
      <c r="A186" t="s">
        <v>24</v>
      </c>
      <c r="B186" t="s">
        <v>25</v>
      </c>
    </row>
    <row r="187" spans="1:8" x14ac:dyDescent="0.2">
      <c r="A187" s="30">
        <v>1.25</v>
      </c>
      <c r="B187">
        <f t="array" ref="B187:B206">FREQUENCY('Winter 2016'!$G$9:'Winter 2016'!$G$388,A187:A212)</f>
        <v>3</v>
      </c>
      <c r="C187">
        <v>5</v>
      </c>
    </row>
    <row r="188" spans="1:8" x14ac:dyDescent="0.2">
      <c r="A188" s="30">
        <f>1.25+A187</f>
        <v>2.5</v>
      </c>
      <c r="B188">
        <v>0</v>
      </c>
      <c r="C188">
        <f>5+C187</f>
        <v>10</v>
      </c>
    </row>
    <row r="189" spans="1:8" x14ac:dyDescent="0.2">
      <c r="A189" s="30">
        <f t="shared" ref="A189:A206" si="14">1.25+A188</f>
        <v>3.75</v>
      </c>
      <c r="B189">
        <v>0</v>
      </c>
      <c r="C189">
        <f t="shared" ref="C189:C196" si="15">5+C188</f>
        <v>15</v>
      </c>
    </row>
    <row r="190" spans="1:8" x14ac:dyDescent="0.2">
      <c r="A190" s="30">
        <f t="shared" si="14"/>
        <v>5</v>
      </c>
      <c r="B190">
        <v>0</v>
      </c>
      <c r="C190">
        <f t="shared" si="15"/>
        <v>20</v>
      </c>
    </row>
    <row r="191" spans="1:8" x14ac:dyDescent="0.2">
      <c r="A191" s="30">
        <f t="shared" si="14"/>
        <v>6.25</v>
      </c>
      <c r="B191">
        <v>0</v>
      </c>
      <c r="C191">
        <f t="shared" si="15"/>
        <v>25</v>
      </c>
    </row>
    <row r="192" spans="1:8" x14ac:dyDescent="0.2">
      <c r="A192" s="30">
        <f t="shared" si="14"/>
        <v>7.5</v>
      </c>
      <c r="B192">
        <v>0</v>
      </c>
      <c r="C192">
        <f t="shared" si="15"/>
        <v>30</v>
      </c>
    </row>
    <row r="193" spans="1:3" x14ac:dyDescent="0.2">
      <c r="A193" s="30">
        <f t="shared" si="14"/>
        <v>8.75</v>
      </c>
      <c r="B193">
        <v>8</v>
      </c>
      <c r="C193">
        <f t="shared" si="15"/>
        <v>35</v>
      </c>
    </row>
    <row r="194" spans="1:3" x14ac:dyDescent="0.2">
      <c r="A194" s="30">
        <f t="shared" si="14"/>
        <v>10</v>
      </c>
      <c r="B194">
        <v>6</v>
      </c>
      <c r="C194">
        <f t="shared" si="15"/>
        <v>40</v>
      </c>
    </row>
    <row r="195" spans="1:3" x14ac:dyDescent="0.2">
      <c r="A195" s="30">
        <f t="shared" si="14"/>
        <v>11.25</v>
      </c>
      <c r="B195">
        <v>3</v>
      </c>
      <c r="C195">
        <f t="shared" si="15"/>
        <v>45</v>
      </c>
    </row>
    <row r="196" spans="1:3" x14ac:dyDescent="0.2">
      <c r="A196" s="30">
        <f t="shared" si="14"/>
        <v>12.5</v>
      </c>
      <c r="B196">
        <v>1</v>
      </c>
      <c r="C196">
        <f t="shared" si="15"/>
        <v>50</v>
      </c>
    </row>
    <row r="197" spans="1:3" x14ac:dyDescent="0.2">
      <c r="A197" s="30">
        <f t="shared" si="14"/>
        <v>13.75</v>
      </c>
      <c r="B197">
        <v>1</v>
      </c>
      <c r="C197">
        <f>5+C196</f>
        <v>55</v>
      </c>
    </row>
    <row r="198" spans="1:3" x14ac:dyDescent="0.2">
      <c r="A198" s="30">
        <f t="shared" si="14"/>
        <v>15</v>
      </c>
      <c r="B198">
        <v>0</v>
      </c>
      <c r="C198">
        <f t="shared" ref="C198:C205" si="16">5+C197</f>
        <v>60</v>
      </c>
    </row>
    <row r="199" spans="1:3" x14ac:dyDescent="0.2">
      <c r="A199" s="30">
        <f t="shared" si="14"/>
        <v>16.25</v>
      </c>
      <c r="B199">
        <v>20</v>
      </c>
      <c r="C199">
        <f t="shared" si="16"/>
        <v>65</v>
      </c>
    </row>
    <row r="200" spans="1:3" x14ac:dyDescent="0.2">
      <c r="A200" s="30">
        <f t="shared" si="14"/>
        <v>17.5</v>
      </c>
      <c r="B200">
        <v>10</v>
      </c>
      <c r="C200">
        <f t="shared" si="16"/>
        <v>70</v>
      </c>
    </row>
    <row r="201" spans="1:3" x14ac:dyDescent="0.2">
      <c r="A201" s="30">
        <f t="shared" si="14"/>
        <v>18.75</v>
      </c>
      <c r="B201">
        <v>0</v>
      </c>
      <c r="C201">
        <f t="shared" si="16"/>
        <v>75</v>
      </c>
    </row>
    <row r="202" spans="1:3" x14ac:dyDescent="0.2">
      <c r="A202" s="30">
        <f t="shared" si="14"/>
        <v>20</v>
      </c>
      <c r="B202">
        <v>19</v>
      </c>
      <c r="C202">
        <f t="shared" si="16"/>
        <v>80</v>
      </c>
    </row>
    <row r="203" spans="1:3" x14ac:dyDescent="0.2">
      <c r="A203" s="30">
        <f t="shared" si="14"/>
        <v>21.25</v>
      </c>
      <c r="B203">
        <v>1</v>
      </c>
      <c r="C203">
        <f t="shared" si="16"/>
        <v>85</v>
      </c>
    </row>
    <row r="204" spans="1:3" x14ac:dyDescent="0.2">
      <c r="A204" s="30">
        <f t="shared" si="14"/>
        <v>22.5</v>
      </c>
      <c r="B204">
        <v>0</v>
      </c>
      <c r="C204">
        <f t="shared" si="16"/>
        <v>90</v>
      </c>
    </row>
    <row r="205" spans="1:3" x14ac:dyDescent="0.2">
      <c r="A205" s="30">
        <f t="shared" si="14"/>
        <v>23.75</v>
      </c>
      <c r="B205">
        <v>4</v>
      </c>
      <c r="C205">
        <f t="shared" si="16"/>
        <v>95</v>
      </c>
    </row>
    <row r="206" spans="1:3" x14ac:dyDescent="0.2">
      <c r="A206" s="30">
        <f t="shared" si="14"/>
        <v>25</v>
      </c>
      <c r="B206">
        <v>288</v>
      </c>
      <c r="C206">
        <f>5+C205</f>
        <v>100</v>
      </c>
    </row>
    <row r="212" spans="1:8" ht="13.5" thickBot="1" x14ac:dyDescent="0.25"/>
    <row r="213" spans="1:8" x14ac:dyDescent="0.2">
      <c r="A213" t="s">
        <v>25</v>
      </c>
      <c r="B213" s="16">
        <f>SUM(B187:B212)</f>
        <v>364</v>
      </c>
    </row>
    <row r="214" spans="1:8" x14ac:dyDescent="0.2">
      <c r="F214" s="36" t="s">
        <v>29</v>
      </c>
      <c r="G214" s="17" t="s">
        <v>55</v>
      </c>
    </row>
    <row r="215" spans="1:8" x14ac:dyDescent="0.2">
      <c r="A215" t="s">
        <v>20</v>
      </c>
      <c r="B215">
        <f>MIN('Winter 2016'!$G$9:'Winter 2016'!$G$388)/25*100</f>
        <v>0</v>
      </c>
      <c r="F215" s="48" t="s">
        <v>14</v>
      </c>
      <c r="G215" s="3">
        <f>SUM(B205:B206)/B213*100</f>
        <v>80.219780219780219</v>
      </c>
    </row>
    <row r="216" spans="1:8" x14ac:dyDescent="0.2">
      <c r="A216" t="s">
        <v>21</v>
      </c>
      <c r="B216">
        <f>MAX('Winter 2016'!$G$9:'Winter 2016'!$G$388)/25*100</f>
        <v>100</v>
      </c>
      <c r="F216" s="48" t="s">
        <v>15</v>
      </c>
      <c r="G216" s="3">
        <f>SUM(B203:B204)/B213*100</f>
        <v>0.27472527472527475</v>
      </c>
    </row>
    <row r="217" spans="1:8" x14ac:dyDescent="0.2">
      <c r="A217" t="s">
        <v>22</v>
      </c>
      <c r="B217">
        <f>MEDIAN('Winter 2016'!$G$9:'Winter 2016'!$G$388)/25*100</f>
        <v>100</v>
      </c>
      <c r="F217" s="48" t="s">
        <v>16</v>
      </c>
      <c r="G217" s="3">
        <f>SUM(B201:B202)/B213*100</f>
        <v>5.2197802197802199</v>
      </c>
    </row>
    <row r="218" spans="1:8" x14ac:dyDescent="0.2">
      <c r="A218" t="s">
        <v>30</v>
      </c>
      <c r="B218" s="3">
        <f>SUMIF('Winter 2016'!$G$9:'Winter 2016'!$G$388,"&gt;0")/COUNTIF('Winter 2016'!$G$9:'Winter 2016'!$G$388,"&gt;0")/25*100</f>
        <v>92.48753462603878</v>
      </c>
      <c r="F218" s="48" t="s">
        <v>18</v>
      </c>
      <c r="G218" s="3">
        <f>SUM(B199:B200)/B213*100</f>
        <v>8.2417582417582409</v>
      </c>
    </row>
    <row r="219" spans="1:8" x14ac:dyDescent="0.2">
      <c r="A219" s="48" t="s">
        <v>72</v>
      </c>
      <c r="B219" s="30">
        <f t="array" ref="B219">SUM(G215:G219*{4;3;2;1;0})/100</f>
        <v>3.4038461538461542</v>
      </c>
      <c r="F219" s="48" t="s">
        <v>27</v>
      </c>
      <c r="G219" s="3">
        <f>SUM(B187:B198)/B213*100</f>
        <v>6.0439560439560438</v>
      </c>
      <c r="H219" s="3">
        <f>SUM(G215:G219)</f>
        <v>99.999999999999986</v>
      </c>
    </row>
    <row r="220" spans="1:8" x14ac:dyDescent="0.2">
      <c r="G220" s="3"/>
    </row>
    <row r="223" spans="1:8" x14ac:dyDescent="0.2">
      <c r="A223" t="s">
        <v>24</v>
      </c>
      <c r="B223" t="s">
        <v>25</v>
      </c>
    </row>
    <row r="224" spans="1:8" x14ac:dyDescent="0.2">
      <c r="A224" s="30">
        <v>1.25</v>
      </c>
      <c r="B224">
        <f t="array" ref="B224:B243">FREQUENCY('Winter 2016'!$H$9:'Winter 2016'!$H$388,A224:A249)</f>
        <v>0</v>
      </c>
      <c r="C224">
        <v>5</v>
      </c>
    </row>
    <row r="225" spans="1:3" x14ac:dyDescent="0.2">
      <c r="A225" s="30">
        <f>1.25+A224</f>
        <v>2.5</v>
      </c>
      <c r="B225">
        <v>1</v>
      </c>
      <c r="C225">
        <f>5+C224</f>
        <v>10</v>
      </c>
    </row>
    <row r="226" spans="1:3" x14ac:dyDescent="0.2">
      <c r="A226" s="30">
        <f t="shared" ref="A226:A243" si="17">1.25+A225</f>
        <v>3.75</v>
      </c>
      <c r="B226">
        <v>0</v>
      </c>
      <c r="C226">
        <f t="shared" ref="C226:C233" si="18">5+C225</f>
        <v>15</v>
      </c>
    </row>
    <row r="227" spans="1:3" x14ac:dyDescent="0.2">
      <c r="A227" s="30">
        <f t="shared" si="17"/>
        <v>5</v>
      </c>
      <c r="B227">
        <v>2</v>
      </c>
      <c r="C227">
        <f t="shared" si="18"/>
        <v>20</v>
      </c>
    </row>
    <row r="228" spans="1:3" x14ac:dyDescent="0.2">
      <c r="A228" s="30">
        <f t="shared" si="17"/>
        <v>6.25</v>
      </c>
      <c r="B228">
        <v>1</v>
      </c>
      <c r="C228">
        <f t="shared" si="18"/>
        <v>25</v>
      </c>
    </row>
    <row r="229" spans="1:3" x14ac:dyDescent="0.2">
      <c r="A229" s="30">
        <f t="shared" si="17"/>
        <v>7.5</v>
      </c>
      <c r="B229">
        <v>3</v>
      </c>
      <c r="C229">
        <f t="shared" si="18"/>
        <v>30</v>
      </c>
    </row>
    <row r="230" spans="1:3" x14ac:dyDescent="0.2">
      <c r="A230" s="30">
        <f t="shared" si="17"/>
        <v>8.75</v>
      </c>
      <c r="B230">
        <v>1</v>
      </c>
      <c r="C230">
        <f t="shared" si="18"/>
        <v>35</v>
      </c>
    </row>
    <row r="231" spans="1:3" x14ac:dyDescent="0.2">
      <c r="A231" s="30">
        <f t="shared" si="17"/>
        <v>10</v>
      </c>
      <c r="B231">
        <v>19</v>
      </c>
      <c r="C231">
        <f t="shared" si="18"/>
        <v>40</v>
      </c>
    </row>
    <row r="232" spans="1:3" x14ac:dyDescent="0.2">
      <c r="A232" s="30">
        <f t="shared" si="17"/>
        <v>11.25</v>
      </c>
      <c r="B232">
        <v>8</v>
      </c>
      <c r="C232">
        <f t="shared" si="18"/>
        <v>45</v>
      </c>
    </row>
    <row r="233" spans="1:3" x14ac:dyDescent="0.2">
      <c r="A233" s="30">
        <f t="shared" si="17"/>
        <v>12.5</v>
      </c>
      <c r="B233">
        <v>22</v>
      </c>
      <c r="C233">
        <f t="shared" si="18"/>
        <v>50</v>
      </c>
    </row>
    <row r="234" spans="1:3" x14ac:dyDescent="0.2">
      <c r="A234" s="30">
        <f t="shared" si="17"/>
        <v>13.75</v>
      </c>
      <c r="B234">
        <v>5</v>
      </c>
      <c r="C234">
        <f>5+C233</f>
        <v>55</v>
      </c>
    </row>
    <row r="235" spans="1:3" x14ac:dyDescent="0.2">
      <c r="A235" s="30">
        <f t="shared" si="17"/>
        <v>15</v>
      </c>
      <c r="B235">
        <v>62</v>
      </c>
      <c r="C235">
        <f t="shared" ref="C235:C242" si="19">5+C234</f>
        <v>60</v>
      </c>
    </row>
    <row r="236" spans="1:3" x14ac:dyDescent="0.2">
      <c r="A236" s="30">
        <f t="shared" si="17"/>
        <v>16.25</v>
      </c>
      <c r="B236">
        <v>3</v>
      </c>
      <c r="C236">
        <f t="shared" si="19"/>
        <v>65</v>
      </c>
    </row>
    <row r="237" spans="1:3" x14ac:dyDescent="0.2">
      <c r="A237" s="30">
        <f t="shared" si="17"/>
        <v>17.5</v>
      </c>
      <c r="B237">
        <v>7</v>
      </c>
      <c r="C237">
        <f t="shared" si="19"/>
        <v>70</v>
      </c>
    </row>
    <row r="238" spans="1:3" x14ac:dyDescent="0.2">
      <c r="A238" s="30">
        <f t="shared" si="17"/>
        <v>18.75</v>
      </c>
      <c r="B238">
        <v>1</v>
      </c>
      <c r="C238">
        <f t="shared" si="19"/>
        <v>75</v>
      </c>
    </row>
    <row r="239" spans="1:3" x14ac:dyDescent="0.2">
      <c r="A239" s="30">
        <f t="shared" si="17"/>
        <v>20</v>
      </c>
      <c r="B239">
        <v>28</v>
      </c>
      <c r="C239">
        <f t="shared" si="19"/>
        <v>80</v>
      </c>
    </row>
    <row r="240" spans="1:3" x14ac:dyDescent="0.2">
      <c r="A240" s="30">
        <f t="shared" si="17"/>
        <v>21.25</v>
      </c>
      <c r="B240">
        <v>8</v>
      </c>
      <c r="C240">
        <f t="shared" si="19"/>
        <v>85</v>
      </c>
    </row>
    <row r="241" spans="1:7" x14ac:dyDescent="0.2">
      <c r="A241" s="30">
        <f t="shared" si="17"/>
        <v>22.5</v>
      </c>
      <c r="B241">
        <v>26</v>
      </c>
      <c r="C241">
        <f t="shared" si="19"/>
        <v>90</v>
      </c>
    </row>
    <row r="242" spans="1:7" x14ac:dyDescent="0.2">
      <c r="A242" s="30">
        <f t="shared" si="17"/>
        <v>23.75</v>
      </c>
      <c r="B242">
        <v>14</v>
      </c>
      <c r="C242">
        <f t="shared" si="19"/>
        <v>95</v>
      </c>
    </row>
    <row r="243" spans="1:7" x14ac:dyDescent="0.2">
      <c r="A243" s="30">
        <f t="shared" si="17"/>
        <v>25</v>
      </c>
      <c r="B243">
        <v>143</v>
      </c>
      <c r="C243">
        <f>5+C242</f>
        <v>100</v>
      </c>
    </row>
    <row r="250" spans="1:7" ht="13.5" thickBot="1" x14ac:dyDescent="0.25"/>
    <row r="251" spans="1:7" x14ac:dyDescent="0.2">
      <c r="A251" t="s">
        <v>25</v>
      </c>
      <c r="B251" s="16">
        <f>SUM(B224:B249)</f>
        <v>354</v>
      </c>
    </row>
    <row r="252" spans="1:7" x14ac:dyDescent="0.2">
      <c r="F252" s="36" t="s">
        <v>29</v>
      </c>
      <c r="G252" s="17" t="s">
        <v>55</v>
      </c>
    </row>
    <row r="253" spans="1:7" x14ac:dyDescent="0.2">
      <c r="A253" t="s">
        <v>20</v>
      </c>
      <c r="B253">
        <f>MIN('Winter 2016'!$H$9:'Winter 2016'!$H$388)/25*100</f>
        <v>8</v>
      </c>
      <c r="F253" s="48" t="s">
        <v>14</v>
      </c>
      <c r="G253" s="3">
        <f>SUM(B242:B243)/B251*100</f>
        <v>44.350282485875709</v>
      </c>
    </row>
    <row r="254" spans="1:7" x14ac:dyDescent="0.2">
      <c r="A254" t="s">
        <v>21</v>
      </c>
      <c r="B254">
        <f>MAX('Winter 2016'!$H$9:'Winter 2016'!$H$388)/25*100</f>
        <v>100</v>
      </c>
      <c r="F254" s="48" t="s">
        <v>15</v>
      </c>
      <c r="G254" s="3">
        <f>SUM(B240:B241)/B251*100</f>
        <v>9.6045197740112993</v>
      </c>
    </row>
    <row r="255" spans="1:7" x14ac:dyDescent="0.2">
      <c r="A255" t="s">
        <v>22</v>
      </c>
      <c r="B255">
        <f>MEDIAN('Winter 2016'!$H$9:'Winter 2016'!$H$388)/25*100</f>
        <v>88</v>
      </c>
      <c r="F255" s="48" t="s">
        <v>16</v>
      </c>
      <c r="G255" s="3">
        <f>SUM(B238:B239)/B251*100</f>
        <v>8.1920903954802249</v>
      </c>
    </row>
    <row r="256" spans="1:7" x14ac:dyDescent="0.2">
      <c r="A256" t="s">
        <v>30</v>
      </c>
      <c r="B256" s="3">
        <f>SUMIF('Winter 2016'!$H$9:'Winter 2016'!$H$388,"&gt;0")/COUNTIF('Winter 2016'!$H$9:'Winter 2016'!$H$388,"&gt;0")/25*100</f>
        <v>76.836158192090394</v>
      </c>
      <c r="F256" s="48" t="s">
        <v>18</v>
      </c>
      <c r="G256" s="3">
        <f>SUM(B236:B237)/B251*100</f>
        <v>2.8248587570621471</v>
      </c>
    </row>
    <row r="257" spans="1:8" x14ac:dyDescent="0.2">
      <c r="A257" s="48" t="s">
        <v>72</v>
      </c>
      <c r="B257" s="30">
        <f t="array" ref="B257">SUM(G253:G257*{4;3;2;1;0})/100</f>
        <v>2.254237288135593</v>
      </c>
      <c r="F257" s="48" t="s">
        <v>27</v>
      </c>
      <c r="G257" s="3">
        <f>SUM(B224:B235)/B251*100</f>
        <v>35.028248587570623</v>
      </c>
      <c r="H257" s="3">
        <f>SUM(G253:G257)</f>
        <v>100</v>
      </c>
    </row>
    <row r="258" spans="1:8" x14ac:dyDescent="0.2">
      <c r="G258" s="3"/>
    </row>
    <row r="261" spans="1:8" x14ac:dyDescent="0.2">
      <c r="A261" t="s">
        <v>24</v>
      </c>
      <c r="B261" t="s">
        <v>25</v>
      </c>
    </row>
    <row r="262" spans="1:8" x14ac:dyDescent="0.2">
      <c r="A262" s="30">
        <v>1.25</v>
      </c>
      <c r="B262">
        <f t="array" ref="B262:B281">FREQUENCY('Winter 2016'!$I$9:'Winter 2016'!$I$388,A262:A287)</f>
        <v>0</v>
      </c>
      <c r="C262">
        <v>5</v>
      </c>
    </row>
    <row r="263" spans="1:8" x14ac:dyDescent="0.2">
      <c r="A263" s="30">
        <f>1.25+A262</f>
        <v>2.5</v>
      </c>
      <c r="B263">
        <v>0</v>
      </c>
      <c r="C263">
        <f>5+C262</f>
        <v>10</v>
      </c>
    </row>
    <row r="264" spans="1:8" x14ac:dyDescent="0.2">
      <c r="A264" s="30">
        <f t="shared" ref="A264:A281" si="20">1.25+A263</f>
        <v>3.75</v>
      </c>
      <c r="B264">
        <v>0</v>
      </c>
      <c r="C264">
        <f t="shared" ref="C264:C271" si="21">5+C263</f>
        <v>15</v>
      </c>
    </row>
    <row r="265" spans="1:8" x14ac:dyDescent="0.2">
      <c r="A265" s="30">
        <f t="shared" si="20"/>
        <v>5</v>
      </c>
      <c r="B265">
        <v>2</v>
      </c>
      <c r="C265">
        <f t="shared" si="21"/>
        <v>20</v>
      </c>
    </row>
    <row r="266" spans="1:8" x14ac:dyDescent="0.2">
      <c r="A266" s="30">
        <f t="shared" si="20"/>
        <v>6.25</v>
      </c>
      <c r="B266">
        <v>0</v>
      </c>
      <c r="C266">
        <f t="shared" si="21"/>
        <v>25</v>
      </c>
    </row>
    <row r="267" spans="1:8" x14ac:dyDescent="0.2">
      <c r="A267" s="30">
        <f t="shared" si="20"/>
        <v>7.5</v>
      </c>
      <c r="B267">
        <v>1</v>
      </c>
      <c r="C267">
        <f t="shared" si="21"/>
        <v>30</v>
      </c>
    </row>
    <row r="268" spans="1:8" x14ac:dyDescent="0.2">
      <c r="A268" s="30">
        <f t="shared" si="20"/>
        <v>8.75</v>
      </c>
      <c r="B268">
        <v>0</v>
      </c>
      <c r="C268">
        <f t="shared" si="21"/>
        <v>35</v>
      </c>
    </row>
    <row r="269" spans="1:8" x14ac:dyDescent="0.2">
      <c r="A269" s="30">
        <f t="shared" si="20"/>
        <v>10</v>
      </c>
      <c r="B269">
        <v>0</v>
      </c>
      <c r="C269">
        <f t="shared" si="21"/>
        <v>40</v>
      </c>
    </row>
    <row r="270" spans="1:8" x14ac:dyDescent="0.2">
      <c r="A270" s="30">
        <f t="shared" si="20"/>
        <v>11.25</v>
      </c>
      <c r="B270">
        <v>3</v>
      </c>
      <c r="C270">
        <f t="shared" si="21"/>
        <v>45</v>
      </c>
    </row>
    <row r="271" spans="1:8" x14ac:dyDescent="0.2">
      <c r="A271" s="30">
        <f t="shared" si="20"/>
        <v>12.5</v>
      </c>
      <c r="B271">
        <v>4</v>
      </c>
      <c r="C271">
        <f t="shared" si="21"/>
        <v>50</v>
      </c>
    </row>
    <row r="272" spans="1:8" x14ac:dyDescent="0.2">
      <c r="A272" s="30">
        <f t="shared" si="20"/>
        <v>13.75</v>
      </c>
      <c r="B272">
        <v>1</v>
      </c>
      <c r="C272">
        <f>5+C271</f>
        <v>55</v>
      </c>
    </row>
    <row r="273" spans="1:3" x14ac:dyDescent="0.2">
      <c r="A273" s="30">
        <f t="shared" si="20"/>
        <v>15</v>
      </c>
      <c r="B273">
        <v>2</v>
      </c>
      <c r="C273">
        <f t="shared" ref="C273:C280" si="22">5+C272</f>
        <v>60</v>
      </c>
    </row>
    <row r="274" spans="1:3" x14ac:dyDescent="0.2">
      <c r="A274" s="30">
        <f t="shared" si="20"/>
        <v>16.25</v>
      </c>
      <c r="B274">
        <v>3</v>
      </c>
      <c r="C274">
        <f t="shared" si="22"/>
        <v>65</v>
      </c>
    </row>
    <row r="275" spans="1:3" x14ac:dyDescent="0.2">
      <c r="A275" s="30">
        <f t="shared" si="20"/>
        <v>17.5</v>
      </c>
      <c r="B275">
        <v>8</v>
      </c>
      <c r="C275">
        <f t="shared" si="22"/>
        <v>70</v>
      </c>
    </row>
    <row r="276" spans="1:3" x14ac:dyDescent="0.2">
      <c r="A276" s="30">
        <f t="shared" si="20"/>
        <v>18.75</v>
      </c>
      <c r="B276">
        <v>9</v>
      </c>
      <c r="C276">
        <f t="shared" si="22"/>
        <v>75</v>
      </c>
    </row>
    <row r="277" spans="1:3" x14ac:dyDescent="0.2">
      <c r="A277" s="30">
        <f t="shared" si="20"/>
        <v>20</v>
      </c>
      <c r="B277">
        <v>18</v>
      </c>
      <c r="C277">
        <f t="shared" si="22"/>
        <v>80</v>
      </c>
    </row>
    <row r="278" spans="1:3" x14ac:dyDescent="0.2">
      <c r="A278" s="30">
        <f t="shared" si="20"/>
        <v>21.25</v>
      </c>
      <c r="B278">
        <v>21</v>
      </c>
      <c r="C278">
        <f t="shared" si="22"/>
        <v>85</v>
      </c>
    </row>
    <row r="279" spans="1:3" x14ac:dyDescent="0.2">
      <c r="A279" s="30">
        <f t="shared" si="20"/>
        <v>22.5</v>
      </c>
      <c r="B279">
        <v>15</v>
      </c>
      <c r="C279">
        <f t="shared" si="22"/>
        <v>90</v>
      </c>
    </row>
    <row r="280" spans="1:3" x14ac:dyDescent="0.2">
      <c r="A280" s="30">
        <f t="shared" si="20"/>
        <v>23.75</v>
      </c>
      <c r="B280">
        <v>58</v>
      </c>
      <c r="C280">
        <f t="shared" si="22"/>
        <v>95</v>
      </c>
    </row>
    <row r="281" spans="1:3" x14ac:dyDescent="0.2">
      <c r="A281" s="30">
        <f t="shared" si="20"/>
        <v>25</v>
      </c>
      <c r="B281">
        <v>210</v>
      </c>
      <c r="C281">
        <f>5+C280</f>
        <v>100</v>
      </c>
    </row>
    <row r="287" spans="1:3" ht="13.5" thickBot="1" x14ac:dyDescent="0.25"/>
    <row r="288" spans="1:3" x14ac:dyDescent="0.2">
      <c r="A288" t="s">
        <v>25</v>
      </c>
      <c r="B288" s="16">
        <f>SUM(B262:B287)</f>
        <v>355</v>
      </c>
    </row>
    <row r="289" spans="1:8" x14ac:dyDescent="0.2">
      <c r="F289" s="36" t="s">
        <v>29</v>
      </c>
      <c r="G289" s="17" t="s">
        <v>55</v>
      </c>
    </row>
    <row r="290" spans="1:8" x14ac:dyDescent="0.2">
      <c r="A290" t="s">
        <v>20</v>
      </c>
      <c r="B290">
        <f>MIN('Winter 2016'!$I$9:'Winter 2016'!$I$388)/25*100</f>
        <v>20</v>
      </c>
      <c r="F290" s="48" t="s">
        <v>14</v>
      </c>
      <c r="G290" s="3">
        <f>SUM(B280:B281)/B288*100</f>
        <v>75.492957746478879</v>
      </c>
    </row>
    <row r="291" spans="1:8" x14ac:dyDescent="0.2">
      <c r="A291" t="s">
        <v>21</v>
      </c>
      <c r="B291">
        <f>MAX('Winter 2016'!$I$9:'Winter 2016'!$I$388)/25*100</f>
        <v>104</v>
      </c>
      <c r="F291" s="48" t="s">
        <v>15</v>
      </c>
      <c r="G291" s="3">
        <f>SUM(B278:B279)/B288*100</f>
        <v>10.140845070422536</v>
      </c>
    </row>
    <row r="292" spans="1:8" x14ac:dyDescent="0.2">
      <c r="A292" t="s">
        <v>22</v>
      </c>
      <c r="B292">
        <f>MEDIAN('Winter 2016'!$I$9:'Winter 2016'!$I$388)/25*100</f>
        <v>100</v>
      </c>
      <c r="F292" s="48" t="s">
        <v>16</v>
      </c>
      <c r="G292" s="3">
        <f>SUM(B276:B277)/B288*100</f>
        <v>7.605633802816901</v>
      </c>
    </row>
    <row r="293" spans="1:8" x14ac:dyDescent="0.2">
      <c r="A293" t="s">
        <v>30</v>
      </c>
      <c r="B293" s="3">
        <f>SUMIF('Winter 2016'!$I$9:'Winter 2016'!$I$388,"&gt;0")/COUNTIF('Winter 2016'!$I$9:'Winter 2016'!$I$388,"&gt;0")/25*100</f>
        <v>91.977528089887642</v>
      </c>
      <c r="F293" s="48" t="s">
        <v>18</v>
      </c>
      <c r="G293" s="3">
        <f>SUM(B274:B275)/B288*100</f>
        <v>3.0985915492957745</v>
      </c>
    </row>
    <row r="294" spans="1:8" x14ac:dyDescent="0.2">
      <c r="A294" s="48" t="s">
        <v>72</v>
      </c>
      <c r="B294" s="30">
        <f t="array" ref="B294">SUM(G290:G294*{4;3;2;1;0})/100</f>
        <v>3.5070422535211265</v>
      </c>
      <c r="F294" s="48" t="s">
        <v>27</v>
      </c>
      <c r="G294" s="3">
        <f>SUM(B262:B273)/B288*100</f>
        <v>3.6619718309859155</v>
      </c>
      <c r="H294" s="3">
        <f>SUM(G290:G294)</f>
        <v>100</v>
      </c>
    </row>
    <row r="295" spans="1:8" x14ac:dyDescent="0.2">
      <c r="G295" s="3"/>
    </row>
    <row r="299" spans="1:8" x14ac:dyDescent="0.2">
      <c r="A299" s="48" t="s">
        <v>55</v>
      </c>
      <c r="B299" t="s">
        <v>25</v>
      </c>
    </row>
    <row r="300" spans="1:8" x14ac:dyDescent="0.2">
      <c r="A300">
        <v>0</v>
      </c>
      <c r="B300">
        <f t="array" ref="B300:B320">FREQUENCY('Winter 2016'!AL9:AL388,A300:A320)</f>
        <v>0</v>
      </c>
      <c r="C300" s="3"/>
    </row>
    <row r="301" spans="1:8" x14ac:dyDescent="0.2">
      <c r="A301">
        <f>5+A300</f>
        <v>5</v>
      </c>
      <c r="B301">
        <v>1</v>
      </c>
      <c r="C301" s="3"/>
    </row>
    <row r="302" spans="1:8" x14ac:dyDescent="0.2">
      <c r="A302">
        <f t="shared" ref="A302:A319" si="23">5+A301</f>
        <v>10</v>
      </c>
      <c r="B302">
        <v>1</v>
      </c>
      <c r="C302" s="3"/>
    </row>
    <row r="303" spans="1:8" x14ac:dyDescent="0.2">
      <c r="A303">
        <f t="shared" si="23"/>
        <v>15</v>
      </c>
      <c r="B303">
        <v>0</v>
      </c>
      <c r="C303" s="3"/>
    </row>
    <row r="304" spans="1:8" x14ac:dyDescent="0.2">
      <c r="A304">
        <f t="shared" si="23"/>
        <v>20</v>
      </c>
      <c r="B304">
        <v>1</v>
      </c>
      <c r="C304" s="3"/>
    </row>
    <row r="305" spans="1:3" x14ac:dyDescent="0.2">
      <c r="A305">
        <f t="shared" si="23"/>
        <v>25</v>
      </c>
      <c r="B305">
        <v>1</v>
      </c>
      <c r="C305" s="3"/>
    </row>
    <row r="306" spans="1:3" x14ac:dyDescent="0.2">
      <c r="A306">
        <f t="shared" si="23"/>
        <v>30</v>
      </c>
      <c r="B306">
        <v>4</v>
      </c>
      <c r="C306" s="3"/>
    </row>
    <row r="307" spans="1:3" x14ac:dyDescent="0.2">
      <c r="A307">
        <f t="shared" si="23"/>
        <v>35</v>
      </c>
      <c r="B307">
        <v>1</v>
      </c>
      <c r="C307" s="3"/>
    </row>
    <row r="308" spans="1:3" x14ac:dyDescent="0.2">
      <c r="A308">
        <f t="shared" si="23"/>
        <v>40</v>
      </c>
      <c r="B308">
        <v>1</v>
      </c>
      <c r="C308" s="3"/>
    </row>
    <row r="309" spans="1:3" x14ac:dyDescent="0.2">
      <c r="A309">
        <f t="shared" si="23"/>
        <v>45</v>
      </c>
      <c r="B309">
        <v>2</v>
      </c>
      <c r="C309" s="3"/>
    </row>
    <row r="310" spans="1:3" x14ac:dyDescent="0.2">
      <c r="A310">
        <f t="shared" si="23"/>
        <v>50</v>
      </c>
      <c r="B310">
        <v>3</v>
      </c>
      <c r="C310" s="3"/>
    </row>
    <row r="311" spans="1:3" x14ac:dyDescent="0.2">
      <c r="A311">
        <f t="shared" si="23"/>
        <v>55</v>
      </c>
      <c r="B311">
        <v>4</v>
      </c>
      <c r="C311" s="3"/>
    </row>
    <row r="312" spans="1:3" x14ac:dyDescent="0.2">
      <c r="A312">
        <f t="shared" si="23"/>
        <v>60</v>
      </c>
      <c r="B312">
        <v>6</v>
      </c>
      <c r="C312" s="3"/>
    </row>
    <row r="313" spans="1:3" x14ac:dyDescent="0.2">
      <c r="A313">
        <f t="shared" si="23"/>
        <v>65</v>
      </c>
      <c r="B313">
        <v>10</v>
      </c>
      <c r="C313" s="3"/>
    </row>
    <row r="314" spans="1:3" x14ac:dyDescent="0.2">
      <c r="A314">
        <f t="shared" si="23"/>
        <v>70</v>
      </c>
      <c r="B314">
        <v>14</v>
      </c>
      <c r="C314" s="3"/>
    </row>
    <row r="315" spans="1:3" x14ac:dyDescent="0.2">
      <c r="A315">
        <f t="shared" si="23"/>
        <v>75</v>
      </c>
      <c r="B315">
        <v>27</v>
      </c>
      <c r="C315" s="3"/>
    </row>
    <row r="316" spans="1:3" x14ac:dyDescent="0.2">
      <c r="A316">
        <f t="shared" si="23"/>
        <v>80</v>
      </c>
      <c r="B316">
        <v>32</v>
      </c>
      <c r="C316" s="3"/>
    </row>
    <row r="317" spans="1:3" x14ac:dyDescent="0.2">
      <c r="A317">
        <f t="shared" si="23"/>
        <v>85</v>
      </c>
      <c r="B317">
        <v>51</v>
      </c>
      <c r="C317" s="3"/>
    </row>
    <row r="318" spans="1:3" x14ac:dyDescent="0.2">
      <c r="A318">
        <f t="shared" si="23"/>
        <v>90</v>
      </c>
      <c r="B318">
        <v>71</v>
      </c>
      <c r="C318" s="3"/>
    </row>
    <row r="319" spans="1:3" x14ac:dyDescent="0.2">
      <c r="A319">
        <f t="shared" si="23"/>
        <v>95</v>
      </c>
      <c r="B319">
        <v>101</v>
      </c>
      <c r="C319" s="3"/>
    </row>
    <row r="320" spans="1:3" ht="13.5" thickBot="1" x14ac:dyDescent="0.25">
      <c r="A320" s="48">
        <f>5+A319</f>
        <v>100</v>
      </c>
      <c r="B320">
        <v>48</v>
      </c>
      <c r="C320" s="3"/>
    </row>
    <row r="321" spans="1:8" x14ac:dyDescent="0.2">
      <c r="A321" t="s">
        <v>25</v>
      </c>
      <c r="B321" s="16">
        <f>SUM(B300:B320)</f>
        <v>379</v>
      </c>
    </row>
    <row r="322" spans="1:8" x14ac:dyDescent="0.2">
      <c r="F322" s="36" t="s">
        <v>29</v>
      </c>
      <c r="G322" s="17" t="s">
        <v>55</v>
      </c>
    </row>
    <row r="323" spans="1:8" x14ac:dyDescent="0.2">
      <c r="A323" t="s">
        <v>20</v>
      </c>
      <c r="B323" s="80">
        <f>MIN('Winter 2016'!$AL$9:'Winter 2016'!$AL$388)</f>
        <v>5</v>
      </c>
      <c r="F323" s="48" t="s">
        <v>14</v>
      </c>
      <c r="G323" s="3">
        <f>SUM(B319:B320)/B321*100</f>
        <v>39.313984168865431</v>
      </c>
    </row>
    <row r="324" spans="1:8" x14ac:dyDescent="0.2">
      <c r="A324" t="s">
        <v>21</v>
      </c>
      <c r="B324" s="80">
        <f>MAX('Winter 2016'!$AL$9:'Winter 2016'!$AL$388)</f>
        <v>99.5</v>
      </c>
      <c r="F324" s="48" t="s">
        <v>15</v>
      </c>
      <c r="G324" s="3">
        <f>SUM(B317:B318)/B321*100</f>
        <v>32.189973614775724</v>
      </c>
    </row>
    <row r="325" spans="1:8" x14ac:dyDescent="0.2">
      <c r="A325" t="s">
        <v>22</v>
      </c>
      <c r="B325" s="80">
        <f>MEDIAN('Winter 2016'!$AL$9:'Winter 2016'!$AL$388)</f>
        <v>87.5</v>
      </c>
      <c r="F325" s="48" t="s">
        <v>16</v>
      </c>
      <c r="G325" s="3">
        <f>SUM(B315:B316)/B321*100</f>
        <v>15.567282321899736</v>
      </c>
    </row>
    <row r="326" spans="1:8" x14ac:dyDescent="0.2">
      <c r="A326" t="s">
        <v>30</v>
      </c>
      <c r="B326" s="80">
        <f>SUMIF('Winter 2016'!$AL$9:'Winter 2016'!$AL$388,"&gt;0")/COUNTIF('Winter 2016'!$AL$9:'Winter 2016'!$AL$388,"&gt;0")</f>
        <v>83.294195250659627</v>
      </c>
      <c r="F326" s="48" t="s">
        <v>18</v>
      </c>
      <c r="G326" s="3">
        <f>SUM(B313:B314)/B321*100</f>
        <v>6.3324538258575203</v>
      </c>
    </row>
    <row r="327" spans="1:8" x14ac:dyDescent="0.2">
      <c r="A327" s="48" t="s">
        <v>72</v>
      </c>
      <c r="B327" s="30">
        <f t="array" ref="B327">SUM(G323:G327*{4;3;2;1;0})/100</f>
        <v>2.9129287598944584</v>
      </c>
      <c r="F327" s="48" t="s">
        <v>27</v>
      </c>
      <c r="G327" s="3">
        <f>SUM(B300:B312)/B321*100</f>
        <v>6.5963060686015833</v>
      </c>
      <c r="H327" s="3">
        <f>SUM(G323:G327)</f>
        <v>99.999999999999986</v>
      </c>
    </row>
    <row r="328" spans="1:8" x14ac:dyDescent="0.2">
      <c r="G328" s="3"/>
    </row>
  </sheetData>
  <phoneticPr fontId="5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rowBreaks count="7" manualBreakCount="7">
    <brk id="37" max="65535" man="1"/>
    <brk id="74" max="65535" man="1"/>
    <brk id="111" max="65535" man="1"/>
    <brk id="148" max="65535" man="1"/>
    <brk id="186" max="65535" man="1"/>
    <brk id="223" max="65535" man="1"/>
    <brk id="261" max="65535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35"/>
  <sheetViews>
    <sheetView topLeftCell="A158" workbookViewId="0">
      <selection activeCell="B231" sqref="B231"/>
    </sheetView>
  </sheetViews>
  <sheetFormatPr defaultRowHeight="12.75" x14ac:dyDescent="0.2"/>
  <cols>
    <col min="2" max="2" width="9.140625" style="17"/>
  </cols>
  <sheetData>
    <row r="1" spans="1:3" x14ac:dyDescent="0.2">
      <c r="A1" s="17" t="s">
        <v>24</v>
      </c>
      <c r="B1" s="17" t="s">
        <v>25</v>
      </c>
    </row>
    <row r="2" spans="1:3" x14ac:dyDescent="0.2">
      <c r="A2" s="60">
        <v>1.5</v>
      </c>
      <c r="B2" s="17">
        <f t="array" ref="B2:B22">FREQUENCY('Winter 2016'!$J$9:$J$388,Programs!A2:A24)</f>
        <v>0</v>
      </c>
      <c r="C2">
        <v>5</v>
      </c>
    </row>
    <row r="3" spans="1:3" x14ac:dyDescent="0.2">
      <c r="A3" s="60">
        <f>1.5+A2</f>
        <v>3</v>
      </c>
      <c r="B3" s="17">
        <v>0</v>
      </c>
      <c r="C3">
        <f>5+C2</f>
        <v>10</v>
      </c>
    </row>
    <row r="4" spans="1:3" x14ac:dyDescent="0.2">
      <c r="A4" s="60">
        <f t="shared" ref="A4:A21" si="0">1.5+A3</f>
        <v>4.5</v>
      </c>
      <c r="B4" s="17">
        <v>0</v>
      </c>
      <c r="C4">
        <f t="shared" ref="C4:C21" si="1">5+C3</f>
        <v>15</v>
      </c>
    </row>
    <row r="5" spans="1:3" x14ac:dyDescent="0.2">
      <c r="A5" s="60">
        <f t="shared" si="0"/>
        <v>6</v>
      </c>
      <c r="B5" s="17">
        <v>0</v>
      </c>
      <c r="C5">
        <f t="shared" si="1"/>
        <v>20</v>
      </c>
    </row>
    <row r="6" spans="1:3" x14ac:dyDescent="0.2">
      <c r="A6" s="60">
        <f t="shared" si="0"/>
        <v>7.5</v>
      </c>
      <c r="B6" s="17">
        <v>0</v>
      </c>
      <c r="C6">
        <f t="shared" si="1"/>
        <v>25</v>
      </c>
    </row>
    <row r="7" spans="1:3" x14ac:dyDescent="0.2">
      <c r="A7" s="60">
        <f t="shared" si="0"/>
        <v>9</v>
      </c>
      <c r="B7" s="17">
        <v>0</v>
      </c>
      <c r="C7">
        <f t="shared" si="1"/>
        <v>30</v>
      </c>
    </row>
    <row r="8" spans="1:3" x14ac:dyDescent="0.2">
      <c r="A8" s="60">
        <f t="shared" si="0"/>
        <v>10.5</v>
      </c>
      <c r="B8" s="17">
        <v>0</v>
      </c>
      <c r="C8">
        <f t="shared" si="1"/>
        <v>35</v>
      </c>
    </row>
    <row r="9" spans="1:3" x14ac:dyDescent="0.2">
      <c r="A9" s="60">
        <f t="shared" si="0"/>
        <v>12</v>
      </c>
      <c r="B9" s="17">
        <v>0</v>
      </c>
      <c r="C9">
        <f t="shared" si="1"/>
        <v>40</v>
      </c>
    </row>
    <row r="10" spans="1:3" x14ac:dyDescent="0.2">
      <c r="A10" s="60">
        <f t="shared" si="0"/>
        <v>13.5</v>
      </c>
      <c r="B10" s="17">
        <v>0</v>
      </c>
      <c r="C10">
        <f t="shared" si="1"/>
        <v>45</v>
      </c>
    </row>
    <row r="11" spans="1:3" x14ac:dyDescent="0.2">
      <c r="A11" s="60">
        <f t="shared" si="0"/>
        <v>15</v>
      </c>
      <c r="B11" s="17">
        <v>0</v>
      </c>
      <c r="C11">
        <f t="shared" si="1"/>
        <v>50</v>
      </c>
    </row>
    <row r="12" spans="1:3" x14ac:dyDescent="0.2">
      <c r="A12" s="60">
        <f t="shared" si="0"/>
        <v>16.5</v>
      </c>
      <c r="B12" s="17">
        <v>0</v>
      </c>
      <c r="C12">
        <f t="shared" si="1"/>
        <v>55</v>
      </c>
    </row>
    <row r="13" spans="1:3" x14ac:dyDescent="0.2">
      <c r="A13" s="60">
        <f t="shared" si="0"/>
        <v>18</v>
      </c>
      <c r="B13" s="17">
        <v>0</v>
      </c>
      <c r="C13">
        <f t="shared" si="1"/>
        <v>60</v>
      </c>
    </row>
    <row r="14" spans="1:3" x14ac:dyDescent="0.2">
      <c r="A14" s="60">
        <f t="shared" si="0"/>
        <v>19.5</v>
      </c>
      <c r="B14" s="17">
        <v>0</v>
      </c>
      <c r="C14">
        <f t="shared" si="1"/>
        <v>65</v>
      </c>
    </row>
    <row r="15" spans="1:3" x14ac:dyDescent="0.2">
      <c r="A15" s="60">
        <f t="shared" si="0"/>
        <v>21</v>
      </c>
      <c r="B15" s="17">
        <v>0</v>
      </c>
      <c r="C15">
        <f t="shared" si="1"/>
        <v>70</v>
      </c>
    </row>
    <row r="16" spans="1:3" x14ac:dyDescent="0.2">
      <c r="A16" s="60">
        <f t="shared" si="0"/>
        <v>22.5</v>
      </c>
      <c r="B16" s="17">
        <v>0</v>
      </c>
      <c r="C16">
        <f t="shared" si="1"/>
        <v>75</v>
      </c>
    </row>
    <row r="17" spans="1:8" x14ac:dyDescent="0.2">
      <c r="A17" s="60">
        <f t="shared" si="0"/>
        <v>24</v>
      </c>
      <c r="B17" s="17">
        <v>0</v>
      </c>
      <c r="C17">
        <f t="shared" si="1"/>
        <v>80</v>
      </c>
    </row>
    <row r="18" spans="1:8" x14ac:dyDescent="0.2">
      <c r="A18" s="60">
        <f t="shared" si="0"/>
        <v>25.5</v>
      </c>
      <c r="B18" s="17">
        <v>0</v>
      </c>
      <c r="C18">
        <f t="shared" si="1"/>
        <v>85</v>
      </c>
    </row>
    <row r="19" spans="1:8" x14ac:dyDescent="0.2">
      <c r="A19" s="60">
        <f t="shared" si="0"/>
        <v>27</v>
      </c>
      <c r="B19" s="17">
        <v>0</v>
      </c>
      <c r="C19">
        <f t="shared" si="1"/>
        <v>90</v>
      </c>
    </row>
    <row r="20" spans="1:8" x14ac:dyDescent="0.2">
      <c r="A20" s="60">
        <f t="shared" si="0"/>
        <v>28.5</v>
      </c>
      <c r="B20" s="17">
        <v>0</v>
      </c>
      <c r="C20">
        <f t="shared" si="1"/>
        <v>95</v>
      </c>
    </row>
    <row r="21" spans="1:8" x14ac:dyDescent="0.2">
      <c r="A21" s="60">
        <f t="shared" si="0"/>
        <v>30</v>
      </c>
      <c r="B21" s="17">
        <v>0</v>
      </c>
      <c r="C21">
        <f t="shared" si="1"/>
        <v>100</v>
      </c>
    </row>
    <row r="22" spans="1:8" x14ac:dyDescent="0.2">
      <c r="A22" s="60">
        <v>32</v>
      </c>
      <c r="B22" s="17">
        <v>0</v>
      </c>
      <c r="C22" s="65" t="s">
        <v>71</v>
      </c>
    </row>
    <row r="23" spans="1:8" x14ac:dyDescent="0.2">
      <c r="A23" s="60"/>
      <c r="C23" s="65"/>
    </row>
    <row r="24" spans="1:8" ht="13.5" thickBot="1" x14ac:dyDescent="0.25">
      <c r="A24" s="3"/>
    </row>
    <row r="25" spans="1:8" x14ac:dyDescent="0.2">
      <c r="A25" t="s">
        <v>25</v>
      </c>
      <c r="B25" s="25">
        <f>SUM(B2:B24)</f>
        <v>0</v>
      </c>
    </row>
    <row r="26" spans="1:8" x14ac:dyDescent="0.2">
      <c r="F26" s="36" t="s">
        <v>29</v>
      </c>
      <c r="G26" s="17" t="s">
        <v>55</v>
      </c>
    </row>
    <row r="27" spans="1:8" x14ac:dyDescent="0.2">
      <c r="A27" t="s">
        <v>20</v>
      </c>
      <c r="B27" s="26" t="e">
        <f>MIN('Winter 2016'!$J$9:'Winter 2016'!$J$388)/'Winter 2016'!$J$2*100</f>
        <v>#DIV/0!</v>
      </c>
      <c r="F27" s="48" t="s">
        <v>14</v>
      </c>
      <c r="G27" s="3" t="e">
        <f>SUM(B20:B22)/B25*100</f>
        <v>#DIV/0!</v>
      </c>
    </row>
    <row r="28" spans="1:8" x14ac:dyDescent="0.2">
      <c r="A28" t="s">
        <v>21</v>
      </c>
      <c r="B28" s="26" t="e">
        <f>MAX('Winter 2016'!$J$9:'Winter 2016'!$J$388)/'Winter 2016'!$J$2*100</f>
        <v>#DIV/0!</v>
      </c>
      <c r="F28" s="48" t="s">
        <v>15</v>
      </c>
      <c r="G28" s="3" t="e">
        <f>SUM(B18:B19)/B25*100</f>
        <v>#DIV/0!</v>
      </c>
    </row>
    <row r="29" spans="1:8" x14ac:dyDescent="0.2">
      <c r="A29" t="s">
        <v>22</v>
      </c>
      <c r="B29" s="26" t="e">
        <f>MEDIAN('Winter 2016'!$J$9:'Winter 2016'!$J$388)/'Winter 2016'!$J$2*100</f>
        <v>#NUM!</v>
      </c>
      <c r="F29" s="48" t="s">
        <v>16</v>
      </c>
      <c r="G29" s="3" t="e">
        <f>SUM(B16:B17)/B25*100</f>
        <v>#DIV/0!</v>
      </c>
    </row>
    <row r="30" spans="1:8" x14ac:dyDescent="0.2">
      <c r="A30" t="s">
        <v>30</v>
      </c>
      <c r="B30" s="3" t="e">
        <f>SUMIF('Winter 2016'!$J$9:'Winter 2016'!$J$388,"&gt;0")/COUNTIF('Winter 2016'!$J$9:'Winter 2016'!$J$388,"&gt;0")/'Winter 2016'!$J$2*100</f>
        <v>#DIV/0!</v>
      </c>
      <c r="F30" s="48" t="s">
        <v>18</v>
      </c>
      <c r="G30" s="3" t="e">
        <f>SUM(B14:B15)/B25*100</f>
        <v>#DIV/0!</v>
      </c>
    </row>
    <row r="31" spans="1:8" x14ac:dyDescent="0.2">
      <c r="A31" s="48" t="s">
        <v>72</v>
      </c>
      <c r="B31" s="30" t="e">
        <f t="array" ref="B31">SUM(G27:G31*{4;3;2;1;0})/100</f>
        <v>#DIV/0!</v>
      </c>
      <c r="F31" s="48" t="s">
        <v>27</v>
      </c>
      <c r="G31" s="3" t="e">
        <f>SUM(B2:B13)/B25*100</f>
        <v>#DIV/0!</v>
      </c>
      <c r="H31" s="3" t="e">
        <f>SUM(G27:G31)</f>
        <v>#DIV/0!</v>
      </c>
    </row>
    <row r="32" spans="1:8" x14ac:dyDescent="0.2">
      <c r="G32" s="3"/>
    </row>
    <row r="35" spans="1:3" x14ac:dyDescent="0.2">
      <c r="A35" s="17" t="s">
        <v>24</v>
      </c>
      <c r="B35" s="17" t="s">
        <v>25</v>
      </c>
    </row>
    <row r="36" spans="1:3" x14ac:dyDescent="0.2">
      <c r="A36" s="3">
        <v>3</v>
      </c>
      <c r="B36" s="17">
        <f t="array" ref="B36:B56">FREQUENCY('Winter 2016'!$K$9:$K$388,Programs!A36:A58)</f>
        <v>3</v>
      </c>
      <c r="C36">
        <v>5</v>
      </c>
    </row>
    <row r="37" spans="1:3" x14ac:dyDescent="0.2">
      <c r="A37" s="3">
        <f>3+A36</f>
        <v>6</v>
      </c>
      <c r="B37" s="17">
        <v>0</v>
      </c>
      <c r="C37">
        <f>5+C36</f>
        <v>10</v>
      </c>
    </row>
    <row r="38" spans="1:3" x14ac:dyDescent="0.2">
      <c r="A38" s="3">
        <f t="shared" ref="A38:A56" si="2">3+A37</f>
        <v>9</v>
      </c>
      <c r="B38" s="17">
        <v>3</v>
      </c>
      <c r="C38">
        <f t="shared" ref="C38:C55" si="3">5+C37</f>
        <v>15</v>
      </c>
    </row>
    <row r="39" spans="1:3" x14ac:dyDescent="0.2">
      <c r="A39" s="3">
        <f t="shared" si="2"/>
        <v>12</v>
      </c>
      <c r="B39" s="17">
        <v>1</v>
      </c>
      <c r="C39">
        <f t="shared" si="3"/>
        <v>20</v>
      </c>
    </row>
    <row r="40" spans="1:3" x14ac:dyDescent="0.2">
      <c r="A40" s="3">
        <f t="shared" si="2"/>
        <v>15</v>
      </c>
      <c r="B40" s="17">
        <v>3</v>
      </c>
      <c r="C40">
        <f t="shared" si="3"/>
        <v>25</v>
      </c>
    </row>
    <row r="41" spans="1:3" x14ac:dyDescent="0.2">
      <c r="A41" s="3">
        <f t="shared" si="2"/>
        <v>18</v>
      </c>
      <c r="B41" s="17">
        <v>1</v>
      </c>
      <c r="C41">
        <f t="shared" si="3"/>
        <v>30</v>
      </c>
    </row>
    <row r="42" spans="1:3" x14ac:dyDescent="0.2">
      <c r="A42" s="3">
        <f t="shared" si="2"/>
        <v>21</v>
      </c>
      <c r="B42" s="17">
        <v>2</v>
      </c>
      <c r="C42">
        <f t="shared" si="3"/>
        <v>35</v>
      </c>
    </row>
    <row r="43" spans="1:3" x14ac:dyDescent="0.2">
      <c r="A43" s="3">
        <f t="shared" si="2"/>
        <v>24</v>
      </c>
      <c r="B43" s="17">
        <v>0</v>
      </c>
      <c r="C43">
        <f t="shared" si="3"/>
        <v>40</v>
      </c>
    </row>
    <row r="44" spans="1:3" x14ac:dyDescent="0.2">
      <c r="A44" s="3">
        <f t="shared" si="2"/>
        <v>27</v>
      </c>
      <c r="B44" s="17">
        <v>1</v>
      </c>
      <c r="C44">
        <f t="shared" si="3"/>
        <v>45</v>
      </c>
    </row>
    <row r="45" spans="1:3" x14ac:dyDescent="0.2">
      <c r="A45" s="3">
        <f t="shared" si="2"/>
        <v>30</v>
      </c>
      <c r="B45" s="17">
        <v>4</v>
      </c>
      <c r="C45">
        <f t="shared" si="3"/>
        <v>50</v>
      </c>
    </row>
    <row r="46" spans="1:3" x14ac:dyDescent="0.2">
      <c r="A46" s="3">
        <f t="shared" si="2"/>
        <v>33</v>
      </c>
      <c r="B46" s="17">
        <v>3</v>
      </c>
      <c r="C46">
        <f t="shared" si="3"/>
        <v>55</v>
      </c>
    </row>
    <row r="47" spans="1:3" x14ac:dyDescent="0.2">
      <c r="A47" s="3">
        <f t="shared" si="2"/>
        <v>36</v>
      </c>
      <c r="B47" s="17">
        <v>1</v>
      </c>
      <c r="C47">
        <f t="shared" si="3"/>
        <v>60</v>
      </c>
    </row>
    <row r="48" spans="1:3" x14ac:dyDescent="0.2">
      <c r="A48" s="3">
        <f t="shared" si="2"/>
        <v>39</v>
      </c>
      <c r="B48" s="17">
        <v>14</v>
      </c>
      <c r="C48">
        <f t="shared" si="3"/>
        <v>65</v>
      </c>
    </row>
    <row r="49" spans="1:7" x14ac:dyDescent="0.2">
      <c r="A49" s="3">
        <f t="shared" si="2"/>
        <v>42</v>
      </c>
      <c r="B49" s="17">
        <v>8</v>
      </c>
      <c r="C49">
        <f t="shared" si="3"/>
        <v>70</v>
      </c>
    </row>
    <row r="50" spans="1:7" x14ac:dyDescent="0.2">
      <c r="A50" s="3">
        <f t="shared" si="2"/>
        <v>45</v>
      </c>
      <c r="B50" s="17">
        <v>8</v>
      </c>
      <c r="C50">
        <f t="shared" si="3"/>
        <v>75</v>
      </c>
    </row>
    <row r="51" spans="1:7" x14ac:dyDescent="0.2">
      <c r="A51" s="3">
        <f t="shared" si="2"/>
        <v>48</v>
      </c>
      <c r="B51" s="17">
        <v>29</v>
      </c>
      <c r="C51">
        <f t="shared" si="3"/>
        <v>80</v>
      </c>
    </row>
    <row r="52" spans="1:7" x14ac:dyDescent="0.2">
      <c r="A52" s="3">
        <f t="shared" si="2"/>
        <v>51</v>
      </c>
      <c r="B52" s="17">
        <v>17</v>
      </c>
      <c r="C52">
        <f t="shared" si="3"/>
        <v>85</v>
      </c>
    </row>
    <row r="53" spans="1:7" x14ac:dyDescent="0.2">
      <c r="A53" s="3">
        <f t="shared" si="2"/>
        <v>54</v>
      </c>
      <c r="B53" s="17">
        <v>50</v>
      </c>
      <c r="C53">
        <f t="shared" si="3"/>
        <v>90</v>
      </c>
    </row>
    <row r="54" spans="1:7" x14ac:dyDescent="0.2">
      <c r="A54" s="3">
        <f t="shared" si="2"/>
        <v>57</v>
      </c>
      <c r="B54" s="17">
        <v>63</v>
      </c>
      <c r="C54">
        <f t="shared" si="3"/>
        <v>95</v>
      </c>
    </row>
    <row r="55" spans="1:7" x14ac:dyDescent="0.2">
      <c r="A55" s="3">
        <f t="shared" si="2"/>
        <v>60</v>
      </c>
      <c r="B55" s="17">
        <v>64</v>
      </c>
      <c r="C55">
        <f t="shared" si="3"/>
        <v>100</v>
      </c>
    </row>
    <row r="56" spans="1:7" x14ac:dyDescent="0.2">
      <c r="A56" s="3">
        <f t="shared" si="2"/>
        <v>63</v>
      </c>
      <c r="B56" s="17">
        <v>100</v>
      </c>
      <c r="C56" s="65" t="s">
        <v>71</v>
      </c>
    </row>
    <row r="57" spans="1:7" x14ac:dyDescent="0.2">
      <c r="A57" s="3"/>
      <c r="C57" s="65"/>
    </row>
    <row r="58" spans="1:7" ht="13.5" thickBot="1" x14ac:dyDescent="0.25">
      <c r="A58" s="3"/>
    </row>
    <row r="59" spans="1:7" x14ac:dyDescent="0.2">
      <c r="A59" t="s">
        <v>25</v>
      </c>
      <c r="B59" s="25">
        <f>SUM(B36:B58)</f>
        <v>375</v>
      </c>
      <c r="F59" s="36"/>
      <c r="G59" s="17"/>
    </row>
    <row r="60" spans="1:7" x14ac:dyDescent="0.2">
      <c r="F60" s="36" t="s">
        <v>29</v>
      </c>
      <c r="G60" s="17" t="s">
        <v>55</v>
      </c>
    </row>
    <row r="61" spans="1:7" x14ac:dyDescent="0.2">
      <c r="A61" t="s">
        <v>20</v>
      </c>
      <c r="B61" s="26">
        <f>MIN('Winter 2016'!$K$9:'Winter 2016'!$K$388)/'Winter 2016'!$K$2*100</f>
        <v>0</v>
      </c>
      <c r="F61" s="48" t="s">
        <v>14</v>
      </c>
      <c r="G61" s="3">
        <f>SUM(B54:B56)/B59*100</f>
        <v>60.533333333333331</v>
      </c>
    </row>
    <row r="62" spans="1:7" x14ac:dyDescent="0.2">
      <c r="A62" t="s">
        <v>21</v>
      </c>
      <c r="B62" s="26">
        <f>MAX('Winter 2016'!$K$9:'Winter 2016'!$K$388)/'Winter 2016'!$K$2*100</f>
        <v>105</v>
      </c>
      <c r="F62" s="48" t="s">
        <v>15</v>
      </c>
      <c r="G62" s="3">
        <f>SUM(B52:B53)/B59*100</f>
        <v>17.866666666666667</v>
      </c>
    </row>
    <row r="63" spans="1:7" x14ac:dyDescent="0.2">
      <c r="A63" t="s">
        <v>22</v>
      </c>
      <c r="B63" s="26">
        <f>MEDIAN('Winter 2016'!$K$9:'Winter 2016'!$K$388)/'Winter 2016'!$K$2*100</f>
        <v>95</v>
      </c>
      <c r="F63" s="48" t="s">
        <v>16</v>
      </c>
      <c r="G63" s="3">
        <f>SUM(B50:B51)/B59*100</f>
        <v>9.8666666666666671</v>
      </c>
    </row>
    <row r="64" spans="1:7" x14ac:dyDescent="0.2">
      <c r="A64" t="s">
        <v>30</v>
      </c>
      <c r="B64" s="3">
        <f>SUMIF('Winter 2016'!$K$9:'Winter 2016'!$K$388,"&gt;0")/COUNTIF('Winter 2016'!$K$9:'Winter 2016'!$K$388,"&gt;0")/'Winter 2016'!$K$2*100</f>
        <v>89.162210338680936</v>
      </c>
      <c r="F64" s="48" t="s">
        <v>18</v>
      </c>
      <c r="G64" s="3">
        <f>SUM(B48:B49)/B59*100</f>
        <v>5.8666666666666663</v>
      </c>
    </row>
    <row r="65" spans="1:8" x14ac:dyDescent="0.2">
      <c r="A65" s="48" t="s">
        <v>72</v>
      </c>
      <c r="B65" s="30">
        <f t="array" ref="B65">SUM(G61:G65*{4;3;2;1;0})/100</f>
        <v>3.2133333333333338</v>
      </c>
      <c r="F65" s="48" t="s">
        <v>27</v>
      </c>
      <c r="G65" s="3">
        <f>SUM(B36:B47)/B59*100</f>
        <v>5.8666666666666663</v>
      </c>
      <c r="H65" s="3">
        <f>SUM(G61:G65)</f>
        <v>100</v>
      </c>
    </row>
    <row r="69" spans="1:8" x14ac:dyDescent="0.2">
      <c r="A69" s="17" t="s">
        <v>24</v>
      </c>
      <c r="B69" s="17" t="s">
        <v>25</v>
      </c>
    </row>
    <row r="70" spans="1:8" x14ac:dyDescent="0.2">
      <c r="A70" s="3">
        <v>3</v>
      </c>
      <c r="B70" s="17">
        <f t="array" ref="B70:B90">FREQUENCY('Winter 2016'!$L$9:$L$388,Programs!A70:A92)</f>
        <v>2</v>
      </c>
      <c r="C70">
        <v>5</v>
      </c>
    </row>
    <row r="71" spans="1:8" x14ac:dyDescent="0.2">
      <c r="A71" s="3">
        <v>6</v>
      </c>
      <c r="B71" s="17">
        <v>4</v>
      </c>
      <c r="C71">
        <f>5+C70</f>
        <v>10</v>
      </c>
    </row>
    <row r="72" spans="1:8" x14ac:dyDescent="0.2">
      <c r="A72" s="3">
        <v>9</v>
      </c>
      <c r="B72" s="17">
        <v>5</v>
      </c>
      <c r="C72">
        <f t="shared" ref="C72:C89" si="4">5+C71</f>
        <v>15</v>
      </c>
    </row>
    <row r="73" spans="1:8" x14ac:dyDescent="0.2">
      <c r="A73" s="3">
        <v>12</v>
      </c>
      <c r="B73" s="17">
        <v>2</v>
      </c>
      <c r="C73">
        <f t="shared" si="4"/>
        <v>20</v>
      </c>
    </row>
    <row r="74" spans="1:8" x14ac:dyDescent="0.2">
      <c r="A74" s="3">
        <v>15</v>
      </c>
      <c r="B74" s="17">
        <v>2</v>
      </c>
      <c r="C74">
        <f t="shared" si="4"/>
        <v>25</v>
      </c>
    </row>
    <row r="75" spans="1:8" x14ac:dyDescent="0.2">
      <c r="A75" s="3">
        <v>18</v>
      </c>
      <c r="B75" s="17">
        <v>3</v>
      </c>
      <c r="C75">
        <f t="shared" si="4"/>
        <v>30</v>
      </c>
    </row>
    <row r="76" spans="1:8" x14ac:dyDescent="0.2">
      <c r="A76" s="3">
        <v>21</v>
      </c>
      <c r="B76" s="17">
        <v>2</v>
      </c>
      <c r="C76">
        <f t="shared" si="4"/>
        <v>35</v>
      </c>
    </row>
    <row r="77" spans="1:8" x14ac:dyDescent="0.2">
      <c r="A77" s="3">
        <v>24</v>
      </c>
      <c r="B77" s="17">
        <v>6</v>
      </c>
      <c r="C77">
        <f t="shared" si="4"/>
        <v>40</v>
      </c>
    </row>
    <row r="78" spans="1:8" x14ac:dyDescent="0.2">
      <c r="A78" s="3">
        <v>27</v>
      </c>
      <c r="B78" s="17">
        <v>6</v>
      </c>
      <c r="C78">
        <f t="shared" si="4"/>
        <v>45</v>
      </c>
    </row>
    <row r="79" spans="1:8" x14ac:dyDescent="0.2">
      <c r="A79" s="3">
        <v>30</v>
      </c>
      <c r="B79" s="17">
        <v>5</v>
      </c>
      <c r="C79">
        <f t="shared" si="4"/>
        <v>50</v>
      </c>
    </row>
    <row r="80" spans="1:8" x14ac:dyDescent="0.2">
      <c r="A80" s="3">
        <v>33</v>
      </c>
      <c r="B80" s="17">
        <v>5</v>
      </c>
      <c r="C80">
        <f t="shared" si="4"/>
        <v>55</v>
      </c>
    </row>
    <row r="81" spans="1:7" x14ac:dyDescent="0.2">
      <c r="A81" s="3">
        <v>36</v>
      </c>
      <c r="B81" s="17">
        <v>8</v>
      </c>
      <c r="C81">
        <f t="shared" si="4"/>
        <v>60</v>
      </c>
    </row>
    <row r="82" spans="1:7" x14ac:dyDescent="0.2">
      <c r="A82" s="3">
        <v>39</v>
      </c>
      <c r="B82" s="17">
        <v>7</v>
      </c>
      <c r="C82">
        <f t="shared" si="4"/>
        <v>65</v>
      </c>
    </row>
    <row r="83" spans="1:7" x14ac:dyDescent="0.2">
      <c r="A83" s="3">
        <v>42</v>
      </c>
      <c r="B83" s="17">
        <v>19</v>
      </c>
      <c r="C83">
        <f t="shared" si="4"/>
        <v>70</v>
      </c>
    </row>
    <row r="84" spans="1:7" x14ac:dyDescent="0.2">
      <c r="A84" s="3">
        <v>45</v>
      </c>
      <c r="B84" s="17">
        <v>21</v>
      </c>
      <c r="C84">
        <f t="shared" si="4"/>
        <v>75</v>
      </c>
    </row>
    <row r="85" spans="1:7" x14ac:dyDescent="0.2">
      <c r="A85" s="3">
        <v>48</v>
      </c>
      <c r="B85" s="17">
        <v>14</v>
      </c>
      <c r="C85">
        <f t="shared" si="4"/>
        <v>80</v>
      </c>
    </row>
    <row r="86" spans="1:7" x14ac:dyDescent="0.2">
      <c r="A86" s="3">
        <v>51</v>
      </c>
      <c r="B86" s="17">
        <v>28</v>
      </c>
      <c r="C86">
        <f t="shared" si="4"/>
        <v>85</v>
      </c>
    </row>
    <row r="87" spans="1:7" x14ac:dyDescent="0.2">
      <c r="A87" s="3">
        <v>54</v>
      </c>
      <c r="B87" s="17">
        <v>11</v>
      </c>
      <c r="C87">
        <f t="shared" si="4"/>
        <v>90</v>
      </c>
    </row>
    <row r="88" spans="1:7" x14ac:dyDescent="0.2">
      <c r="A88" s="3">
        <v>57</v>
      </c>
      <c r="B88" s="17">
        <v>22</v>
      </c>
      <c r="C88">
        <f t="shared" si="4"/>
        <v>95</v>
      </c>
    </row>
    <row r="89" spans="1:7" x14ac:dyDescent="0.2">
      <c r="A89" s="3">
        <v>60</v>
      </c>
      <c r="B89" s="17">
        <v>112</v>
      </c>
      <c r="C89">
        <f t="shared" si="4"/>
        <v>100</v>
      </c>
    </row>
    <row r="90" spans="1:7" x14ac:dyDescent="0.2">
      <c r="A90" s="3">
        <v>63</v>
      </c>
      <c r="B90" s="17">
        <v>87</v>
      </c>
      <c r="C90" s="65" t="s">
        <v>71</v>
      </c>
    </row>
    <row r="91" spans="1:7" x14ac:dyDescent="0.2">
      <c r="A91" s="3"/>
      <c r="C91" s="65"/>
    </row>
    <row r="92" spans="1:7" ht="13.5" thickBot="1" x14ac:dyDescent="0.25">
      <c r="A92" s="3"/>
    </row>
    <row r="93" spans="1:7" x14ac:dyDescent="0.2">
      <c r="A93" t="s">
        <v>25</v>
      </c>
      <c r="B93" s="25">
        <f>SUM(B70:B92)</f>
        <v>371</v>
      </c>
    </row>
    <row r="94" spans="1:7" x14ac:dyDescent="0.2">
      <c r="F94" s="36" t="s">
        <v>29</v>
      </c>
      <c r="G94" s="17" t="s">
        <v>55</v>
      </c>
    </row>
    <row r="95" spans="1:7" x14ac:dyDescent="0.2">
      <c r="A95" t="s">
        <v>20</v>
      </c>
      <c r="B95" s="26">
        <f>MIN('Winter 2016'!$L$9:'Winter 2016'!$L$388)/'Winter 2016'!$L$2*100</f>
        <v>3.3333333333333335</v>
      </c>
      <c r="F95" s="48" t="s">
        <v>14</v>
      </c>
      <c r="G95" s="3">
        <f>SUM(B88:B90)/B93*100</f>
        <v>59.56873315363881</v>
      </c>
    </row>
    <row r="96" spans="1:7" x14ac:dyDescent="0.2">
      <c r="A96" t="s">
        <v>21</v>
      </c>
      <c r="B96" s="26">
        <f>MAX('Winter 2016'!$L$9:'Winter 2016'!$L$388)/'Winter 2016'!$L$2*100</f>
        <v>103.33333333333334</v>
      </c>
      <c r="F96" s="48" t="s">
        <v>15</v>
      </c>
      <c r="G96" s="3">
        <f>SUM(B86:B87)/B93*100</f>
        <v>10.512129380053908</v>
      </c>
    </row>
    <row r="97" spans="1:8" x14ac:dyDescent="0.2">
      <c r="A97" t="s">
        <v>22</v>
      </c>
      <c r="B97" s="26">
        <f>MEDIAN('Winter 2016'!$L$9:'Winter 2016'!$L$388)/'Winter 2016'!$L$2*100</f>
        <v>96.666666666666671</v>
      </c>
      <c r="F97" s="48" t="s">
        <v>16</v>
      </c>
      <c r="G97" s="3">
        <f>SUM(B84:B85)/B93*100</f>
        <v>9.433962264150944</v>
      </c>
    </row>
    <row r="98" spans="1:8" x14ac:dyDescent="0.2">
      <c r="A98" t="s">
        <v>30</v>
      </c>
      <c r="B98" s="3">
        <f>SUMIF('Winter 2016'!$L$9:'Winter 2016'!$L$388,"&gt;0")/COUNTIF('Winter 2016'!$L$9:'Winter 2016'!$L$388,"&gt;0")/'Winter 2016'!$L$2*100</f>
        <v>85.251572327044016</v>
      </c>
      <c r="F98" s="48" t="s">
        <v>18</v>
      </c>
      <c r="G98" s="3">
        <f>SUM(B82:B83)/B93*100</f>
        <v>7.0080862533692727</v>
      </c>
    </row>
    <row r="99" spans="1:8" x14ac:dyDescent="0.2">
      <c r="A99" s="48" t="s">
        <v>72</v>
      </c>
      <c r="B99" s="30">
        <f t="array" ref="B99">SUM(G95:G99*{4;3;2;1;0})/100</f>
        <v>2.9568733153638815</v>
      </c>
      <c r="F99" s="48" t="s">
        <v>27</v>
      </c>
      <c r="G99" s="3">
        <f>SUM(B70:B81)/B93*100</f>
        <v>13.477088948787062</v>
      </c>
      <c r="H99" s="3">
        <f>SUM(G95:G99)</f>
        <v>100</v>
      </c>
    </row>
    <row r="100" spans="1:8" x14ac:dyDescent="0.2">
      <c r="F100" s="48"/>
      <c r="G100" s="3"/>
    </row>
    <row r="103" spans="1:8" x14ac:dyDescent="0.2">
      <c r="A103" s="17" t="s">
        <v>24</v>
      </c>
      <c r="B103" s="17" t="s">
        <v>25</v>
      </c>
    </row>
    <row r="104" spans="1:8" x14ac:dyDescent="0.2">
      <c r="A104" s="3">
        <v>3</v>
      </c>
      <c r="B104" s="17">
        <f t="array" ref="B104:B124">FREQUENCY('Winter 2016'!$M$9:$M$388,Programs!A104:A126)</f>
        <v>11</v>
      </c>
      <c r="C104">
        <v>5</v>
      </c>
    </row>
    <row r="105" spans="1:8" x14ac:dyDescent="0.2">
      <c r="A105" s="3">
        <v>6</v>
      </c>
      <c r="B105" s="17">
        <v>2</v>
      </c>
      <c r="C105">
        <f>5+C104</f>
        <v>10</v>
      </c>
    </row>
    <row r="106" spans="1:8" x14ac:dyDescent="0.2">
      <c r="A106" s="3">
        <v>9</v>
      </c>
      <c r="B106" s="17">
        <v>6</v>
      </c>
      <c r="C106">
        <f t="shared" ref="C106:C123" si="5">5+C105</f>
        <v>15</v>
      </c>
    </row>
    <row r="107" spans="1:8" x14ac:dyDescent="0.2">
      <c r="A107" s="3">
        <v>12</v>
      </c>
      <c r="B107" s="17">
        <v>3</v>
      </c>
      <c r="C107">
        <f t="shared" si="5"/>
        <v>20</v>
      </c>
    </row>
    <row r="108" spans="1:8" x14ac:dyDescent="0.2">
      <c r="A108" s="3">
        <v>15</v>
      </c>
      <c r="B108" s="17">
        <v>5</v>
      </c>
      <c r="C108">
        <f t="shared" si="5"/>
        <v>25</v>
      </c>
    </row>
    <row r="109" spans="1:8" x14ac:dyDescent="0.2">
      <c r="A109" s="3">
        <v>18</v>
      </c>
      <c r="B109" s="17">
        <v>2</v>
      </c>
      <c r="C109">
        <f t="shared" si="5"/>
        <v>30</v>
      </c>
    </row>
    <row r="110" spans="1:8" x14ac:dyDescent="0.2">
      <c r="A110" s="3">
        <v>21</v>
      </c>
      <c r="B110" s="17">
        <v>7</v>
      </c>
      <c r="C110">
        <f t="shared" si="5"/>
        <v>35</v>
      </c>
    </row>
    <row r="111" spans="1:8" x14ac:dyDescent="0.2">
      <c r="A111" s="3">
        <v>24</v>
      </c>
      <c r="B111" s="17">
        <v>3</v>
      </c>
      <c r="C111">
        <f t="shared" si="5"/>
        <v>40</v>
      </c>
    </row>
    <row r="112" spans="1:8" x14ac:dyDescent="0.2">
      <c r="A112" s="3">
        <v>27</v>
      </c>
      <c r="B112" s="17">
        <v>5</v>
      </c>
      <c r="C112">
        <f t="shared" si="5"/>
        <v>45</v>
      </c>
    </row>
    <row r="113" spans="1:7" x14ac:dyDescent="0.2">
      <c r="A113" s="3">
        <v>30</v>
      </c>
      <c r="B113" s="17">
        <v>13</v>
      </c>
      <c r="C113">
        <f t="shared" si="5"/>
        <v>50</v>
      </c>
    </row>
    <row r="114" spans="1:7" x14ac:dyDescent="0.2">
      <c r="A114" s="3">
        <v>33</v>
      </c>
      <c r="B114" s="17">
        <v>4</v>
      </c>
      <c r="C114">
        <f t="shared" si="5"/>
        <v>55</v>
      </c>
    </row>
    <row r="115" spans="1:7" x14ac:dyDescent="0.2">
      <c r="A115" s="3">
        <v>36</v>
      </c>
      <c r="B115" s="17">
        <v>9</v>
      </c>
      <c r="C115">
        <f t="shared" si="5"/>
        <v>60</v>
      </c>
    </row>
    <row r="116" spans="1:7" x14ac:dyDescent="0.2">
      <c r="A116" s="3">
        <v>39</v>
      </c>
      <c r="B116" s="17">
        <v>5</v>
      </c>
      <c r="C116">
        <f t="shared" si="5"/>
        <v>65</v>
      </c>
    </row>
    <row r="117" spans="1:7" x14ac:dyDescent="0.2">
      <c r="A117" s="3">
        <v>42</v>
      </c>
      <c r="B117" s="17">
        <v>4</v>
      </c>
      <c r="C117">
        <f t="shared" si="5"/>
        <v>70</v>
      </c>
    </row>
    <row r="118" spans="1:7" x14ac:dyDescent="0.2">
      <c r="A118" s="3">
        <v>45</v>
      </c>
      <c r="B118" s="17">
        <v>1</v>
      </c>
      <c r="C118">
        <f t="shared" si="5"/>
        <v>75</v>
      </c>
    </row>
    <row r="119" spans="1:7" x14ac:dyDescent="0.2">
      <c r="A119" s="3">
        <v>48</v>
      </c>
      <c r="B119" s="17">
        <v>7</v>
      </c>
      <c r="C119">
        <f t="shared" si="5"/>
        <v>80</v>
      </c>
    </row>
    <row r="120" spans="1:7" x14ac:dyDescent="0.2">
      <c r="A120" s="3">
        <v>51</v>
      </c>
      <c r="B120" s="17">
        <v>12</v>
      </c>
      <c r="C120">
        <f t="shared" si="5"/>
        <v>85</v>
      </c>
    </row>
    <row r="121" spans="1:7" x14ac:dyDescent="0.2">
      <c r="A121" s="3">
        <v>54</v>
      </c>
      <c r="B121" s="17">
        <v>22</v>
      </c>
      <c r="C121">
        <f t="shared" si="5"/>
        <v>90</v>
      </c>
    </row>
    <row r="122" spans="1:7" x14ac:dyDescent="0.2">
      <c r="A122" s="3">
        <v>57</v>
      </c>
      <c r="B122" s="17">
        <v>89</v>
      </c>
      <c r="C122">
        <f t="shared" si="5"/>
        <v>95</v>
      </c>
    </row>
    <row r="123" spans="1:7" x14ac:dyDescent="0.2">
      <c r="A123" s="3">
        <v>60</v>
      </c>
      <c r="B123" s="17">
        <v>121</v>
      </c>
      <c r="C123">
        <f t="shared" si="5"/>
        <v>100</v>
      </c>
    </row>
    <row r="124" spans="1:7" x14ac:dyDescent="0.2">
      <c r="A124" s="3">
        <v>63</v>
      </c>
      <c r="B124" s="17">
        <v>37</v>
      </c>
      <c r="C124" s="65" t="s">
        <v>71</v>
      </c>
    </row>
    <row r="125" spans="1:7" x14ac:dyDescent="0.2">
      <c r="A125" s="3"/>
      <c r="C125" s="65"/>
    </row>
    <row r="126" spans="1:7" ht="13.5" thickBot="1" x14ac:dyDescent="0.25">
      <c r="A126" s="3"/>
    </row>
    <row r="127" spans="1:7" x14ac:dyDescent="0.2">
      <c r="A127" t="s">
        <v>25</v>
      </c>
      <c r="B127" s="25">
        <f>SUM(B104:B126)</f>
        <v>368</v>
      </c>
      <c r="F127" s="36"/>
      <c r="G127" s="17"/>
    </row>
    <row r="128" spans="1:7" x14ac:dyDescent="0.2">
      <c r="F128" s="58" t="s">
        <v>29</v>
      </c>
      <c r="G128" s="17" t="s">
        <v>55</v>
      </c>
    </row>
    <row r="129" spans="1:8" x14ac:dyDescent="0.2">
      <c r="A129" t="s">
        <v>20</v>
      </c>
      <c r="B129" s="26">
        <f>MIN('Winter 2016'!$M$9:'Winter 2016'!$M$388)/'Winter 2016'!$M$2*100</f>
        <v>0</v>
      </c>
      <c r="F129" s="48" t="s">
        <v>14</v>
      </c>
      <c r="G129" s="3">
        <f>SUM(B122:B124)/B127*100</f>
        <v>67.119565217391312</v>
      </c>
    </row>
    <row r="130" spans="1:8" x14ac:dyDescent="0.2">
      <c r="A130" t="s">
        <v>21</v>
      </c>
      <c r="B130" s="26">
        <f>MAX('Winter 2016'!$M$9:'Winter 2016'!$M$388)/'Winter 2016'!$M$2*100</f>
        <v>103.33333333333334</v>
      </c>
      <c r="F130" s="48" t="s">
        <v>15</v>
      </c>
      <c r="G130" s="3">
        <f>SUM(B120:B121)/B127*100</f>
        <v>9.2391304347826075</v>
      </c>
    </row>
    <row r="131" spans="1:8" x14ac:dyDescent="0.2">
      <c r="A131" t="s">
        <v>22</v>
      </c>
      <c r="B131" s="26">
        <f>MEDIAN('Winter 2016'!$M$9:'Winter 2016'!$M$388)/'Winter 2016'!$M$2*100</f>
        <v>95</v>
      </c>
      <c r="F131" s="48" t="s">
        <v>16</v>
      </c>
      <c r="G131" s="3">
        <f>SUM(B118:B119)/B127*100</f>
        <v>2.1739130434782608</v>
      </c>
    </row>
    <row r="132" spans="1:8" x14ac:dyDescent="0.2">
      <c r="A132" t="s">
        <v>30</v>
      </c>
      <c r="B132" s="3">
        <f>SUMIF('Winter 2016'!$M$9:'Winter 2016'!$M$388,"&gt;0")/COUNTIF('Winter 2016'!$M$9:'Winter 2016'!$M$388,"&gt;0")/'Winter 2016'!$M$2*100</f>
        <v>85.420168067226882</v>
      </c>
      <c r="F132" s="48" t="s">
        <v>18</v>
      </c>
      <c r="G132" s="3">
        <f>SUM(B116:B117)/B127*100</f>
        <v>2.4456521739130435</v>
      </c>
    </row>
    <row r="133" spans="1:8" x14ac:dyDescent="0.2">
      <c r="A133" s="48" t="s">
        <v>72</v>
      </c>
      <c r="B133" s="30">
        <f t="array" ref="B133">SUM(G129:G133*{4;3;2;1;0})/100</f>
        <v>3.0298913043478262</v>
      </c>
      <c r="F133" s="48" t="s">
        <v>27</v>
      </c>
      <c r="G133" s="3">
        <f>SUM(B104:B115)/B127*100</f>
        <v>19.021739130434785</v>
      </c>
      <c r="H133" s="3">
        <f>SUM(G129:G133)</f>
        <v>100.00000000000001</v>
      </c>
    </row>
    <row r="134" spans="1:8" x14ac:dyDescent="0.2">
      <c r="B134" s="26"/>
    </row>
    <row r="137" spans="1:8" x14ac:dyDescent="0.2">
      <c r="A137" s="17" t="s">
        <v>24</v>
      </c>
      <c r="B137" s="17" t="s">
        <v>25</v>
      </c>
    </row>
    <row r="138" spans="1:8" x14ac:dyDescent="0.2">
      <c r="A138" s="3">
        <v>3</v>
      </c>
      <c r="B138" s="17">
        <f t="array" ref="B138:B158">FREQUENCY('Winter 2016'!$N$9:$N$388,Programs!A138:A160)</f>
        <v>12</v>
      </c>
      <c r="C138">
        <v>5</v>
      </c>
    </row>
    <row r="139" spans="1:8" x14ac:dyDescent="0.2">
      <c r="A139" s="3">
        <v>6</v>
      </c>
      <c r="B139" s="17">
        <v>1</v>
      </c>
      <c r="C139">
        <f>5+C138</f>
        <v>10</v>
      </c>
    </row>
    <row r="140" spans="1:8" x14ac:dyDescent="0.2">
      <c r="A140" s="3">
        <v>9</v>
      </c>
      <c r="B140" s="17">
        <v>4</v>
      </c>
      <c r="C140">
        <f t="shared" ref="C140:C157" si="6">5+C139</f>
        <v>15</v>
      </c>
    </row>
    <row r="141" spans="1:8" x14ac:dyDescent="0.2">
      <c r="A141" s="3">
        <v>12</v>
      </c>
      <c r="B141" s="17">
        <v>9</v>
      </c>
      <c r="C141">
        <f t="shared" si="6"/>
        <v>20</v>
      </c>
    </row>
    <row r="142" spans="1:8" x14ac:dyDescent="0.2">
      <c r="A142" s="3">
        <v>15</v>
      </c>
      <c r="B142" s="17">
        <v>11</v>
      </c>
      <c r="C142">
        <f t="shared" si="6"/>
        <v>25</v>
      </c>
    </row>
    <row r="143" spans="1:8" x14ac:dyDescent="0.2">
      <c r="A143" s="3">
        <v>18</v>
      </c>
      <c r="B143" s="17">
        <v>1</v>
      </c>
      <c r="C143">
        <f t="shared" si="6"/>
        <v>30</v>
      </c>
    </row>
    <row r="144" spans="1:8" x14ac:dyDescent="0.2">
      <c r="A144" s="3">
        <v>21</v>
      </c>
      <c r="B144" s="17">
        <v>6</v>
      </c>
      <c r="C144">
        <f t="shared" si="6"/>
        <v>35</v>
      </c>
    </row>
    <row r="145" spans="1:3" x14ac:dyDescent="0.2">
      <c r="A145" s="3">
        <v>24</v>
      </c>
      <c r="B145" s="17">
        <v>1</v>
      </c>
      <c r="C145">
        <f t="shared" si="6"/>
        <v>40</v>
      </c>
    </row>
    <row r="146" spans="1:3" x14ac:dyDescent="0.2">
      <c r="A146" s="3">
        <v>27</v>
      </c>
      <c r="B146" s="17">
        <v>5</v>
      </c>
      <c r="C146">
        <f t="shared" si="6"/>
        <v>45</v>
      </c>
    </row>
    <row r="147" spans="1:3" x14ac:dyDescent="0.2">
      <c r="A147" s="3">
        <v>30</v>
      </c>
      <c r="B147" s="17">
        <v>1</v>
      </c>
      <c r="C147">
        <f t="shared" si="6"/>
        <v>50</v>
      </c>
    </row>
    <row r="148" spans="1:3" x14ac:dyDescent="0.2">
      <c r="A148" s="3">
        <v>33</v>
      </c>
      <c r="B148" s="17">
        <v>8</v>
      </c>
      <c r="C148">
        <f t="shared" si="6"/>
        <v>55</v>
      </c>
    </row>
    <row r="149" spans="1:3" x14ac:dyDescent="0.2">
      <c r="A149" s="3">
        <v>36</v>
      </c>
      <c r="B149" s="17">
        <v>13</v>
      </c>
      <c r="C149">
        <f t="shared" si="6"/>
        <v>60</v>
      </c>
    </row>
    <row r="150" spans="1:3" x14ac:dyDescent="0.2">
      <c r="A150" s="3">
        <v>39</v>
      </c>
      <c r="B150" s="17">
        <v>8</v>
      </c>
      <c r="C150">
        <f t="shared" si="6"/>
        <v>65</v>
      </c>
    </row>
    <row r="151" spans="1:3" x14ac:dyDescent="0.2">
      <c r="A151" s="3">
        <v>42</v>
      </c>
      <c r="B151" s="17">
        <v>6</v>
      </c>
      <c r="C151">
        <f t="shared" si="6"/>
        <v>70</v>
      </c>
    </row>
    <row r="152" spans="1:3" x14ac:dyDescent="0.2">
      <c r="A152" s="3">
        <v>45</v>
      </c>
      <c r="B152" s="17">
        <v>11</v>
      </c>
      <c r="C152">
        <f t="shared" si="6"/>
        <v>75</v>
      </c>
    </row>
    <row r="153" spans="1:3" x14ac:dyDescent="0.2">
      <c r="A153" s="3">
        <v>48</v>
      </c>
      <c r="B153" s="17">
        <v>22</v>
      </c>
      <c r="C153">
        <f t="shared" si="6"/>
        <v>80</v>
      </c>
    </row>
    <row r="154" spans="1:3" x14ac:dyDescent="0.2">
      <c r="A154" s="3">
        <v>51</v>
      </c>
      <c r="B154" s="17">
        <v>19</v>
      </c>
      <c r="C154">
        <f t="shared" si="6"/>
        <v>85</v>
      </c>
    </row>
    <row r="155" spans="1:3" x14ac:dyDescent="0.2">
      <c r="A155" s="3">
        <v>54</v>
      </c>
      <c r="B155" s="17">
        <v>21</v>
      </c>
      <c r="C155">
        <f t="shared" si="6"/>
        <v>90</v>
      </c>
    </row>
    <row r="156" spans="1:3" x14ac:dyDescent="0.2">
      <c r="A156" s="3">
        <v>57</v>
      </c>
      <c r="B156" s="17">
        <v>82</v>
      </c>
      <c r="C156">
        <f t="shared" si="6"/>
        <v>95</v>
      </c>
    </row>
    <row r="157" spans="1:3" x14ac:dyDescent="0.2">
      <c r="A157" s="3">
        <v>60</v>
      </c>
      <c r="B157" s="17">
        <v>64</v>
      </c>
      <c r="C157">
        <f t="shared" si="6"/>
        <v>100</v>
      </c>
    </row>
    <row r="158" spans="1:3" x14ac:dyDescent="0.2">
      <c r="A158" s="3">
        <v>63</v>
      </c>
      <c r="B158" s="17">
        <v>57</v>
      </c>
      <c r="C158" s="65" t="s">
        <v>71</v>
      </c>
    </row>
    <row r="159" spans="1:3" x14ac:dyDescent="0.2">
      <c r="A159" s="3"/>
      <c r="C159" s="65"/>
    </row>
    <row r="160" spans="1:3" ht="13.5" thickBot="1" x14ac:dyDescent="0.25">
      <c r="A160" s="3"/>
    </row>
    <row r="161" spans="1:8" x14ac:dyDescent="0.2">
      <c r="A161" t="s">
        <v>25</v>
      </c>
      <c r="B161" s="25">
        <f>SUM(B138:B160)</f>
        <v>362</v>
      </c>
    </row>
    <row r="162" spans="1:8" x14ac:dyDescent="0.2">
      <c r="F162" s="58" t="s">
        <v>29</v>
      </c>
      <c r="G162" s="17" t="s">
        <v>55</v>
      </c>
    </row>
    <row r="163" spans="1:8" x14ac:dyDescent="0.2">
      <c r="A163" t="s">
        <v>20</v>
      </c>
      <c r="B163" s="26">
        <f>MIN('Winter 2016'!$N$9:'Winter 2016'!$N$388)/'Winter 2016'!$N$2*100</f>
        <v>0</v>
      </c>
      <c r="F163" s="48" t="s">
        <v>14</v>
      </c>
      <c r="G163" s="3">
        <f>SUM(B156:B158)/B161*100</f>
        <v>56.077348066298342</v>
      </c>
    </row>
    <row r="164" spans="1:8" x14ac:dyDescent="0.2">
      <c r="A164" t="s">
        <v>21</v>
      </c>
      <c r="B164" s="26">
        <f>MAX('Winter 2016'!$N$9:'Winter 2016'!$N$388)/'Winter 2016'!$N$2*100</f>
        <v>103.33333333333334</v>
      </c>
      <c r="F164" s="48" t="s">
        <v>15</v>
      </c>
      <c r="G164" s="3">
        <f>SUM(B154:B155)/B161*100</f>
        <v>11.049723756906078</v>
      </c>
    </row>
    <row r="165" spans="1:8" x14ac:dyDescent="0.2">
      <c r="A165" t="s">
        <v>22</v>
      </c>
      <c r="B165" s="26">
        <f>MEDIAN('Winter 2016'!$N$9:'Winter 2016'!$N$388)/'Winter 2016'!$N$2*100</f>
        <v>92.5</v>
      </c>
      <c r="F165" s="48" t="s">
        <v>16</v>
      </c>
      <c r="G165" s="3">
        <f>SUM(B152:B153)/B161*100</f>
        <v>9.1160220994475143</v>
      </c>
    </row>
    <row r="166" spans="1:8" x14ac:dyDescent="0.2">
      <c r="A166" t="s">
        <v>30</v>
      </c>
      <c r="B166" s="3">
        <f>SUMIF('Winter 2016'!$N$9:'Winter 2016'!$N$388,"&gt;0")/COUNTIF('Winter 2016'!$N$9:'Winter 2016'!$N$388,"&gt;0")/'Winter 2016'!$N$2*100</f>
        <v>82.34375</v>
      </c>
      <c r="F166" s="48" t="s">
        <v>18</v>
      </c>
      <c r="G166" s="3">
        <f>SUM(B150:B151)/B161*100</f>
        <v>3.867403314917127</v>
      </c>
    </row>
    <row r="167" spans="1:8" x14ac:dyDescent="0.2">
      <c r="A167" s="48" t="s">
        <v>72</v>
      </c>
      <c r="B167" s="30">
        <f t="array" ref="B167">SUM(G163:G167*{4;3;2;1;0})/100</f>
        <v>2.7955801104972373</v>
      </c>
      <c r="F167" s="48" t="s">
        <v>27</v>
      </c>
      <c r="G167" s="3">
        <f>SUM(B138:B149)/B161*100</f>
        <v>19.88950276243094</v>
      </c>
      <c r="H167" s="3">
        <f>SUM(G163:G167)</f>
        <v>100</v>
      </c>
    </row>
    <row r="171" spans="1:8" x14ac:dyDescent="0.2">
      <c r="A171" s="17" t="s">
        <v>24</v>
      </c>
      <c r="B171" s="17" t="s">
        <v>25</v>
      </c>
    </row>
    <row r="172" spans="1:8" x14ac:dyDescent="0.2">
      <c r="A172" s="3">
        <v>3</v>
      </c>
      <c r="B172" s="17">
        <f t="array" ref="B172:B192">FREQUENCY('Winter 2016'!$O$9:$O$388,Programs!A172:A194)</f>
        <v>4</v>
      </c>
      <c r="C172">
        <v>5</v>
      </c>
    </row>
    <row r="173" spans="1:8" x14ac:dyDescent="0.2">
      <c r="A173" s="3">
        <f>3+A172</f>
        <v>6</v>
      </c>
      <c r="B173" s="17">
        <v>1</v>
      </c>
      <c r="C173">
        <f>5+C172</f>
        <v>10</v>
      </c>
    </row>
    <row r="174" spans="1:8" x14ac:dyDescent="0.2">
      <c r="A174" s="3">
        <f t="shared" ref="A174:A192" si="7">3+A173</f>
        <v>9</v>
      </c>
      <c r="B174" s="17">
        <v>0</v>
      </c>
      <c r="C174">
        <f t="shared" ref="C174:C191" si="8">5+C173</f>
        <v>15</v>
      </c>
    </row>
    <row r="175" spans="1:8" x14ac:dyDescent="0.2">
      <c r="A175" s="3">
        <f t="shared" si="7"/>
        <v>12</v>
      </c>
      <c r="B175" s="17">
        <v>3</v>
      </c>
      <c r="C175">
        <f t="shared" si="8"/>
        <v>20</v>
      </c>
    </row>
    <row r="176" spans="1:8" x14ac:dyDescent="0.2">
      <c r="A176" s="3">
        <f t="shared" si="7"/>
        <v>15</v>
      </c>
      <c r="B176" s="17">
        <v>1</v>
      </c>
      <c r="C176">
        <f t="shared" si="8"/>
        <v>25</v>
      </c>
    </row>
    <row r="177" spans="1:3" x14ac:dyDescent="0.2">
      <c r="A177" s="3">
        <f t="shared" si="7"/>
        <v>18</v>
      </c>
      <c r="B177" s="17">
        <v>0</v>
      </c>
      <c r="C177">
        <f t="shared" si="8"/>
        <v>30</v>
      </c>
    </row>
    <row r="178" spans="1:3" x14ac:dyDescent="0.2">
      <c r="A178" s="3">
        <f t="shared" si="7"/>
        <v>21</v>
      </c>
      <c r="B178" s="17">
        <v>0</v>
      </c>
      <c r="C178">
        <f t="shared" si="8"/>
        <v>35</v>
      </c>
    </row>
    <row r="179" spans="1:3" x14ac:dyDescent="0.2">
      <c r="A179" s="3">
        <f t="shared" si="7"/>
        <v>24</v>
      </c>
      <c r="B179" s="17">
        <v>1</v>
      </c>
      <c r="C179">
        <f t="shared" si="8"/>
        <v>40</v>
      </c>
    </row>
    <row r="180" spans="1:3" x14ac:dyDescent="0.2">
      <c r="A180" s="3">
        <f t="shared" si="7"/>
        <v>27</v>
      </c>
      <c r="B180" s="17">
        <v>1</v>
      </c>
      <c r="C180">
        <f t="shared" si="8"/>
        <v>45</v>
      </c>
    </row>
    <row r="181" spans="1:3" x14ac:dyDescent="0.2">
      <c r="A181" s="3">
        <f t="shared" si="7"/>
        <v>30</v>
      </c>
      <c r="B181" s="17">
        <v>0</v>
      </c>
      <c r="C181">
        <f t="shared" si="8"/>
        <v>50</v>
      </c>
    </row>
    <row r="182" spans="1:3" x14ac:dyDescent="0.2">
      <c r="A182" s="3">
        <f t="shared" si="7"/>
        <v>33</v>
      </c>
      <c r="B182" s="17">
        <v>5</v>
      </c>
      <c r="C182">
        <f t="shared" si="8"/>
        <v>55</v>
      </c>
    </row>
    <row r="183" spans="1:3" x14ac:dyDescent="0.2">
      <c r="A183" s="3">
        <f t="shared" si="7"/>
        <v>36</v>
      </c>
      <c r="B183" s="17">
        <v>0</v>
      </c>
      <c r="C183">
        <f t="shared" si="8"/>
        <v>60</v>
      </c>
    </row>
    <row r="184" spans="1:3" x14ac:dyDescent="0.2">
      <c r="A184" s="3">
        <f t="shared" si="7"/>
        <v>39</v>
      </c>
      <c r="B184" s="17">
        <v>7</v>
      </c>
      <c r="C184">
        <f t="shared" si="8"/>
        <v>65</v>
      </c>
    </row>
    <row r="185" spans="1:3" x14ac:dyDescent="0.2">
      <c r="A185" s="3">
        <f t="shared" si="7"/>
        <v>42</v>
      </c>
      <c r="B185" s="17">
        <v>6</v>
      </c>
      <c r="C185">
        <f t="shared" si="8"/>
        <v>70</v>
      </c>
    </row>
    <row r="186" spans="1:3" x14ac:dyDescent="0.2">
      <c r="A186" s="3">
        <f t="shared" si="7"/>
        <v>45</v>
      </c>
      <c r="B186" s="17">
        <v>43</v>
      </c>
      <c r="C186">
        <f t="shared" si="8"/>
        <v>75</v>
      </c>
    </row>
    <row r="187" spans="1:3" x14ac:dyDescent="0.2">
      <c r="A187" s="3">
        <f t="shared" si="7"/>
        <v>48</v>
      </c>
      <c r="B187" s="17">
        <v>15</v>
      </c>
      <c r="C187">
        <f t="shared" si="8"/>
        <v>80</v>
      </c>
    </row>
    <row r="188" spans="1:3" x14ac:dyDescent="0.2">
      <c r="A188" s="3">
        <f t="shared" si="7"/>
        <v>51</v>
      </c>
      <c r="B188" s="17">
        <v>3</v>
      </c>
      <c r="C188">
        <f t="shared" si="8"/>
        <v>85</v>
      </c>
    </row>
    <row r="189" spans="1:3" x14ac:dyDescent="0.2">
      <c r="A189" s="3">
        <f t="shared" si="7"/>
        <v>54</v>
      </c>
      <c r="B189" s="17">
        <v>1</v>
      </c>
      <c r="C189">
        <f t="shared" si="8"/>
        <v>90</v>
      </c>
    </row>
    <row r="190" spans="1:3" x14ac:dyDescent="0.2">
      <c r="A190" s="3">
        <f t="shared" si="7"/>
        <v>57</v>
      </c>
      <c r="B190" s="17">
        <v>15</v>
      </c>
      <c r="C190">
        <f t="shared" si="8"/>
        <v>95</v>
      </c>
    </row>
    <row r="191" spans="1:3" x14ac:dyDescent="0.2">
      <c r="A191" s="3">
        <f t="shared" si="7"/>
        <v>60</v>
      </c>
      <c r="B191" s="17">
        <v>108</v>
      </c>
      <c r="C191">
        <f t="shared" si="8"/>
        <v>100</v>
      </c>
    </row>
    <row r="192" spans="1:3" x14ac:dyDescent="0.2">
      <c r="A192" s="3">
        <f t="shared" si="7"/>
        <v>63</v>
      </c>
      <c r="B192" s="17">
        <v>139</v>
      </c>
      <c r="C192" s="65" t="s">
        <v>71</v>
      </c>
    </row>
    <row r="193" spans="1:8" x14ac:dyDescent="0.2">
      <c r="A193" s="3"/>
      <c r="C193" s="65"/>
    </row>
    <row r="194" spans="1:8" ht="13.5" thickBot="1" x14ac:dyDescent="0.25">
      <c r="A194" s="3"/>
    </row>
    <row r="195" spans="1:8" x14ac:dyDescent="0.2">
      <c r="A195" t="s">
        <v>25</v>
      </c>
      <c r="B195" s="25">
        <f>SUM(B172:B194)</f>
        <v>353</v>
      </c>
      <c r="F195" s="36"/>
      <c r="G195" s="17"/>
    </row>
    <row r="196" spans="1:8" x14ac:dyDescent="0.2">
      <c r="F196" s="58" t="s">
        <v>29</v>
      </c>
      <c r="G196" s="17" t="s">
        <v>55</v>
      </c>
    </row>
    <row r="197" spans="1:8" x14ac:dyDescent="0.2">
      <c r="A197" t="s">
        <v>20</v>
      </c>
      <c r="B197" s="26">
        <f>MIN('Winter 2016'!$O$9:'Winter 2016'!$O$388)/'Winter 2016'!$O$2*100</f>
        <v>0</v>
      </c>
      <c r="F197" s="48" t="s">
        <v>14</v>
      </c>
      <c r="G197" s="3">
        <f>SUM(B190:B192)/B195*100</f>
        <v>74.220963172804531</v>
      </c>
    </row>
    <row r="198" spans="1:8" x14ac:dyDescent="0.2">
      <c r="A198" t="s">
        <v>21</v>
      </c>
      <c r="B198" s="26">
        <f>MAX('Winter 2016'!$O$9:'Winter 2016'!$O$388)/'Winter 2016'!$O$2*100</f>
        <v>103.33333333333334</v>
      </c>
      <c r="F198" s="48" t="s">
        <v>15</v>
      </c>
      <c r="G198" s="3">
        <f>SUM(B188:B189)/B195*100</f>
        <v>1.1331444759206799</v>
      </c>
    </row>
    <row r="199" spans="1:8" x14ac:dyDescent="0.2">
      <c r="A199" t="s">
        <v>22</v>
      </c>
      <c r="B199" s="26">
        <f>MEDIAN('Winter 2016'!$O$9:'Winter 2016'!$O$388)/'Winter 2016'!$O$2*100</f>
        <v>100</v>
      </c>
      <c r="F199" s="48" t="s">
        <v>16</v>
      </c>
      <c r="G199" s="3">
        <f>SUM(B186:B187)/B195*100</f>
        <v>16.430594900849862</v>
      </c>
    </row>
    <row r="200" spans="1:8" x14ac:dyDescent="0.2">
      <c r="A200" t="s">
        <v>30</v>
      </c>
      <c r="B200" s="3">
        <f>SUMIF('Winter 2016'!$O$9:'Winter 2016'!$O$388,"&gt;0")/COUNTIF('Winter 2016'!$O$9:'Winter 2016'!$O$388,"&gt;0")/'Winter 2016'!$O$2*100</f>
        <v>92.814285714285717</v>
      </c>
      <c r="F200" s="48" t="s">
        <v>18</v>
      </c>
      <c r="G200" s="3">
        <f>SUM(B184:B185)/B195*100</f>
        <v>3.6827195467422094</v>
      </c>
    </row>
    <row r="201" spans="1:8" x14ac:dyDescent="0.2">
      <c r="A201" s="48" t="s">
        <v>72</v>
      </c>
      <c r="B201" s="30">
        <f t="array" ref="B201">SUM(G197:G201*{4;3;2;1;0})/100</f>
        <v>3.368271954674221</v>
      </c>
      <c r="F201" s="48" t="s">
        <v>27</v>
      </c>
      <c r="G201" s="3">
        <f>SUM(B172:B183)/B195*100</f>
        <v>4.5325779036827196</v>
      </c>
      <c r="H201" s="3">
        <f>SUM(G197:G201)</f>
        <v>99.999999999999986</v>
      </c>
    </row>
    <row r="205" spans="1:8" x14ac:dyDescent="0.2">
      <c r="A205" t="s">
        <v>24</v>
      </c>
      <c r="B205" t="s">
        <v>25</v>
      </c>
    </row>
    <row r="206" spans="1:8" x14ac:dyDescent="0.2">
      <c r="A206">
        <v>0</v>
      </c>
      <c r="B206">
        <f t="array" ref="B206:B227">FREQUENCY('Winter 2016'!$AM$9:$AM$388,Programs!A206:A227)</f>
        <v>0</v>
      </c>
      <c r="C206">
        <v>0</v>
      </c>
    </row>
    <row r="207" spans="1:8" x14ac:dyDescent="0.2">
      <c r="A207">
        <f>5+A206</f>
        <v>5</v>
      </c>
      <c r="B207">
        <v>0</v>
      </c>
      <c r="C207">
        <f>5+C206</f>
        <v>5</v>
      </c>
    </row>
    <row r="208" spans="1:8" x14ac:dyDescent="0.2">
      <c r="A208">
        <f t="shared" ref="A208:C226" si="9">5+A207</f>
        <v>10</v>
      </c>
      <c r="B208">
        <v>4</v>
      </c>
      <c r="C208">
        <f t="shared" si="9"/>
        <v>10</v>
      </c>
    </row>
    <row r="209" spans="1:3" x14ac:dyDescent="0.2">
      <c r="A209">
        <f t="shared" si="9"/>
        <v>15</v>
      </c>
      <c r="B209">
        <v>4</v>
      </c>
      <c r="C209">
        <f t="shared" si="9"/>
        <v>15</v>
      </c>
    </row>
    <row r="210" spans="1:3" x14ac:dyDescent="0.2">
      <c r="A210">
        <f t="shared" si="9"/>
        <v>20</v>
      </c>
      <c r="B210">
        <v>5</v>
      </c>
      <c r="C210">
        <f t="shared" si="9"/>
        <v>20</v>
      </c>
    </row>
    <row r="211" spans="1:3" x14ac:dyDescent="0.2">
      <c r="A211">
        <f t="shared" si="9"/>
        <v>25</v>
      </c>
      <c r="B211">
        <v>2</v>
      </c>
      <c r="C211">
        <f t="shared" si="9"/>
        <v>25</v>
      </c>
    </row>
    <row r="212" spans="1:3" x14ac:dyDescent="0.2">
      <c r="A212">
        <f t="shared" si="9"/>
        <v>30</v>
      </c>
      <c r="B212">
        <v>5</v>
      </c>
      <c r="C212">
        <f t="shared" si="9"/>
        <v>30</v>
      </c>
    </row>
    <row r="213" spans="1:3" x14ac:dyDescent="0.2">
      <c r="A213">
        <f t="shared" si="9"/>
        <v>35</v>
      </c>
      <c r="B213">
        <v>2</v>
      </c>
      <c r="C213">
        <f t="shared" si="9"/>
        <v>35</v>
      </c>
    </row>
    <row r="214" spans="1:3" x14ac:dyDescent="0.2">
      <c r="A214">
        <f t="shared" si="9"/>
        <v>40</v>
      </c>
      <c r="B214">
        <v>7</v>
      </c>
      <c r="C214">
        <f t="shared" si="9"/>
        <v>40</v>
      </c>
    </row>
    <row r="215" spans="1:3" x14ac:dyDescent="0.2">
      <c r="A215">
        <f t="shared" si="9"/>
        <v>45</v>
      </c>
      <c r="B215">
        <v>3</v>
      </c>
      <c r="C215">
        <f t="shared" si="9"/>
        <v>45</v>
      </c>
    </row>
    <row r="216" spans="1:3" x14ac:dyDescent="0.2">
      <c r="A216">
        <f t="shared" si="9"/>
        <v>50</v>
      </c>
      <c r="B216">
        <v>4</v>
      </c>
      <c r="C216">
        <f t="shared" si="9"/>
        <v>50</v>
      </c>
    </row>
    <row r="217" spans="1:3" x14ac:dyDescent="0.2">
      <c r="A217">
        <f t="shared" si="9"/>
        <v>55</v>
      </c>
      <c r="B217">
        <v>6</v>
      </c>
      <c r="C217">
        <f t="shared" si="9"/>
        <v>55</v>
      </c>
    </row>
    <row r="218" spans="1:3" x14ac:dyDescent="0.2">
      <c r="A218">
        <f t="shared" si="9"/>
        <v>60</v>
      </c>
      <c r="B218">
        <v>7</v>
      </c>
      <c r="C218">
        <f t="shared" si="9"/>
        <v>60</v>
      </c>
    </row>
    <row r="219" spans="1:3" x14ac:dyDescent="0.2">
      <c r="A219">
        <f t="shared" si="9"/>
        <v>65</v>
      </c>
      <c r="B219">
        <v>11</v>
      </c>
      <c r="C219">
        <f t="shared" si="9"/>
        <v>65</v>
      </c>
    </row>
    <row r="220" spans="1:3" x14ac:dyDescent="0.2">
      <c r="A220">
        <f t="shared" si="9"/>
        <v>70</v>
      </c>
      <c r="B220">
        <v>10</v>
      </c>
      <c r="C220">
        <f t="shared" si="9"/>
        <v>70</v>
      </c>
    </row>
    <row r="221" spans="1:3" x14ac:dyDescent="0.2">
      <c r="A221">
        <f t="shared" si="9"/>
        <v>75</v>
      </c>
      <c r="B221">
        <v>13</v>
      </c>
      <c r="C221">
        <f t="shared" si="9"/>
        <v>75</v>
      </c>
    </row>
    <row r="222" spans="1:3" x14ac:dyDescent="0.2">
      <c r="A222">
        <f t="shared" si="9"/>
        <v>80</v>
      </c>
      <c r="B222">
        <v>22</v>
      </c>
      <c r="C222">
        <f t="shared" si="9"/>
        <v>80</v>
      </c>
    </row>
    <row r="223" spans="1:3" x14ac:dyDescent="0.2">
      <c r="A223">
        <f t="shared" si="9"/>
        <v>85</v>
      </c>
      <c r="B223">
        <v>35</v>
      </c>
      <c r="C223">
        <f t="shared" si="9"/>
        <v>85</v>
      </c>
    </row>
    <row r="224" spans="1:3" x14ac:dyDescent="0.2">
      <c r="A224">
        <f t="shared" si="9"/>
        <v>90</v>
      </c>
      <c r="B224">
        <v>39</v>
      </c>
      <c r="C224">
        <f t="shared" si="9"/>
        <v>90</v>
      </c>
    </row>
    <row r="225" spans="1:8" x14ac:dyDescent="0.2">
      <c r="A225">
        <f>5+A224</f>
        <v>95</v>
      </c>
      <c r="B225">
        <v>57</v>
      </c>
      <c r="C225">
        <f>5+C224</f>
        <v>95</v>
      </c>
    </row>
    <row r="226" spans="1:8" x14ac:dyDescent="0.2">
      <c r="A226">
        <f t="shared" si="9"/>
        <v>100</v>
      </c>
      <c r="B226">
        <v>90</v>
      </c>
      <c r="C226">
        <f t="shared" si="9"/>
        <v>100</v>
      </c>
    </row>
    <row r="227" spans="1:8" ht="13.5" thickBot="1" x14ac:dyDescent="0.25">
      <c r="A227">
        <v>105</v>
      </c>
      <c r="B227">
        <v>52</v>
      </c>
      <c r="C227" s="65" t="s">
        <v>71</v>
      </c>
    </row>
    <row r="228" spans="1:8" x14ac:dyDescent="0.2">
      <c r="A228" t="s">
        <v>25</v>
      </c>
      <c r="B228" s="16">
        <f>SUM(B206:B227)</f>
        <v>378</v>
      </c>
    </row>
    <row r="229" spans="1:8" x14ac:dyDescent="0.2">
      <c r="B229"/>
      <c r="F229" s="36" t="s">
        <v>29</v>
      </c>
      <c r="G229" s="17" t="s">
        <v>55</v>
      </c>
    </row>
    <row r="230" spans="1:8" x14ac:dyDescent="0.2">
      <c r="A230" t="s">
        <v>20</v>
      </c>
      <c r="B230" s="80">
        <f>MIN('Winter 2016'!V9:'Winter 2016'!V388)/'Winter 2016'!$V$2*100</f>
        <v>0</v>
      </c>
      <c r="F230" s="48" t="s">
        <v>14</v>
      </c>
      <c r="G230" s="3">
        <f>SUM(B225:B227)/B228*100</f>
        <v>52.645502645502653</v>
      </c>
    </row>
    <row r="231" spans="1:8" x14ac:dyDescent="0.2">
      <c r="A231" t="s">
        <v>21</v>
      </c>
      <c r="B231" s="80">
        <f>MAX('Winter 2016'!V9:'Winter 2016'!V388)/'Winter 2016'!$V$2*100</f>
        <v>103.33333333333334</v>
      </c>
      <c r="F231" s="48" t="s">
        <v>15</v>
      </c>
      <c r="G231" s="3">
        <f>SUM(B223:B224)/B228*100</f>
        <v>19.576719576719576</v>
      </c>
    </row>
    <row r="232" spans="1:8" x14ac:dyDescent="0.2">
      <c r="A232" t="s">
        <v>22</v>
      </c>
      <c r="B232" s="80">
        <f>MEDIAN('Winter 2016'!V9:'Winter 2016'!V388)/'Winter 2016'!$V$2*100</f>
        <v>91.333333333333329</v>
      </c>
      <c r="F232" s="48" t="s">
        <v>16</v>
      </c>
      <c r="G232" s="3">
        <f>SUM(B221:B222)/B228*100</f>
        <v>9.2592592592592595</v>
      </c>
    </row>
    <row r="233" spans="1:8" x14ac:dyDescent="0.2">
      <c r="A233" t="s">
        <v>30</v>
      </c>
      <c r="B233" s="80">
        <f>SUMIF('Winter 2016'!$V$9:'Winter 2016'!V388,"&gt;0")/COUNTIF('Winter 2016'!$V$9:'Winter 2016'!V388,"&gt;0")/'Winter 2016'!V2*100</f>
        <v>83.037037037037038</v>
      </c>
      <c r="F233" s="48" t="s">
        <v>18</v>
      </c>
      <c r="G233" s="3">
        <f>SUM(B219:B220)/B228*100</f>
        <v>5.5555555555555554</v>
      </c>
    </row>
    <row r="234" spans="1:8" x14ac:dyDescent="0.2">
      <c r="A234" s="48" t="s">
        <v>72</v>
      </c>
      <c r="B234" s="30">
        <f t="array" ref="B234">SUM(G230:G234*{4;3;2;1;0})/100</f>
        <v>2.9338624338624339</v>
      </c>
      <c r="F234" s="48" t="s">
        <v>27</v>
      </c>
      <c r="G234" s="3">
        <f>SUM(B206:B218)/B228*100</f>
        <v>12.962962962962962</v>
      </c>
      <c r="H234" s="3">
        <f>SUM(G230:G234)</f>
        <v>100.00000000000001</v>
      </c>
    </row>
    <row r="235" spans="1:8" x14ac:dyDescent="0.2">
      <c r="G235" s="3"/>
    </row>
  </sheetData>
  <phoneticPr fontId="5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rowBreaks count="4" manualBreakCount="4">
    <brk id="34" max="65535" man="1"/>
    <brk id="68" max="65535" man="1"/>
    <brk id="102" max="65535" man="1"/>
    <brk id="374" max="6553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40"/>
  <sheetViews>
    <sheetView topLeftCell="A120" workbookViewId="0">
      <selection activeCell="B280" sqref="B280:B299"/>
    </sheetView>
  </sheetViews>
  <sheetFormatPr defaultRowHeight="12.75" x14ac:dyDescent="0.2"/>
  <cols>
    <col min="1" max="1" width="11.42578125" bestFit="1" customWidth="1"/>
  </cols>
  <sheetData>
    <row r="1" spans="1:2" hidden="1" x14ac:dyDescent="0.2">
      <c r="A1" t="s">
        <v>24</v>
      </c>
      <c r="B1" t="s">
        <v>25</v>
      </c>
    </row>
    <row r="2" spans="1:2" hidden="1" x14ac:dyDescent="0.2">
      <c r="A2" s="60">
        <v>2.5</v>
      </c>
      <c r="B2">
        <f t="array" ref="B2:B21">FREQUENCY('Winter 2016'!P9:P388,A2:A21)</f>
        <v>0</v>
      </c>
    </row>
    <row r="3" spans="1:2" hidden="1" x14ac:dyDescent="0.2">
      <c r="A3" s="60">
        <v>5</v>
      </c>
      <c r="B3">
        <v>0</v>
      </c>
    </row>
    <row r="4" spans="1:2" hidden="1" x14ac:dyDescent="0.2">
      <c r="A4" s="60">
        <v>7.5</v>
      </c>
      <c r="B4">
        <v>0</v>
      </c>
    </row>
    <row r="5" spans="1:2" hidden="1" x14ac:dyDescent="0.2">
      <c r="A5" s="60">
        <v>10</v>
      </c>
      <c r="B5">
        <v>0</v>
      </c>
    </row>
    <row r="6" spans="1:2" hidden="1" x14ac:dyDescent="0.2">
      <c r="A6" s="60">
        <v>12.5</v>
      </c>
      <c r="B6">
        <v>0</v>
      </c>
    </row>
    <row r="7" spans="1:2" hidden="1" x14ac:dyDescent="0.2">
      <c r="A7" s="60">
        <v>15</v>
      </c>
      <c r="B7">
        <v>0</v>
      </c>
    </row>
    <row r="8" spans="1:2" hidden="1" x14ac:dyDescent="0.2">
      <c r="A8" s="60">
        <v>17.5</v>
      </c>
      <c r="B8">
        <v>0</v>
      </c>
    </row>
    <row r="9" spans="1:2" hidden="1" x14ac:dyDescent="0.2">
      <c r="A9" s="60">
        <v>20</v>
      </c>
      <c r="B9">
        <v>0</v>
      </c>
    </row>
    <row r="10" spans="1:2" hidden="1" x14ac:dyDescent="0.2">
      <c r="A10" s="60">
        <v>22.5</v>
      </c>
      <c r="B10">
        <v>0</v>
      </c>
    </row>
    <row r="11" spans="1:2" hidden="1" x14ac:dyDescent="0.2">
      <c r="A11" s="60">
        <v>25</v>
      </c>
      <c r="B11">
        <v>0</v>
      </c>
    </row>
    <row r="12" spans="1:2" hidden="1" x14ac:dyDescent="0.2">
      <c r="A12" s="60">
        <v>27.5</v>
      </c>
      <c r="B12">
        <v>0</v>
      </c>
    </row>
    <row r="13" spans="1:2" hidden="1" x14ac:dyDescent="0.2">
      <c r="A13" s="60">
        <v>30</v>
      </c>
      <c r="B13">
        <v>0</v>
      </c>
    </row>
    <row r="14" spans="1:2" hidden="1" x14ac:dyDescent="0.2">
      <c r="A14" s="60">
        <v>32.5</v>
      </c>
      <c r="B14">
        <v>0</v>
      </c>
    </row>
    <row r="15" spans="1:2" hidden="1" x14ac:dyDescent="0.2">
      <c r="A15" s="60">
        <v>35</v>
      </c>
      <c r="B15">
        <v>0</v>
      </c>
    </row>
    <row r="16" spans="1:2" hidden="1" x14ac:dyDescent="0.2">
      <c r="A16" s="60">
        <v>37.5</v>
      </c>
      <c r="B16">
        <v>0</v>
      </c>
    </row>
    <row r="17" spans="1:8" hidden="1" x14ac:dyDescent="0.2">
      <c r="A17" s="60">
        <v>40</v>
      </c>
      <c r="B17">
        <v>0</v>
      </c>
    </row>
    <row r="18" spans="1:8" hidden="1" x14ac:dyDescent="0.2">
      <c r="A18" s="60">
        <v>42.5</v>
      </c>
      <c r="B18">
        <v>0</v>
      </c>
    </row>
    <row r="19" spans="1:8" hidden="1" x14ac:dyDescent="0.2">
      <c r="A19" s="60">
        <v>45</v>
      </c>
      <c r="B19">
        <v>0</v>
      </c>
    </row>
    <row r="20" spans="1:8" hidden="1" x14ac:dyDescent="0.2">
      <c r="A20" s="60">
        <v>47.5</v>
      </c>
      <c r="B20">
        <v>0</v>
      </c>
    </row>
    <row r="21" spans="1:8" ht="13.5" hidden="1" thickBot="1" x14ac:dyDescent="0.25">
      <c r="A21" s="60">
        <v>50</v>
      </c>
      <c r="B21">
        <v>0</v>
      </c>
    </row>
    <row r="22" spans="1:8" hidden="1" x14ac:dyDescent="0.2">
      <c r="A22" t="s">
        <v>25</v>
      </c>
      <c r="B22" s="16">
        <f>SUM(B2:B21)</f>
        <v>0</v>
      </c>
    </row>
    <row r="23" spans="1:8" hidden="1" x14ac:dyDescent="0.2">
      <c r="D23" s="65" t="s">
        <v>29</v>
      </c>
      <c r="E23" s="65" t="s">
        <v>55</v>
      </c>
      <c r="F23" s="58" t="s">
        <v>58</v>
      </c>
      <c r="H23" s="48" t="s">
        <v>56</v>
      </c>
    </row>
    <row r="24" spans="1:8" hidden="1" x14ac:dyDescent="0.2">
      <c r="A24" t="s">
        <v>20</v>
      </c>
      <c r="B24" s="3" t="e">
        <f>MIN('Winter 2016'!$P$9:'Winter 2016'!$P$388)*100/'Winter 2016'!$P$2</f>
        <v>#DIV/0!</v>
      </c>
      <c r="D24" s="65" t="s">
        <v>48</v>
      </c>
      <c r="E24" s="3" t="e">
        <f>SUM(B20:B21)/B22*100</f>
        <v>#DIV/0!</v>
      </c>
      <c r="F24">
        <v>4</v>
      </c>
      <c r="G24" s="3"/>
      <c r="H24" s="60" t="e">
        <f t="array" ref="H24">SUM({4;3;2;1;0}*E24:E28)/100</f>
        <v>#DIV/0!</v>
      </c>
    </row>
    <row r="25" spans="1:8" hidden="1" x14ac:dyDescent="0.2">
      <c r="A25" t="s">
        <v>21</v>
      </c>
      <c r="B25" s="3" t="e">
        <f>MAX('Winter 2016'!$P$9:'Winter 2016'!$P$388)*100/'Winter 2016'!$P$2</f>
        <v>#DIV/0!</v>
      </c>
      <c r="D25" s="65" t="s">
        <v>49</v>
      </c>
      <c r="E25" s="3" t="e">
        <f>SUM(B18:B19)/B22*100</f>
        <v>#DIV/0!</v>
      </c>
      <c r="F25">
        <v>3</v>
      </c>
      <c r="G25" s="3"/>
      <c r="H25" s="48" t="s">
        <v>57</v>
      </c>
    </row>
    <row r="26" spans="1:8" hidden="1" x14ac:dyDescent="0.2">
      <c r="A26" t="s">
        <v>39</v>
      </c>
      <c r="B26" s="3" t="e">
        <f>MEDIAN('Winter 2016'!$P$9:'Winter 2016'!$P$388)*100/'Winter 2016'!$P$2</f>
        <v>#NUM!</v>
      </c>
      <c r="D26" s="65" t="s">
        <v>50</v>
      </c>
      <c r="E26" s="3" t="e">
        <f>SUM(B16:B17)/B22*100</f>
        <v>#DIV/0!</v>
      </c>
      <c r="F26">
        <v>2</v>
      </c>
      <c r="G26" s="3"/>
    </row>
    <row r="27" spans="1:8" hidden="1" x14ac:dyDescent="0.2">
      <c r="A27" t="s">
        <v>38</v>
      </c>
      <c r="B27" s="3" t="e">
        <f>SUMIF('Winter 2016'!$P$9:'Winter 2016'!$P$388,"&gt;0")*100/COUNTIF('Winter 2016'!$P$9:'Winter 2016'!$P$388,"&gt;0")/'Winter 2016'!$P$2</f>
        <v>#DIV/0!</v>
      </c>
      <c r="D27" s="65" t="s">
        <v>51</v>
      </c>
      <c r="E27" s="3" t="e">
        <f>SUM(B14:B15)/B22*100</f>
        <v>#DIV/0!</v>
      </c>
      <c r="F27">
        <v>1</v>
      </c>
      <c r="G27" s="3"/>
    </row>
    <row r="28" spans="1:8" hidden="1" x14ac:dyDescent="0.2">
      <c r="A28" t="s">
        <v>23</v>
      </c>
      <c r="B28" s="3" t="e">
        <f>STDEV('Winter 2016'!$P$9:'Winter 2016'!$P$388)</f>
        <v>#DIV/0!</v>
      </c>
      <c r="D28" s="65" t="s">
        <v>52</v>
      </c>
      <c r="E28" s="3" t="e">
        <f>100-SUM(E24:E27)</f>
        <v>#DIV/0!</v>
      </c>
      <c r="F28">
        <v>0</v>
      </c>
      <c r="G28" s="3"/>
    </row>
    <row r="29" spans="1:8" hidden="1" x14ac:dyDescent="0.2">
      <c r="E29" s="66"/>
      <c r="G29" s="60"/>
    </row>
    <row r="30" spans="1:8" hidden="1" x14ac:dyDescent="0.2"/>
    <row r="31" spans="1:8" hidden="1" x14ac:dyDescent="0.2">
      <c r="A31" t="s">
        <v>24</v>
      </c>
      <c r="B31" t="s">
        <v>25</v>
      </c>
    </row>
    <row r="32" spans="1:8" hidden="1" x14ac:dyDescent="0.2">
      <c r="A32" s="60">
        <v>2.5</v>
      </c>
      <c r="B32">
        <f t="array" ref="B32:B51">FREQUENCY('Winter 2016'!Q9:Q388,A32:A50)</f>
        <v>0</v>
      </c>
    </row>
    <row r="33" spans="1:2" hidden="1" x14ac:dyDescent="0.2">
      <c r="A33" s="60">
        <v>5</v>
      </c>
      <c r="B33">
        <v>0</v>
      </c>
    </row>
    <row r="34" spans="1:2" hidden="1" x14ac:dyDescent="0.2">
      <c r="A34" s="60">
        <v>7.5</v>
      </c>
      <c r="B34">
        <v>0</v>
      </c>
    </row>
    <row r="35" spans="1:2" hidden="1" x14ac:dyDescent="0.2">
      <c r="A35" s="60">
        <v>10</v>
      </c>
      <c r="B35">
        <v>0</v>
      </c>
    </row>
    <row r="36" spans="1:2" hidden="1" x14ac:dyDescent="0.2">
      <c r="A36" s="60">
        <v>12.5</v>
      </c>
      <c r="B36">
        <v>0</v>
      </c>
    </row>
    <row r="37" spans="1:2" hidden="1" x14ac:dyDescent="0.2">
      <c r="A37" s="60">
        <v>15</v>
      </c>
      <c r="B37">
        <v>0</v>
      </c>
    </row>
    <row r="38" spans="1:2" hidden="1" x14ac:dyDescent="0.2">
      <c r="A38" s="60">
        <v>17.5</v>
      </c>
      <c r="B38">
        <v>0</v>
      </c>
    </row>
    <row r="39" spans="1:2" hidden="1" x14ac:dyDescent="0.2">
      <c r="A39" s="60">
        <v>20</v>
      </c>
      <c r="B39">
        <v>0</v>
      </c>
    </row>
    <row r="40" spans="1:2" hidden="1" x14ac:dyDescent="0.2">
      <c r="A40" s="60">
        <v>22.5</v>
      </c>
      <c r="B40">
        <v>0</v>
      </c>
    </row>
    <row r="41" spans="1:2" hidden="1" x14ac:dyDescent="0.2">
      <c r="A41" s="60">
        <v>25</v>
      </c>
      <c r="B41">
        <v>0</v>
      </c>
    </row>
    <row r="42" spans="1:2" hidden="1" x14ac:dyDescent="0.2">
      <c r="A42" s="60">
        <v>27.5</v>
      </c>
      <c r="B42">
        <v>0</v>
      </c>
    </row>
    <row r="43" spans="1:2" hidden="1" x14ac:dyDescent="0.2">
      <c r="A43" s="60">
        <v>30</v>
      </c>
      <c r="B43">
        <v>0</v>
      </c>
    </row>
    <row r="44" spans="1:2" hidden="1" x14ac:dyDescent="0.2">
      <c r="A44" s="60">
        <v>32.5</v>
      </c>
      <c r="B44">
        <v>0</v>
      </c>
    </row>
    <row r="45" spans="1:2" hidden="1" x14ac:dyDescent="0.2">
      <c r="A45" s="60">
        <v>35</v>
      </c>
      <c r="B45">
        <v>0</v>
      </c>
    </row>
    <row r="46" spans="1:2" hidden="1" x14ac:dyDescent="0.2">
      <c r="A46" s="60">
        <v>37.5</v>
      </c>
      <c r="B46">
        <v>0</v>
      </c>
    </row>
    <row r="47" spans="1:2" hidden="1" x14ac:dyDescent="0.2">
      <c r="A47" s="60">
        <v>40</v>
      </c>
      <c r="B47">
        <v>0</v>
      </c>
    </row>
    <row r="48" spans="1:2" hidden="1" x14ac:dyDescent="0.2">
      <c r="A48" s="60">
        <v>42.5</v>
      </c>
      <c r="B48">
        <v>0</v>
      </c>
    </row>
    <row r="49" spans="1:8" hidden="1" x14ac:dyDescent="0.2">
      <c r="A49" s="60">
        <v>45</v>
      </c>
      <c r="B49">
        <v>0</v>
      </c>
    </row>
    <row r="50" spans="1:8" hidden="1" x14ac:dyDescent="0.2">
      <c r="A50" s="60">
        <v>47.5</v>
      </c>
      <c r="B50">
        <v>0</v>
      </c>
    </row>
    <row r="51" spans="1:8" ht="13.5" hidden="1" thickBot="1" x14ac:dyDescent="0.25">
      <c r="A51" s="60">
        <v>50</v>
      </c>
      <c r="B51">
        <v>0</v>
      </c>
    </row>
    <row r="52" spans="1:8" hidden="1" x14ac:dyDescent="0.2">
      <c r="A52" t="s">
        <v>25</v>
      </c>
      <c r="B52" s="16">
        <f>SUM(B32:B51)</f>
        <v>0</v>
      </c>
    </row>
    <row r="53" spans="1:8" hidden="1" x14ac:dyDescent="0.2">
      <c r="D53" s="65" t="s">
        <v>29</v>
      </c>
      <c r="E53" s="65" t="s">
        <v>55</v>
      </c>
      <c r="F53" s="58" t="s">
        <v>58</v>
      </c>
      <c r="H53" s="48" t="s">
        <v>56</v>
      </c>
    </row>
    <row r="54" spans="1:8" hidden="1" x14ac:dyDescent="0.2">
      <c r="A54" t="s">
        <v>20</v>
      </c>
      <c r="B54" s="3">
        <f>MIN('Winter 2016'!$Q$9:'Winter 2016'!$Q$388)*100/50</f>
        <v>0</v>
      </c>
      <c r="D54" s="65" t="s">
        <v>48</v>
      </c>
      <c r="E54" s="3" t="e">
        <f>SUM(B50:B51)/B52*100</f>
        <v>#DIV/0!</v>
      </c>
      <c r="F54">
        <v>4</v>
      </c>
      <c r="G54" s="3"/>
      <c r="H54" s="60" t="e">
        <f t="array" ref="H54">SUM({4;3;2;1;0}*E54:E58)/100</f>
        <v>#DIV/0!</v>
      </c>
    </row>
    <row r="55" spans="1:8" hidden="1" x14ac:dyDescent="0.2">
      <c r="A55" t="s">
        <v>21</v>
      </c>
      <c r="B55" s="3">
        <f>MAX('Winter 2016'!$Q$9:'Winter 2016'!$Q$388)*100/50</f>
        <v>0</v>
      </c>
      <c r="D55" s="65" t="s">
        <v>49</v>
      </c>
      <c r="E55" s="3" t="e">
        <f>SUM(B48:B49)/B52*100</f>
        <v>#DIV/0!</v>
      </c>
      <c r="F55">
        <v>3</v>
      </c>
      <c r="G55" s="3"/>
      <c r="H55" s="48" t="s">
        <v>61</v>
      </c>
    </row>
    <row r="56" spans="1:8" hidden="1" x14ac:dyDescent="0.2">
      <c r="A56" t="s">
        <v>39</v>
      </c>
      <c r="B56" s="3" t="e">
        <f>MEDIAN('Winter 2016'!$Q$9:'Winter 2016'!$Q$388)*100/50</f>
        <v>#NUM!</v>
      </c>
      <c r="D56" s="65" t="s">
        <v>50</v>
      </c>
      <c r="E56" s="3" t="e">
        <f>SUM(B46:B47)/B52*100</f>
        <v>#DIV/0!</v>
      </c>
      <c r="F56">
        <v>2</v>
      </c>
      <c r="G56" s="3"/>
    </row>
    <row r="57" spans="1:8" hidden="1" x14ac:dyDescent="0.2">
      <c r="A57" t="s">
        <v>38</v>
      </c>
      <c r="B57" s="3" t="e">
        <f>SUMIF('Winter 2016'!$Q$9:'Winter 2016'!$Q$388,"&gt;0")*100/COUNTIF('Winter 2016'!$Q$9:'Winter 2016'!$Q$388,"&gt;0")/50</f>
        <v>#DIV/0!</v>
      </c>
      <c r="D57" s="65" t="s">
        <v>51</v>
      </c>
      <c r="E57" s="3" t="e">
        <f>SUM(B44:B45)/B52*100</f>
        <v>#DIV/0!</v>
      </c>
      <c r="F57">
        <v>1</v>
      </c>
      <c r="G57" s="3"/>
    </row>
    <row r="58" spans="1:8" hidden="1" x14ac:dyDescent="0.2">
      <c r="A58" t="s">
        <v>23</v>
      </c>
      <c r="B58" s="3" t="e">
        <f>STDEV('Winter 2016'!$Q$9:'Winter 2016'!$Q$388)</f>
        <v>#DIV/0!</v>
      </c>
      <c r="D58" s="65" t="s">
        <v>52</v>
      </c>
      <c r="E58" s="3" t="e">
        <f>100-SUM(E54:E57)</f>
        <v>#DIV/0!</v>
      </c>
      <c r="F58">
        <v>0</v>
      </c>
      <c r="G58" s="3"/>
    </row>
    <row r="59" spans="1:8" hidden="1" x14ac:dyDescent="0.2"/>
    <row r="60" spans="1:8" hidden="1" x14ac:dyDescent="0.2"/>
    <row r="61" spans="1:8" hidden="1" x14ac:dyDescent="0.2"/>
    <row r="62" spans="1:8" x14ac:dyDescent="0.2">
      <c r="A62" s="48" t="s">
        <v>55</v>
      </c>
      <c r="B62" t="s">
        <v>25</v>
      </c>
    </row>
    <row r="63" spans="1:8" x14ac:dyDescent="0.2">
      <c r="A63">
        <v>5</v>
      </c>
      <c r="B63">
        <f t="array" ref="B63:B82">FREQUENCY('Winter 2016'!AP9:'Winter 2016'!AP388,A63:A81)</f>
        <v>0</v>
      </c>
    </row>
    <row r="64" spans="1:8" x14ac:dyDescent="0.2">
      <c r="A64">
        <v>10</v>
      </c>
      <c r="B64">
        <v>0</v>
      </c>
    </row>
    <row r="65" spans="1:2" x14ac:dyDescent="0.2">
      <c r="A65">
        <v>15</v>
      </c>
      <c r="B65">
        <v>4</v>
      </c>
    </row>
    <row r="66" spans="1:2" x14ac:dyDescent="0.2">
      <c r="A66">
        <v>20</v>
      </c>
      <c r="B66">
        <v>0</v>
      </c>
    </row>
    <row r="67" spans="1:2" x14ac:dyDescent="0.2">
      <c r="A67">
        <v>25</v>
      </c>
      <c r="B67">
        <v>1</v>
      </c>
    </row>
    <row r="68" spans="1:2" x14ac:dyDescent="0.2">
      <c r="A68">
        <v>30</v>
      </c>
      <c r="B68">
        <v>0</v>
      </c>
    </row>
    <row r="69" spans="1:2" x14ac:dyDescent="0.2">
      <c r="A69">
        <v>35</v>
      </c>
      <c r="B69">
        <v>0</v>
      </c>
    </row>
    <row r="70" spans="1:2" x14ac:dyDescent="0.2">
      <c r="A70">
        <v>40</v>
      </c>
      <c r="B70">
        <v>0</v>
      </c>
    </row>
    <row r="71" spans="1:2" x14ac:dyDescent="0.2">
      <c r="A71">
        <v>45</v>
      </c>
      <c r="B71">
        <v>2</v>
      </c>
    </row>
    <row r="72" spans="1:2" x14ac:dyDescent="0.2">
      <c r="A72">
        <v>50</v>
      </c>
      <c r="B72">
        <v>6</v>
      </c>
    </row>
    <row r="73" spans="1:2" x14ac:dyDescent="0.2">
      <c r="A73">
        <v>55</v>
      </c>
      <c r="B73">
        <v>20</v>
      </c>
    </row>
    <row r="74" spans="1:2" x14ac:dyDescent="0.2">
      <c r="A74">
        <v>60</v>
      </c>
      <c r="B74">
        <v>21</v>
      </c>
    </row>
    <row r="75" spans="1:2" x14ac:dyDescent="0.2">
      <c r="A75">
        <v>65</v>
      </c>
      <c r="B75">
        <v>39</v>
      </c>
    </row>
    <row r="76" spans="1:2" x14ac:dyDescent="0.2">
      <c r="A76">
        <v>70</v>
      </c>
      <c r="B76">
        <v>42</v>
      </c>
    </row>
    <row r="77" spans="1:2" x14ac:dyDescent="0.2">
      <c r="A77">
        <v>75</v>
      </c>
      <c r="B77">
        <v>47</v>
      </c>
    </row>
    <row r="78" spans="1:2" x14ac:dyDescent="0.2">
      <c r="A78">
        <v>80</v>
      </c>
      <c r="B78">
        <v>43</v>
      </c>
    </row>
    <row r="79" spans="1:2" x14ac:dyDescent="0.2">
      <c r="A79">
        <v>85</v>
      </c>
      <c r="B79">
        <v>63</v>
      </c>
    </row>
    <row r="80" spans="1:2" x14ac:dyDescent="0.2">
      <c r="A80">
        <v>90</v>
      </c>
      <c r="B80">
        <v>45</v>
      </c>
    </row>
    <row r="81" spans="1:7" x14ac:dyDescent="0.2">
      <c r="A81">
        <v>95</v>
      </c>
      <c r="B81">
        <v>30</v>
      </c>
    </row>
    <row r="82" spans="1:7" ht="13.5" thickBot="1" x14ac:dyDescent="0.25">
      <c r="A82">
        <v>100</v>
      </c>
      <c r="B82">
        <v>17</v>
      </c>
    </row>
    <row r="83" spans="1:7" x14ac:dyDescent="0.2">
      <c r="A83" t="s">
        <v>25</v>
      </c>
      <c r="B83" s="16">
        <f>SUM(B63:B82)</f>
        <v>380</v>
      </c>
    </row>
    <row r="84" spans="1:7" x14ac:dyDescent="0.2">
      <c r="E84" s="36" t="s">
        <v>29</v>
      </c>
      <c r="F84" s="17" t="s">
        <v>55</v>
      </c>
    </row>
    <row r="85" spans="1:7" x14ac:dyDescent="0.2">
      <c r="A85" t="s">
        <v>20</v>
      </c>
      <c r="B85" s="3">
        <f>MIN('Winter 2016'!$AP$9:'Winter 2016'!$AP$388)</f>
        <v>14.502659574468083</v>
      </c>
      <c r="E85" s="48" t="s">
        <v>14</v>
      </c>
      <c r="F85" s="3">
        <f>SUM(B81:B82)/B83*100</f>
        <v>12.368421052631579</v>
      </c>
    </row>
    <row r="86" spans="1:7" x14ac:dyDescent="0.2">
      <c r="A86" t="s">
        <v>21</v>
      </c>
      <c r="B86" s="3">
        <f>MAX('Winter 2016'!$AP$9:'Winter 2016'!$AP$388)</f>
        <v>106.50265957446807</v>
      </c>
      <c r="E86" s="48" t="s">
        <v>15</v>
      </c>
      <c r="F86" s="3">
        <f>SUM(B79:B80)/B83*100</f>
        <v>28.421052631578945</v>
      </c>
    </row>
    <row r="87" spans="1:7" x14ac:dyDescent="0.2">
      <c r="A87" t="s">
        <v>39</v>
      </c>
      <c r="B87" s="3">
        <f>MEDIAN('Winter 2016'!$AP$9:'Winter 2016'!$AP$388)</f>
        <v>76.002659574468083</v>
      </c>
      <c r="E87" s="48" t="s">
        <v>16</v>
      </c>
      <c r="F87" s="3">
        <f>SUM(B77:B78)/B83*100</f>
        <v>23.684210526315788</v>
      </c>
    </row>
    <row r="88" spans="1:7" x14ac:dyDescent="0.2">
      <c r="A88" t="s">
        <v>38</v>
      </c>
      <c r="B88" s="3">
        <f>SUMIF('Winter 2016'!$AP$9:'Winter 2016'!$AP$388,"&gt;0")/COUNTIF('Winter 2016'!$AP$9:'Winter 2016'!$AP$388,"&gt;0")</f>
        <v>74.363185890257213</v>
      </c>
      <c r="E88" s="48" t="s">
        <v>18</v>
      </c>
      <c r="F88" s="3">
        <f>SUM(B75:B76)/B83*100</f>
        <v>21.315789473684209</v>
      </c>
    </row>
    <row r="89" spans="1:7" x14ac:dyDescent="0.2">
      <c r="A89" s="48" t="s">
        <v>72</v>
      </c>
      <c r="B89" s="30">
        <f t="array" ref="B89">SUM(F85:F89*{4;3;2;1;0})/100</f>
        <v>2.0342105263157895</v>
      </c>
      <c r="E89" s="48" t="s">
        <v>27</v>
      </c>
      <c r="F89" s="3">
        <f>SUM(B63:B74)/B83*100</f>
        <v>14.210526315789473</v>
      </c>
      <c r="G89" s="3">
        <f>SUM(F85:F89)</f>
        <v>99.999999999999972</v>
      </c>
    </row>
    <row r="90" spans="1:7" x14ac:dyDescent="0.2">
      <c r="F90" s="3"/>
    </row>
    <row r="93" spans="1:7" x14ac:dyDescent="0.2">
      <c r="A93" s="48" t="s">
        <v>55</v>
      </c>
      <c r="B93" t="s">
        <v>25</v>
      </c>
    </row>
    <row r="94" spans="1:7" x14ac:dyDescent="0.2">
      <c r="A94">
        <v>5</v>
      </c>
      <c r="B94">
        <f t="array" ref="B94:B113">FREQUENCY('Winter 2016'!AR9:AR388,A94:A113)</f>
        <v>0</v>
      </c>
    </row>
    <row r="95" spans="1:7" x14ac:dyDescent="0.2">
      <c r="A95">
        <v>10</v>
      </c>
      <c r="B95">
        <v>0</v>
      </c>
    </row>
    <row r="96" spans="1:7" x14ac:dyDescent="0.2">
      <c r="A96">
        <v>15</v>
      </c>
      <c r="B96">
        <v>0</v>
      </c>
    </row>
    <row r="97" spans="1:2" x14ac:dyDescent="0.2">
      <c r="A97">
        <v>20</v>
      </c>
      <c r="B97">
        <v>19</v>
      </c>
    </row>
    <row r="98" spans="1:2" x14ac:dyDescent="0.2">
      <c r="A98">
        <v>25</v>
      </c>
      <c r="B98">
        <v>0</v>
      </c>
    </row>
    <row r="99" spans="1:2" x14ac:dyDescent="0.2">
      <c r="A99">
        <v>30</v>
      </c>
      <c r="B99">
        <v>0</v>
      </c>
    </row>
    <row r="100" spans="1:2" x14ac:dyDescent="0.2">
      <c r="A100">
        <v>35</v>
      </c>
      <c r="B100">
        <v>1</v>
      </c>
    </row>
    <row r="101" spans="1:2" x14ac:dyDescent="0.2">
      <c r="A101">
        <v>40</v>
      </c>
      <c r="B101">
        <v>2</v>
      </c>
    </row>
    <row r="102" spans="1:2" x14ac:dyDescent="0.2">
      <c r="A102">
        <v>45</v>
      </c>
      <c r="B102">
        <v>3</v>
      </c>
    </row>
    <row r="103" spans="1:2" x14ac:dyDescent="0.2">
      <c r="A103">
        <v>50</v>
      </c>
      <c r="B103">
        <v>6</v>
      </c>
    </row>
    <row r="104" spans="1:2" x14ac:dyDescent="0.2">
      <c r="A104">
        <v>55</v>
      </c>
      <c r="B104">
        <v>19</v>
      </c>
    </row>
    <row r="105" spans="1:2" x14ac:dyDescent="0.2">
      <c r="A105">
        <v>60</v>
      </c>
      <c r="B105">
        <v>16</v>
      </c>
    </row>
    <row r="106" spans="1:2" x14ac:dyDescent="0.2">
      <c r="A106">
        <v>65</v>
      </c>
      <c r="B106">
        <v>31</v>
      </c>
    </row>
    <row r="107" spans="1:2" x14ac:dyDescent="0.2">
      <c r="A107">
        <v>70</v>
      </c>
      <c r="B107">
        <v>46</v>
      </c>
    </row>
    <row r="108" spans="1:2" x14ac:dyDescent="0.2">
      <c r="A108">
        <v>75</v>
      </c>
      <c r="B108">
        <v>51</v>
      </c>
    </row>
    <row r="109" spans="1:2" x14ac:dyDescent="0.2">
      <c r="A109">
        <v>80</v>
      </c>
      <c r="B109">
        <v>57</v>
      </c>
    </row>
    <row r="110" spans="1:2" x14ac:dyDescent="0.2">
      <c r="A110">
        <v>85</v>
      </c>
      <c r="B110">
        <v>43</v>
      </c>
    </row>
    <row r="111" spans="1:2" x14ac:dyDescent="0.2">
      <c r="A111">
        <v>90</v>
      </c>
      <c r="B111">
        <v>32</v>
      </c>
    </row>
    <row r="112" spans="1:2" x14ac:dyDescent="0.2">
      <c r="A112">
        <v>95</v>
      </c>
      <c r="B112">
        <v>32</v>
      </c>
    </row>
    <row r="113" spans="1:7" ht="13.5" thickBot="1" x14ac:dyDescent="0.25">
      <c r="A113">
        <v>120</v>
      </c>
      <c r="B113">
        <v>22</v>
      </c>
    </row>
    <row r="114" spans="1:7" x14ac:dyDescent="0.2">
      <c r="A114" t="s">
        <v>25</v>
      </c>
      <c r="B114" s="16">
        <f>SUM(B94:B113)</f>
        <v>380</v>
      </c>
    </row>
    <row r="115" spans="1:7" x14ac:dyDescent="0.2">
      <c r="E115" s="36" t="s">
        <v>29</v>
      </c>
      <c r="F115" s="17" t="s">
        <v>55</v>
      </c>
    </row>
    <row r="116" spans="1:7" x14ac:dyDescent="0.2">
      <c r="A116" t="s">
        <v>20</v>
      </c>
      <c r="B116" s="3">
        <f>MIN('Winter 2016'!$T$9:'Winter 2016'!$T$388)*100/'Winter 2016'!$T$2</f>
        <v>16.333333333333332</v>
      </c>
      <c r="C116" s="3"/>
      <c r="E116" s="48" t="s">
        <v>14</v>
      </c>
      <c r="F116" s="3">
        <f>SUM(B112:B113)/B114*100</f>
        <v>14.210526315789473</v>
      </c>
    </row>
    <row r="117" spans="1:7" x14ac:dyDescent="0.2">
      <c r="A117" t="s">
        <v>21</v>
      </c>
      <c r="B117" s="3">
        <f>MAX('Winter 2016'!$T$9:'Winter 2016'!$T$388)*100/'Winter 2016'!$T$2</f>
        <v>89.333333333333329</v>
      </c>
      <c r="C117" s="3"/>
      <c r="E117" s="48" t="s">
        <v>15</v>
      </c>
      <c r="F117" s="3">
        <f>SUM(B110:B111)/B114*100</f>
        <v>19.736842105263158</v>
      </c>
    </row>
    <row r="118" spans="1:7" x14ac:dyDescent="0.2">
      <c r="A118" t="s">
        <v>22</v>
      </c>
      <c r="B118" s="3">
        <f>MEDIAN('Winter 2016'!$T$9:'Winter 2016'!$T$388)*100/'Winter 2016'!$T$2</f>
        <v>59.666666666666664</v>
      </c>
      <c r="C118" s="3"/>
      <c r="E118" s="48" t="s">
        <v>16</v>
      </c>
      <c r="F118" s="3">
        <f>SUM(B108:B109)/B114*100</f>
        <v>28.421052631578945</v>
      </c>
    </row>
    <row r="119" spans="1:7" x14ac:dyDescent="0.2">
      <c r="A119" t="s">
        <v>30</v>
      </c>
      <c r="B119" s="3">
        <f>SUMIF('Winter 2016'!$T$9:'Winter 2016'!$T$388,"&gt;0")/COUNTIF('Winter 2016'!$T$9:'Winter 2016'!$T$388,"&gt;0")*100/'Winter 2016'!$T$2</f>
        <v>59.636195752539244</v>
      </c>
      <c r="C119" s="3"/>
      <c r="E119" s="48" t="s">
        <v>18</v>
      </c>
      <c r="F119" s="3">
        <f>SUM(B106:B107)/B114*100</f>
        <v>20.263157894736842</v>
      </c>
    </row>
    <row r="120" spans="1:7" x14ac:dyDescent="0.2">
      <c r="A120" s="48" t="s">
        <v>72</v>
      </c>
      <c r="B120" s="30">
        <f t="array" ref="B120">SUM(F116:F120*{4;3;2;1;0})/100</f>
        <v>1.9315789473684211</v>
      </c>
      <c r="E120" s="48" t="s">
        <v>27</v>
      </c>
      <c r="F120" s="3">
        <f>SUM(B94:B105)/B114*100</f>
        <v>17.368421052631579</v>
      </c>
      <c r="G120" s="3">
        <f>SUM(F116:F120)</f>
        <v>99.999999999999986</v>
      </c>
    </row>
    <row r="121" spans="1:7" x14ac:dyDescent="0.2">
      <c r="A121" s="48"/>
      <c r="B121" s="30"/>
      <c r="E121" s="48"/>
      <c r="F121" s="3"/>
      <c r="G121" s="3"/>
    </row>
    <row r="122" spans="1:7" x14ac:dyDescent="0.2">
      <c r="A122" s="48"/>
      <c r="B122" s="30"/>
      <c r="E122" s="48"/>
      <c r="F122" s="3"/>
      <c r="G122" s="3"/>
    </row>
    <row r="123" spans="1:7" x14ac:dyDescent="0.2">
      <c r="A123" s="48"/>
      <c r="B123" s="30"/>
      <c r="E123" s="48"/>
      <c r="F123" s="3"/>
      <c r="G123" s="3"/>
    </row>
    <row r="124" spans="1:7" x14ac:dyDescent="0.2">
      <c r="A124" s="48" t="s">
        <v>55</v>
      </c>
      <c r="B124" t="s">
        <v>25</v>
      </c>
    </row>
    <row r="125" spans="1:7" x14ac:dyDescent="0.2">
      <c r="A125">
        <v>5</v>
      </c>
      <c r="B125">
        <f t="array" ref="B125:B144">FREQUENCY('Winter 2016'!AS9:AS388,A125:A143)</f>
        <v>0</v>
      </c>
    </row>
    <row r="126" spans="1:7" x14ac:dyDescent="0.2">
      <c r="A126">
        <v>10</v>
      </c>
      <c r="B126">
        <v>0</v>
      </c>
    </row>
    <row r="127" spans="1:7" x14ac:dyDescent="0.2">
      <c r="A127">
        <v>15</v>
      </c>
      <c r="B127">
        <v>0</v>
      </c>
    </row>
    <row r="128" spans="1:7" x14ac:dyDescent="0.2">
      <c r="A128">
        <v>20</v>
      </c>
      <c r="B128">
        <v>0</v>
      </c>
    </row>
    <row r="129" spans="1:3" x14ac:dyDescent="0.2">
      <c r="A129">
        <v>25</v>
      </c>
      <c r="B129">
        <v>0</v>
      </c>
    </row>
    <row r="130" spans="1:3" x14ac:dyDescent="0.2">
      <c r="A130">
        <v>30</v>
      </c>
      <c r="B130">
        <v>6</v>
      </c>
    </row>
    <row r="131" spans="1:3" x14ac:dyDescent="0.2">
      <c r="A131">
        <v>35</v>
      </c>
      <c r="B131">
        <v>2</v>
      </c>
    </row>
    <row r="132" spans="1:3" x14ac:dyDescent="0.2">
      <c r="A132">
        <v>40</v>
      </c>
      <c r="B132">
        <v>7</v>
      </c>
    </row>
    <row r="133" spans="1:3" x14ac:dyDescent="0.2">
      <c r="A133">
        <v>45</v>
      </c>
      <c r="B133">
        <v>2</v>
      </c>
    </row>
    <row r="134" spans="1:3" x14ac:dyDescent="0.2">
      <c r="A134">
        <v>50</v>
      </c>
      <c r="B134">
        <v>2</v>
      </c>
    </row>
    <row r="135" spans="1:3" x14ac:dyDescent="0.2">
      <c r="A135">
        <v>55</v>
      </c>
      <c r="B135">
        <v>10</v>
      </c>
    </row>
    <row r="136" spans="1:3" x14ac:dyDescent="0.2">
      <c r="A136">
        <v>60</v>
      </c>
      <c r="B136">
        <v>20</v>
      </c>
    </row>
    <row r="137" spans="1:3" x14ac:dyDescent="0.2">
      <c r="A137">
        <v>65</v>
      </c>
      <c r="B137">
        <v>25</v>
      </c>
    </row>
    <row r="138" spans="1:3" x14ac:dyDescent="0.2">
      <c r="A138">
        <v>70</v>
      </c>
      <c r="B138">
        <v>41</v>
      </c>
    </row>
    <row r="139" spans="1:3" x14ac:dyDescent="0.2">
      <c r="A139">
        <v>75</v>
      </c>
      <c r="B139">
        <v>50</v>
      </c>
    </row>
    <row r="140" spans="1:3" x14ac:dyDescent="0.2">
      <c r="A140">
        <v>80</v>
      </c>
      <c r="B140">
        <v>58</v>
      </c>
    </row>
    <row r="141" spans="1:3" x14ac:dyDescent="0.2">
      <c r="A141">
        <v>85</v>
      </c>
      <c r="B141">
        <v>61</v>
      </c>
    </row>
    <row r="142" spans="1:3" x14ac:dyDescent="0.2">
      <c r="A142">
        <v>90</v>
      </c>
      <c r="B142">
        <v>35</v>
      </c>
    </row>
    <row r="143" spans="1:3" x14ac:dyDescent="0.2">
      <c r="A143">
        <v>95</v>
      </c>
      <c r="B143">
        <v>35</v>
      </c>
    </row>
    <row r="144" spans="1:3" ht="13.5" thickBot="1" x14ac:dyDescent="0.25">
      <c r="A144">
        <v>100</v>
      </c>
      <c r="B144">
        <v>22</v>
      </c>
      <c r="C144" s="65"/>
    </row>
    <row r="145" spans="1:6" x14ac:dyDescent="0.2">
      <c r="A145" t="s">
        <v>25</v>
      </c>
      <c r="B145" s="16">
        <f>SUM(B125:B144)</f>
        <v>376</v>
      </c>
    </row>
    <row r="146" spans="1:6" x14ac:dyDescent="0.2">
      <c r="E146" s="36" t="s">
        <v>29</v>
      </c>
      <c r="F146" s="17" t="s">
        <v>55</v>
      </c>
    </row>
    <row r="147" spans="1:6" x14ac:dyDescent="0.2">
      <c r="A147" t="s">
        <v>20</v>
      </c>
      <c r="B147" s="3">
        <f>MIN('Winter 2016'!$AS$9:$AS$388)</f>
        <v>27.619346378263685</v>
      </c>
      <c r="E147" s="48" t="s">
        <v>14</v>
      </c>
      <c r="F147" s="3">
        <f>SUM(B143:B144)/$B$83*100</f>
        <v>15</v>
      </c>
    </row>
    <row r="148" spans="1:6" x14ac:dyDescent="0.2">
      <c r="A148" t="s">
        <v>21</v>
      </c>
      <c r="B148" s="3">
        <f>MAX('Winter 2016'!$AS$9:$AS$388)</f>
        <v>104.69713758079409</v>
      </c>
      <c r="E148" s="48" t="s">
        <v>15</v>
      </c>
      <c r="F148" s="3">
        <f>SUM(B141:B142)/$B$83*100</f>
        <v>25.263157894736842</v>
      </c>
    </row>
    <row r="149" spans="1:6" x14ac:dyDescent="0.2">
      <c r="A149" t="s">
        <v>22</v>
      </c>
      <c r="B149" s="3">
        <f>MEDIAN('Winter 2016'!$AS$9:$AS$388)</f>
        <v>76.391575312862216</v>
      </c>
      <c r="E149" s="48" t="s">
        <v>16</v>
      </c>
      <c r="F149" s="3">
        <f>SUM(B139:B140)/$B$83*100</f>
        <v>28.421052631578945</v>
      </c>
    </row>
    <row r="150" spans="1:6" x14ac:dyDescent="0.2">
      <c r="A150" t="s">
        <v>30</v>
      </c>
      <c r="B150" s="3">
        <f>SUMIF('Winter 2016'!$AS$9:'Winter 2016'!$AS$388,"&gt;0")/COUNTIF('Winter 2016'!$AS$9:'Winter 2016'!$AS$388,"&gt;0")</f>
        <v>75.324081080211101</v>
      </c>
      <c r="E150" s="48" t="s">
        <v>18</v>
      </c>
      <c r="F150" s="3">
        <f>SUM(B137:B138)/$B$83*100</f>
        <v>17.368421052631579</v>
      </c>
    </row>
    <row r="151" spans="1:6" x14ac:dyDescent="0.2">
      <c r="A151" s="48" t="s">
        <v>72</v>
      </c>
      <c r="B151" s="30">
        <f t="array" ref="B151">SUM(F147:F151*{4;3;2;1;0})/100</f>
        <v>2.1</v>
      </c>
      <c r="E151" s="48" t="s">
        <v>27</v>
      </c>
      <c r="F151" s="3">
        <f>SUM(B125:B136)/$B$83*100</f>
        <v>12.894736842105264</v>
      </c>
    </row>
    <row r="152" spans="1:6" x14ac:dyDescent="0.2">
      <c r="B152" s="3"/>
      <c r="F152" s="3"/>
    </row>
    <row r="153" spans="1:6" x14ac:dyDescent="0.2">
      <c r="B153" s="3"/>
    </row>
    <row r="154" spans="1:6" x14ac:dyDescent="0.2">
      <c r="B154" s="3"/>
    </row>
    <row r="155" spans="1:6" x14ac:dyDescent="0.2">
      <c r="A155" t="s">
        <v>24</v>
      </c>
      <c r="B155" t="s">
        <v>25</v>
      </c>
    </row>
    <row r="156" spans="1:6" x14ac:dyDescent="0.2">
      <c r="A156">
        <v>5</v>
      </c>
      <c r="B156">
        <f t="array" ref="B156:B175">FREQUENCY('Winter 2016'!$AN$9:$AN$388,Exams!A156:A174)</f>
        <v>0</v>
      </c>
    </row>
    <row r="157" spans="1:6" x14ac:dyDescent="0.2">
      <c r="A157">
        <v>10</v>
      </c>
      <c r="B157">
        <v>0</v>
      </c>
    </row>
    <row r="158" spans="1:6" x14ac:dyDescent="0.2">
      <c r="A158">
        <v>15</v>
      </c>
      <c r="B158">
        <v>0</v>
      </c>
    </row>
    <row r="159" spans="1:6" x14ac:dyDescent="0.2">
      <c r="A159">
        <v>20</v>
      </c>
      <c r="B159">
        <v>0</v>
      </c>
    </row>
    <row r="160" spans="1:6" x14ac:dyDescent="0.2">
      <c r="A160">
        <v>25</v>
      </c>
      <c r="B160">
        <v>0</v>
      </c>
    </row>
    <row r="161" spans="1:2" x14ac:dyDescent="0.2">
      <c r="A161">
        <v>30</v>
      </c>
      <c r="B161">
        <v>0</v>
      </c>
    </row>
    <row r="162" spans="1:2" x14ac:dyDescent="0.2">
      <c r="A162">
        <v>35</v>
      </c>
      <c r="B162">
        <v>0</v>
      </c>
    </row>
    <row r="163" spans="1:2" x14ac:dyDescent="0.2">
      <c r="A163">
        <v>40</v>
      </c>
      <c r="B163">
        <v>0</v>
      </c>
    </row>
    <row r="164" spans="1:2" x14ac:dyDescent="0.2">
      <c r="A164">
        <v>45</v>
      </c>
      <c r="B164">
        <v>0</v>
      </c>
    </row>
    <row r="165" spans="1:2" x14ac:dyDescent="0.2">
      <c r="A165">
        <v>50</v>
      </c>
      <c r="B165">
        <v>0</v>
      </c>
    </row>
    <row r="166" spans="1:2" x14ac:dyDescent="0.2">
      <c r="A166">
        <v>55</v>
      </c>
      <c r="B166">
        <v>0</v>
      </c>
    </row>
    <row r="167" spans="1:2" x14ac:dyDescent="0.2">
      <c r="A167">
        <v>60</v>
      </c>
      <c r="B167">
        <v>0</v>
      </c>
    </row>
    <row r="168" spans="1:2" x14ac:dyDescent="0.2">
      <c r="A168">
        <v>65</v>
      </c>
      <c r="B168">
        <v>0</v>
      </c>
    </row>
    <row r="169" spans="1:2" x14ac:dyDescent="0.2">
      <c r="A169">
        <v>70</v>
      </c>
      <c r="B169">
        <v>0</v>
      </c>
    </row>
    <row r="170" spans="1:2" x14ac:dyDescent="0.2">
      <c r="A170">
        <v>75</v>
      </c>
      <c r="B170">
        <v>0</v>
      </c>
    </row>
    <row r="171" spans="1:2" x14ac:dyDescent="0.2">
      <c r="A171">
        <v>80</v>
      </c>
      <c r="B171">
        <v>0</v>
      </c>
    </row>
    <row r="172" spans="1:2" x14ac:dyDescent="0.2">
      <c r="A172">
        <v>85</v>
      </c>
      <c r="B172">
        <v>0</v>
      </c>
    </row>
    <row r="173" spans="1:2" x14ac:dyDescent="0.2">
      <c r="A173">
        <v>90</v>
      </c>
      <c r="B173">
        <v>0</v>
      </c>
    </row>
    <row r="174" spans="1:2" x14ac:dyDescent="0.2">
      <c r="A174">
        <v>95</v>
      </c>
      <c r="B174">
        <v>0</v>
      </c>
    </row>
    <row r="175" spans="1:2" ht="13.5" thickBot="1" x14ac:dyDescent="0.25">
      <c r="A175">
        <v>100</v>
      </c>
      <c r="B175">
        <v>0</v>
      </c>
    </row>
    <row r="176" spans="1:2" x14ac:dyDescent="0.2">
      <c r="A176" t="s">
        <v>25</v>
      </c>
      <c r="B176" s="16">
        <f>SUM(B156:B175)</f>
        <v>0</v>
      </c>
    </row>
    <row r="177" spans="1:7" x14ac:dyDescent="0.2">
      <c r="E177" s="36" t="s">
        <v>29</v>
      </c>
      <c r="F177" s="17" t="s">
        <v>55</v>
      </c>
    </row>
    <row r="178" spans="1:7" x14ac:dyDescent="0.2">
      <c r="A178" t="s">
        <v>20</v>
      </c>
      <c r="B178" s="3">
        <f>MIN('Winter 2016'!$AN$9:'Winter 2016'!$AN$388)</f>
        <v>0</v>
      </c>
      <c r="E178" s="48" t="s">
        <v>14</v>
      </c>
      <c r="F178" s="3" t="e">
        <f>SUM(B174:B175)/B176*100</f>
        <v>#DIV/0!</v>
      </c>
    </row>
    <row r="179" spans="1:7" x14ac:dyDescent="0.2">
      <c r="A179" t="s">
        <v>21</v>
      </c>
      <c r="B179" s="3">
        <f>MAX('Winter 2016'!$AN$9:'Winter 2016'!$AN$388)</f>
        <v>0</v>
      </c>
      <c r="E179" s="48" t="s">
        <v>15</v>
      </c>
      <c r="F179" s="3" t="e">
        <f>SUM(B172:B173)/B176*100</f>
        <v>#DIV/0!</v>
      </c>
    </row>
    <row r="180" spans="1:7" x14ac:dyDescent="0.2">
      <c r="A180" t="s">
        <v>22</v>
      </c>
      <c r="B180" s="3" t="e">
        <f>MEDIAN('Winter 2016'!$AN$9:'Winter 2016'!$AN$388)</f>
        <v>#NUM!</v>
      </c>
      <c r="E180" s="48" t="s">
        <v>16</v>
      </c>
      <c r="F180" s="3" t="e">
        <f>SUM(B170:B171)/B176*100</f>
        <v>#DIV/0!</v>
      </c>
    </row>
    <row r="181" spans="1:7" x14ac:dyDescent="0.2">
      <c r="A181" t="s">
        <v>30</v>
      </c>
      <c r="B181" s="3" t="e">
        <f>SUMIF('Winter 2016'!$AN$9:'Winter 2016'!$AN$388,"&gt;0")/COUNTIF('Winter 2016'!$AN$9:'Winter 2016'!$AN$388,"&gt;0")</f>
        <v>#DIV/0!</v>
      </c>
      <c r="E181" s="48" t="s">
        <v>18</v>
      </c>
      <c r="F181" s="3" t="e">
        <f>SUM(B168:B169)/B176*100</f>
        <v>#DIV/0!</v>
      </c>
    </row>
    <row r="182" spans="1:7" x14ac:dyDescent="0.2">
      <c r="A182" s="48" t="s">
        <v>72</v>
      </c>
      <c r="B182" s="30" t="e">
        <f t="array" ref="B182">SUM(F178:F182*{4;3;2;1;0})/100</f>
        <v>#DIV/0!</v>
      </c>
      <c r="E182" s="48" t="s">
        <v>27</v>
      </c>
      <c r="F182" s="3" t="e">
        <f>SUM(B156:B167)/B176*100</f>
        <v>#DIV/0!</v>
      </c>
      <c r="G182" s="3" t="e">
        <f>SUM(F178:F182)</f>
        <v>#DIV/0!</v>
      </c>
    </row>
    <row r="183" spans="1:7" x14ac:dyDescent="0.2">
      <c r="B183" s="3"/>
      <c r="F183" s="3"/>
    </row>
    <row r="184" spans="1:7" x14ac:dyDescent="0.2">
      <c r="B184" s="3"/>
    </row>
    <row r="185" spans="1:7" x14ac:dyDescent="0.2">
      <c r="B185" s="3"/>
    </row>
    <row r="186" spans="1:7" x14ac:dyDescent="0.2">
      <c r="A186" t="s">
        <v>24</v>
      </c>
      <c r="B186" t="s">
        <v>25</v>
      </c>
    </row>
    <row r="187" spans="1:7" x14ac:dyDescent="0.2">
      <c r="A187">
        <v>5</v>
      </c>
      <c r="B187">
        <f t="array" ref="B187:B206">FREQUENCY('Winter 2016'!$AO$9:$AO$388,Exams!A187:A205)</f>
        <v>0</v>
      </c>
    </row>
    <row r="188" spans="1:7" x14ac:dyDescent="0.2">
      <c r="A188">
        <v>10</v>
      </c>
      <c r="B188">
        <v>0</v>
      </c>
    </row>
    <row r="189" spans="1:7" x14ac:dyDescent="0.2">
      <c r="A189">
        <v>15</v>
      </c>
      <c r="B189">
        <v>0</v>
      </c>
    </row>
    <row r="190" spans="1:7" x14ac:dyDescent="0.2">
      <c r="A190">
        <v>20</v>
      </c>
      <c r="B190">
        <v>0</v>
      </c>
    </row>
    <row r="191" spans="1:7" x14ac:dyDescent="0.2">
      <c r="A191">
        <v>25</v>
      </c>
      <c r="B191">
        <v>0</v>
      </c>
    </row>
    <row r="192" spans="1:7" x14ac:dyDescent="0.2">
      <c r="A192">
        <v>30</v>
      </c>
      <c r="B192">
        <v>0</v>
      </c>
    </row>
    <row r="193" spans="1:6" x14ac:dyDescent="0.2">
      <c r="A193">
        <v>35</v>
      </c>
      <c r="B193">
        <v>0</v>
      </c>
    </row>
    <row r="194" spans="1:6" x14ac:dyDescent="0.2">
      <c r="A194">
        <v>40</v>
      </c>
      <c r="B194">
        <v>0</v>
      </c>
    </row>
    <row r="195" spans="1:6" x14ac:dyDescent="0.2">
      <c r="A195">
        <v>45</v>
      </c>
      <c r="B195">
        <v>0</v>
      </c>
    </row>
    <row r="196" spans="1:6" x14ac:dyDescent="0.2">
      <c r="A196">
        <v>50</v>
      </c>
      <c r="B196">
        <v>0</v>
      </c>
    </row>
    <row r="197" spans="1:6" x14ac:dyDescent="0.2">
      <c r="A197">
        <v>55</v>
      </c>
      <c r="B197">
        <v>0</v>
      </c>
    </row>
    <row r="198" spans="1:6" x14ac:dyDescent="0.2">
      <c r="A198">
        <v>60</v>
      </c>
      <c r="B198">
        <v>0</v>
      </c>
    </row>
    <row r="199" spans="1:6" x14ac:dyDescent="0.2">
      <c r="A199">
        <v>65</v>
      </c>
      <c r="B199">
        <v>0</v>
      </c>
    </row>
    <row r="200" spans="1:6" x14ac:dyDescent="0.2">
      <c r="A200">
        <v>70</v>
      </c>
      <c r="B200">
        <v>0</v>
      </c>
    </row>
    <row r="201" spans="1:6" x14ac:dyDescent="0.2">
      <c r="A201">
        <v>75</v>
      </c>
      <c r="B201">
        <v>0</v>
      </c>
    </row>
    <row r="202" spans="1:6" x14ac:dyDescent="0.2">
      <c r="A202">
        <v>80</v>
      </c>
      <c r="B202">
        <v>0</v>
      </c>
    </row>
    <row r="203" spans="1:6" x14ac:dyDescent="0.2">
      <c r="A203">
        <v>85</v>
      </c>
      <c r="B203">
        <v>0</v>
      </c>
    </row>
    <row r="204" spans="1:6" x14ac:dyDescent="0.2">
      <c r="A204">
        <v>90</v>
      </c>
      <c r="B204">
        <v>0</v>
      </c>
    </row>
    <row r="205" spans="1:6" x14ac:dyDescent="0.2">
      <c r="A205">
        <v>95</v>
      </c>
      <c r="B205">
        <v>0</v>
      </c>
    </row>
    <row r="206" spans="1:6" ht="13.5" thickBot="1" x14ac:dyDescent="0.25">
      <c r="A206">
        <v>100</v>
      </c>
      <c r="B206">
        <v>0</v>
      </c>
    </row>
    <row r="207" spans="1:6" x14ac:dyDescent="0.2">
      <c r="A207" t="s">
        <v>25</v>
      </c>
      <c r="B207" s="16">
        <f>SUM(B187:B206)</f>
        <v>0</v>
      </c>
    </row>
    <row r="208" spans="1:6" x14ac:dyDescent="0.2">
      <c r="E208" s="36" t="s">
        <v>29</v>
      </c>
      <c r="F208" s="17" t="s">
        <v>55</v>
      </c>
    </row>
    <row r="209" spans="1:7" x14ac:dyDescent="0.2">
      <c r="A209" t="s">
        <v>20</v>
      </c>
      <c r="B209" s="3" t="e">
        <f>MIN('Winter 2016'!$Q$9:'Winter 2016'!$Q$388)*100/'Winter 2016'!$Q$2</f>
        <v>#DIV/0!</v>
      </c>
      <c r="E209" s="48" t="s">
        <v>14</v>
      </c>
      <c r="F209" s="3" t="e">
        <f>SUM(B205:B206)/B207*100</f>
        <v>#DIV/0!</v>
      </c>
    </row>
    <row r="210" spans="1:7" x14ac:dyDescent="0.2">
      <c r="A210" t="s">
        <v>21</v>
      </c>
      <c r="B210" s="3" t="e">
        <f>MAX('Winter 2016'!$Q$9:'Winter 2016'!$Q$388)*100/'Winter 2016'!$Q$2</f>
        <v>#DIV/0!</v>
      </c>
      <c r="E210" s="48" t="s">
        <v>15</v>
      </c>
      <c r="F210" s="3" t="e">
        <f>SUM(B203:B204)/B207*100</f>
        <v>#DIV/0!</v>
      </c>
    </row>
    <row r="211" spans="1:7" x14ac:dyDescent="0.2">
      <c r="A211" t="s">
        <v>22</v>
      </c>
      <c r="B211" s="3" t="e">
        <f>MEDIAN('Winter 2016'!$Q$9:'Winter 2016'!$Q$388)*100/'Winter 2016'!$Q$2</f>
        <v>#NUM!</v>
      </c>
      <c r="E211" s="48" t="s">
        <v>16</v>
      </c>
      <c r="F211" s="3" t="e">
        <f>SUM(B201:B202)/B207*100</f>
        <v>#DIV/0!</v>
      </c>
    </row>
    <row r="212" spans="1:7" x14ac:dyDescent="0.2">
      <c r="A212" t="s">
        <v>30</v>
      </c>
      <c r="B212" s="3" t="e">
        <f>SUMIF('Winter 2016'!$Q$9:'Winter 2016'!$Q$388,"&gt;0")/COUNTIF('Winter 2016'!$Q$9:'Winter 2016'!$Q$388,"&gt;0")*100/'Winter 2016'!$Q$2</f>
        <v>#DIV/0!</v>
      </c>
      <c r="E212" s="48" t="s">
        <v>18</v>
      </c>
      <c r="F212" s="3" t="e">
        <f>SUM(B199:B200)/B207*100</f>
        <v>#DIV/0!</v>
      </c>
    </row>
    <row r="213" spans="1:7" x14ac:dyDescent="0.2">
      <c r="A213" s="48" t="s">
        <v>72</v>
      </c>
      <c r="B213" s="30" t="e">
        <f t="array" ref="B213">SUM(F209:F213*{4;3;2;1;0})/100</f>
        <v>#DIV/0!</v>
      </c>
      <c r="E213" s="48" t="s">
        <v>27</v>
      </c>
      <c r="F213" s="3" t="e">
        <f>SUM(B187:B198)/B207*100</f>
        <v>#DIV/0!</v>
      </c>
      <c r="G213" s="3" t="e">
        <f>SUM(F209:F213)</f>
        <v>#DIV/0!</v>
      </c>
    </row>
    <row r="214" spans="1:7" x14ac:dyDescent="0.2">
      <c r="B214" s="3"/>
    </row>
    <row r="215" spans="1:7" x14ac:dyDescent="0.2">
      <c r="B215" s="3"/>
    </row>
    <row r="216" spans="1:7" x14ac:dyDescent="0.2">
      <c r="B216" s="3"/>
    </row>
    <row r="217" spans="1:7" x14ac:dyDescent="0.2">
      <c r="A217" s="48" t="s">
        <v>55</v>
      </c>
      <c r="B217" t="s">
        <v>25</v>
      </c>
    </row>
    <row r="218" spans="1:7" x14ac:dyDescent="0.2">
      <c r="A218">
        <v>5</v>
      </c>
      <c r="B218">
        <f t="array" ref="B218:B237">FREQUENCY('Winter 2016'!$AQ$9:$AQ$388,Exams!A218:A236)</f>
        <v>0</v>
      </c>
    </row>
    <row r="219" spans="1:7" x14ac:dyDescent="0.2">
      <c r="A219">
        <v>10</v>
      </c>
      <c r="B219">
        <v>0</v>
      </c>
    </row>
    <row r="220" spans="1:7" x14ac:dyDescent="0.2">
      <c r="A220">
        <v>15</v>
      </c>
      <c r="B220">
        <v>0</v>
      </c>
    </row>
    <row r="221" spans="1:7" x14ac:dyDescent="0.2">
      <c r="A221">
        <v>20</v>
      </c>
      <c r="B221">
        <v>0</v>
      </c>
    </row>
    <row r="222" spans="1:7" x14ac:dyDescent="0.2">
      <c r="A222">
        <v>25</v>
      </c>
      <c r="B222">
        <v>0</v>
      </c>
    </row>
    <row r="223" spans="1:7" x14ac:dyDescent="0.2">
      <c r="A223">
        <v>30</v>
      </c>
      <c r="B223">
        <v>0</v>
      </c>
    </row>
    <row r="224" spans="1:7" x14ac:dyDescent="0.2">
      <c r="A224">
        <v>35</v>
      </c>
      <c r="B224">
        <v>0</v>
      </c>
    </row>
    <row r="225" spans="1:6" x14ac:dyDescent="0.2">
      <c r="A225">
        <v>40</v>
      </c>
      <c r="B225">
        <v>0</v>
      </c>
    </row>
    <row r="226" spans="1:6" x14ac:dyDescent="0.2">
      <c r="A226">
        <v>45</v>
      </c>
      <c r="B226">
        <v>0</v>
      </c>
    </row>
    <row r="227" spans="1:6" x14ac:dyDescent="0.2">
      <c r="A227">
        <v>50</v>
      </c>
      <c r="B227">
        <v>0</v>
      </c>
    </row>
    <row r="228" spans="1:6" x14ac:dyDescent="0.2">
      <c r="A228">
        <v>55</v>
      </c>
      <c r="B228">
        <v>0</v>
      </c>
    </row>
    <row r="229" spans="1:6" x14ac:dyDescent="0.2">
      <c r="A229">
        <v>60</v>
      </c>
      <c r="B229">
        <v>0</v>
      </c>
    </row>
    <row r="230" spans="1:6" x14ac:dyDescent="0.2">
      <c r="A230">
        <v>65</v>
      </c>
      <c r="B230">
        <v>0</v>
      </c>
    </row>
    <row r="231" spans="1:6" x14ac:dyDescent="0.2">
      <c r="A231">
        <v>70</v>
      </c>
      <c r="B231">
        <v>0</v>
      </c>
    </row>
    <row r="232" spans="1:6" x14ac:dyDescent="0.2">
      <c r="A232">
        <v>75</v>
      </c>
      <c r="B232">
        <v>0</v>
      </c>
    </row>
    <row r="233" spans="1:6" x14ac:dyDescent="0.2">
      <c r="A233">
        <v>80</v>
      </c>
      <c r="B233">
        <v>0</v>
      </c>
    </row>
    <row r="234" spans="1:6" x14ac:dyDescent="0.2">
      <c r="A234">
        <v>85</v>
      </c>
      <c r="B234">
        <v>0</v>
      </c>
    </row>
    <row r="235" spans="1:6" x14ac:dyDescent="0.2">
      <c r="A235">
        <v>90</v>
      </c>
      <c r="B235">
        <v>0</v>
      </c>
    </row>
    <row r="236" spans="1:6" x14ac:dyDescent="0.2">
      <c r="A236">
        <v>95</v>
      </c>
      <c r="B236">
        <v>0</v>
      </c>
    </row>
    <row r="237" spans="1:6" ht="13.5" thickBot="1" x14ac:dyDescent="0.25">
      <c r="A237">
        <v>100</v>
      </c>
      <c r="B237">
        <v>0</v>
      </c>
    </row>
    <row r="238" spans="1:6" x14ac:dyDescent="0.2">
      <c r="A238" t="s">
        <v>25</v>
      </c>
      <c r="B238" s="16">
        <f>SUM(B218:B237)</f>
        <v>0</v>
      </c>
    </row>
    <row r="239" spans="1:6" x14ac:dyDescent="0.2">
      <c r="E239" s="36" t="s">
        <v>29</v>
      </c>
      <c r="F239" s="17" t="s">
        <v>55</v>
      </c>
    </row>
    <row r="240" spans="1:6" x14ac:dyDescent="0.2">
      <c r="A240" t="s">
        <v>20</v>
      </c>
      <c r="B240" s="3">
        <f>MIN('Winter 2016'!$AQ$9:'Winter 2016'!$AQ$388)</f>
        <v>0</v>
      </c>
      <c r="E240" s="48" t="s">
        <v>14</v>
      </c>
      <c r="F240" s="3" t="e">
        <f>SUM(B236:B237)/$B$238*100</f>
        <v>#DIV/0!</v>
      </c>
    </row>
    <row r="241" spans="1:7" x14ac:dyDescent="0.2">
      <c r="A241" t="s">
        <v>21</v>
      </c>
      <c r="B241" s="3">
        <f>MAX('Winter 2016'!$AQ$9:'Winter 2016'!$AQ$388)</f>
        <v>0</v>
      </c>
      <c r="E241" s="48" t="s">
        <v>15</v>
      </c>
      <c r="F241" s="3" t="e">
        <f>SUM(B234:B235)/$B$238*100</f>
        <v>#DIV/0!</v>
      </c>
    </row>
    <row r="242" spans="1:7" x14ac:dyDescent="0.2">
      <c r="A242" t="s">
        <v>22</v>
      </c>
      <c r="B242" s="3" t="e">
        <f>MEDIAN('Winter 2016'!$AQ$9:'Winter 2016'!$AQ$388)</f>
        <v>#NUM!</v>
      </c>
      <c r="E242" s="48" t="s">
        <v>16</v>
      </c>
      <c r="F242" s="3" t="e">
        <f>SUM(B232:B233)/$B$238*100</f>
        <v>#DIV/0!</v>
      </c>
    </row>
    <row r="243" spans="1:7" x14ac:dyDescent="0.2">
      <c r="A243" t="s">
        <v>30</v>
      </c>
      <c r="B243" s="3" t="e">
        <f>SUMIF('Winter 2016'!$AQ$9:'Winter 2016'!$AQ$388,"&gt;0")/COUNTIF('Winter 2016'!$AQ$9:'Winter 2016'!$AQ$388,"&gt;0")</f>
        <v>#DIV/0!</v>
      </c>
      <c r="E243" s="48" t="s">
        <v>18</v>
      </c>
      <c r="F243" s="3" t="e">
        <f>SUM(B230:B231)/$B$238*100</f>
        <v>#DIV/0!</v>
      </c>
    </row>
    <row r="244" spans="1:7" x14ac:dyDescent="0.2">
      <c r="A244" s="48" t="s">
        <v>72</v>
      </c>
      <c r="B244" s="30" t="e">
        <f t="array" ref="B244">SUM(F240:F244*{4;3;2;1;0})/100</f>
        <v>#DIV/0!</v>
      </c>
      <c r="E244" s="48" t="s">
        <v>27</v>
      </c>
      <c r="F244" s="3" t="e">
        <f>SUM(B218:B229)/$B$238*100</f>
        <v>#DIV/0!</v>
      </c>
      <c r="G244" s="3" t="e">
        <f>SUM(F240:F244)</f>
        <v>#DIV/0!</v>
      </c>
    </row>
    <row r="245" spans="1:7" x14ac:dyDescent="0.2">
      <c r="B245" s="3"/>
      <c r="F245" s="3"/>
    </row>
    <row r="246" spans="1:7" hidden="1" x14ac:dyDescent="0.2">
      <c r="B246" s="3"/>
    </row>
    <row r="247" spans="1:7" hidden="1" x14ac:dyDescent="0.2">
      <c r="B247" s="3"/>
    </row>
    <row r="248" spans="1:7" hidden="1" x14ac:dyDescent="0.2">
      <c r="A248" t="s">
        <v>24</v>
      </c>
      <c r="B248" t="s">
        <v>25</v>
      </c>
    </row>
    <row r="249" spans="1:7" hidden="1" x14ac:dyDescent="0.2">
      <c r="A249">
        <v>5</v>
      </c>
      <c r="B249" t="e">
        <f t="array" ref="B249:B268">FREQUENCY('Winter 2016'!#REF!:'Winter 2016'!#REF!,A249:A268)</f>
        <v>#REF!</v>
      </c>
    </row>
    <row r="250" spans="1:7" hidden="1" x14ac:dyDescent="0.2">
      <c r="A250">
        <v>10</v>
      </c>
      <c r="B250" t="e">
        <v>#REF!</v>
      </c>
    </row>
    <row r="251" spans="1:7" hidden="1" x14ac:dyDescent="0.2">
      <c r="A251">
        <v>15</v>
      </c>
      <c r="B251" t="e">
        <v>#REF!</v>
      </c>
    </row>
    <row r="252" spans="1:7" hidden="1" x14ac:dyDescent="0.2">
      <c r="A252">
        <v>20</v>
      </c>
      <c r="B252" t="e">
        <v>#REF!</v>
      </c>
    </row>
    <row r="253" spans="1:7" hidden="1" x14ac:dyDescent="0.2">
      <c r="A253">
        <v>25</v>
      </c>
      <c r="B253" t="e">
        <v>#REF!</v>
      </c>
    </row>
    <row r="254" spans="1:7" hidden="1" x14ac:dyDescent="0.2">
      <c r="A254">
        <v>30</v>
      </c>
      <c r="B254" t="e">
        <v>#REF!</v>
      </c>
    </row>
    <row r="255" spans="1:7" hidden="1" x14ac:dyDescent="0.2">
      <c r="A255">
        <v>35</v>
      </c>
      <c r="B255" t="e">
        <v>#REF!</v>
      </c>
    </row>
    <row r="256" spans="1:7" hidden="1" x14ac:dyDescent="0.2">
      <c r="A256">
        <v>40</v>
      </c>
      <c r="B256" t="e">
        <v>#REF!</v>
      </c>
    </row>
    <row r="257" spans="1:2" hidden="1" x14ac:dyDescent="0.2">
      <c r="A257">
        <v>45</v>
      </c>
      <c r="B257" t="e">
        <v>#REF!</v>
      </c>
    </row>
    <row r="258" spans="1:2" hidden="1" x14ac:dyDescent="0.2">
      <c r="A258">
        <v>50</v>
      </c>
      <c r="B258" t="e">
        <v>#REF!</v>
      </c>
    </row>
    <row r="259" spans="1:2" hidden="1" x14ac:dyDescent="0.2">
      <c r="A259">
        <v>55</v>
      </c>
      <c r="B259" t="e">
        <v>#REF!</v>
      </c>
    </row>
    <row r="260" spans="1:2" hidden="1" x14ac:dyDescent="0.2">
      <c r="A260">
        <v>60</v>
      </c>
      <c r="B260" t="e">
        <v>#REF!</v>
      </c>
    </row>
    <row r="261" spans="1:2" hidden="1" x14ac:dyDescent="0.2">
      <c r="A261">
        <v>65</v>
      </c>
      <c r="B261" t="e">
        <v>#REF!</v>
      </c>
    </row>
    <row r="262" spans="1:2" hidden="1" x14ac:dyDescent="0.2">
      <c r="A262">
        <v>70</v>
      </c>
      <c r="B262" t="e">
        <v>#REF!</v>
      </c>
    </row>
    <row r="263" spans="1:2" hidden="1" x14ac:dyDescent="0.2">
      <c r="A263">
        <v>75</v>
      </c>
      <c r="B263" t="e">
        <v>#REF!</v>
      </c>
    </row>
    <row r="264" spans="1:2" hidden="1" x14ac:dyDescent="0.2">
      <c r="A264">
        <v>80</v>
      </c>
      <c r="B264" t="e">
        <v>#REF!</v>
      </c>
    </row>
    <row r="265" spans="1:2" hidden="1" x14ac:dyDescent="0.2">
      <c r="A265">
        <v>85</v>
      </c>
      <c r="B265" t="e">
        <v>#REF!</v>
      </c>
    </row>
    <row r="266" spans="1:2" hidden="1" x14ac:dyDescent="0.2">
      <c r="A266">
        <v>90</v>
      </c>
      <c r="B266" t="e">
        <v>#REF!</v>
      </c>
    </row>
    <row r="267" spans="1:2" hidden="1" x14ac:dyDescent="0.2">
      <c r="A267">
        <v>95</v>
      </c>
      <c r="B267" t="e">
        <v>#REF!</v>
      </c>
    </row>
    <row r="268" spans="1:2" hidden="1" x14ac:dyDescent="0.2">
      <c r="A268">
        <v>105</v>
      </c>
      <c r="B268" t="e">
        <v>#REF!</v>
      </c>
    </row>
    <row r="269" spans="1:2" hidden="1" x14ac:dyDescent="0.2">
      <c r="A269" t="s">
        <v>25</v>
      </c>
      <c r="B269" s="16" t="e">
        <f>SUM(B249:B268)</f>
        <v>#REF!</v>
      </c>
    </row>
    <row r="270" spans="1:2" hidden="1" x14ac:dyDescent="0.2"/>
    <row r="271" spans="1:2" hidden="1" x14ac:dyDescent="0.2">
      <c r="A271" t="s">
        <v>20</v>
      </c>
      <c r="B271" s="3" t="e">
        <f>MIN('Winter 2016'!#REF!)</f>
        <v>#REF!</v>
      </c>
    </row>
    <row r="272" spans="1:2" hidden="1" x14ac:dyDescent="0.2">
      <c r="A272" t="s">
        <v>21</v>
      </c>
      <c r="B272" s="3" t="e">
        <f>MAX('Winter 2016'!#REF!)</f>
        <v>#REF!</v>
      </c>
    </row>
    <row r="273" spans="1:2" hidden="1" x14ac:dyDescent="0.2">
      <c r="A273" t="s">
        <v>22</v>
      </c>
      <c r="B273" s="3" t="e">
        <f>MEDIAN('Winter 2016'!#REF!)</f>
        <v>#REF!</v>
      </c>
    </row>
    <row r="274" spans="1:2" hidden="1" x14ac:dyDescent="0.2">
      <c r="A274" t="s">
        <v>30</v>
      </c>
      <c r="B274" s="3" t="e">
        <f>AVERAGE('Winter 2016'!#REF!)</f>
        <v>#REF!</v>
      </c>
    </row>
    <row r="275" spans="1:2" hidden="1" x14ac:dyDescent="0.2">
      <c r="A275" t="s">
        <v>23</v>
      </c>
      <c r="B275" s="3" t="e">
        <f>STDEV('Winter 2016'!#REF!)</f>
        <v>#REF!</v>
      </c>
    </row>
    <row r="276" spans="1:2" hidden="1" x14ac:dyDescent="0.2">
      <c r="B276" s="3"/>
    </row>
    <row r="277" spans="1:2" x14ac:dyDescent="0.2">
      <c r="B277" s="3"/>
    </row>
    <row r="278" spans="1:2" x14ac:dyDescent="0.2">
      <c r="B278" s="3"/>
    </row>
    <row r="279" spans="1:2" x14ac:dyDescent="0.2">
      <c r="A279" s="48" t="s">
        <v>55</v>
      </c>
      <c r="B279" t="s">
        <v>25</v>
      </c>
    </row>
    <row r="280" spans="1:2" x14ac:dyDescent="0.2">
      <c r="A280">
        <v>5</v>
      </c>
      <c r="B280">
        <f t="array" ref="B280:B299">FREQUENCY('Winter 2016'!AT9:AT388,A280:A298)</f>
        <v>0</v>
      </c>
    </row>
    <row r="281" spans="1:2" x14ac:dyDescent="0.2">
      <c r="A281">
        <v>10</v>
      </c>
      <c r="B281">
        <v>0</v>
      </c>
    </row>
    <row r="282" spans="1:2" x14ac:dyDescent="0.2">
      <c r="A282">
        <v>15</v>
      </c>
      <c r="B282">
        <v>0</v>
      </c>
    </row>
    <row r="283" spans="1:2" x14ac:dyDescent="0.2">
      <c r="A283">
        <v>20</v>
      </c>
      <c r="B283">
        <v>4</v>
      </c>
    </row>
    <row r="284" spans="1:2" x14ac:dyDescent="0.2">
      <c r="A284">
        <v>25</v>
      </c>
      <c r="B284">
        <v>0</v>
      </c>
    </row>
    <row r="285" spans="1:2" x14ac:dyDescent="0.2">
      <c r="A285">
        <v>30</v>
      </c>
      <c r="B285">
        <v>6</v>
      </c>
    </row>
    <row r="286" spans="1:2" x14ac:dyDescent="0.2">
      <c r="A286">
        <v>35</v>
      </c>
      <c r="B286">
        <v>2</v>
      </c>
    </row>
    <row r="287" spans="1:2" x14ac:dyDescent="0.2">
      <c r="A287">
        <v>40</v>
      </c>
      <c r="B287">
        <v>7</v>
      </c>
    </row>
    <row r="288" spans="1:2" x14ac:dyDescent="0.2">
      <c r="A288">
        <v>45</v>
      </c>
      <c r="B288">
        <v>2</v>
      </c>
    </row>
    <row r="289" spans="1:6" x14ac:dyDescent="0.2">
      <c r="A289">
        <v>50</v>
      </c>
      <c r="B289">
        <v>2</v>
      </c>
    </row>
    <row r="290" spans="1:6" x14ac:dyDescent="0.2">
      <c r="A290">
        <v>55</v>
      </c>
      <c r="B290">
        <v>10</v>
      </c>
    </row>
    <row r="291" spans="1:6" x14ac:dyDescent="0.2">
      <c r="A291">
        <v>60</v>
      </c>
      <c r="B291">
        <v>20</v>
      </c>
    </row>
    <row r="292" spans="1:6" x14ac:dyDescent="0.2">
      <c r="A292">
        <v>65</v>
      </c>
      <c r="B292">
        <v>25</v>
      </c>
    </row>
    <row r="293" spans="1:6" x14ac:dyDescent="0.2">
      <c r="A293">
        <v>70</v>
      </c>
      <c r="B293">
        <v>41</v>
      </c>
    </row>
    <row r="294" spans="1:6" x14ac:dyDescent="0.2">
      <c r="A294">
        <v>75</v>
      </c>
      <c r="B294">
        <v>50</v>
      </c>
    </row>
    <row r="295" spans="1:6" x14ac:dyDescent="0.2">
      <c r="A295">
        <v>80</v>
      </c>
      <c r="B295">
        <v>58</v>
      </c>
    </row>
    <row r="296" spans="1:6" x14ac:dyDescent="0.2">
      <c r="A296">
        <v>85</v>
      </c>
      <c r="B296">
        <v>61</v>
      </c>
    </row>
    <row r="297" spans="1:6" x14ac:dyDescent="0.2">
      <c r="A297">
        <v>90</v>
      </c>
      <c r="B297">
        <v>35</v>
      </c>
    </row>
    <row r="298" spans="1:6" x14ac:dyDescent="0.2">
      <c r="A298">
        <v>95</v>
      </c>
      <c r="B298">
        <v>35</v>
      </c>
    </row>
    <row r="299" spans="1:6" ht="13.5" thickBot="1" x14ac:dyDescent="0.25">
      <c r="A299" s="48">
        <v>100</v>
      </c>
      <c r="B299">
        <v>22</v>
      </c>
      <c r="C299" s="65"/>
    </row>
    <row r="300" spans="1:6" x14ac:dyDescent="0.2">
      <c r="A300" t="s">
        <v>25</v>
      </c>
      <c r="B300" s="16">
        <f>SUM(B280:B299)</f>
        <v>380</v>
      </c>
    </row>
    <row r="301" spans="1:6" x14ac:dyDescent="0.2">
      <c r="E301" s="36" t="s">
        <v>29</v>
      </c>
      <c r="F301" s="17" t="s">
        <v>55</v>
      </c>
    </row>
    <row r="302" spans="1:6" x14ac:dyDescent="0.2">
      <c r="A302" t="s">
        <v>20</v>
      </c>
      <c r="B302" s="3">
        <f>MIN('Winter 2016'!$AT$9:$AT$388)</f>
        <v>15.019346378263684</v>
      </c>
      <c r="E302" s="48" t="s">
        <v>14</v>
      </c>
      <c r="F302" s="3">
        <f>SUM(B298:B299)/$B$83*100</f>
        <v>15</v>
      </c>
    </row>
    <row r="303" spans="1:6" x14ac:dyDescent="0.2">
      <c r="A303" t="s">
        <v>21</v>
      </c>
      <c r="B303" s="3">
        <f>MAX('Winter 2016'!$AT$9:$AT$388)</f>
        <v>104.69713758079409</v>
      </c>
      <c r="E303" s="48" t="s">
        <v>15</v>
      </c>
      <c r="F303" s="3">
        <f>SUM(B296:B297)/$B$83*100</f>
        <v>25.263157894736842</v>
      </c>
    </row>
    <row r="304" spans="1:6" x14ac:dyDescent="0.2">
      <c r="A304" t="s">
        <v>22</v>
      </c>
      <c r="B304" s="3">
        <f>MEDIAN('Winter 2016'!$AT$9:$AT$388)</f>
        <v>76.291575312862221</v>
      </c>
      <c r="E304" s="48" t="s">
        <v>16</v>
      </c>
      <c r="F304" s="3">
        <f>SUM(B294:B295)/$B$83*100</f>
        <v>28.421052631578945</v>
      </c>
    </row>
    <row r="305" spans="1:6" x14ac:dyDescent="0.2">
      <c r="A305" t="s">
        <v>30</v>
      </c>
      <c r="B305" s="3">
        <f>SUMIF('Winter 2016'!$AT$9:'Winter 2016'!$AT$388,"&gt;0")/COUNTIF('Winter 2016'!$AT$9:'Winter 2016'!$AT$388,"&gt;0")</f>
        <v>74.689294399137978</v>
      </c>
      <c r="E305" s="48" t="s">
        <v>18</v>
      </c>
      <c r="F305" s="3">
        <f>SUM(B292:B293)/$B$83*100</f>
        <v>17.368421052631579</v>
      </c>
    </row>
    <row r="306" spans="1:6" x14ac:dyDescent="0.2">
      <c r="A306" s="48" t="s">
        <v>72</v>
      </c>
      <c r="B306" s="30">
        <f t="array" ref="B306">SUM(F302:F306*{4;3;2;1;0})/100</f>
        <v>2.1</v>
      </c>
      <c r="E306" s="48" t="s">
        <v>27</v>
      </c>
      <c r="F306" s="3">
        <f>SUM(B280:B291)/$B$83*100</f>
        <v>13.94736842105263</v>
      </c>
    </row>
    <row r="307" spans="1:6" x14ac:dyDescent="0.2">
      <c r="B307" s="3"/>
      <c r="F307" s="3"/>
    </row>
    <row r="308" spans="1:6" x14ac:dyDescent="0.2">
      <c r="B308" s="3"/>
    </row>
    <row r="309" spans="1:6" hidden="1" x14ac:dyDescent="0.2"/>
    <row r="310" spans="1:6" hidden="1" x14ac:dyDescent="0.2"/>
    <row r="311" spans="1:6" hidden="1" x14ac:dyDescent="0.2"/>
    <row r="312" spans="1:6" hidden="1" x14ac:dyDescent="0.2"/>
    <row r="313" spans="1:6" hidden="1" x14ac:dyDescent="0.2">
      <c r="A313" t="s">
        <v>24</v>
      </c>
      <c r="B313" t="s">
        <v>25</v>
      </c>
    </row>
    <row r="314" spans="1:6" hidden="1" x14ac:dyDescent="0.2">
      <c r="A314">
        <v>5</v>
      </c>
      <c r="B314">
        <f t="array" ref="B314:B333">FREQUENCY('Winter 2016'!AT9:'Winter 2016'!AT388,A314:A333)</f>
        <v>0</v>
      </c>
    </row>
    <row r="315" spans="1:6" hidden="1" x14ac:dyDescent="0.2">
      <c r="A315">
        <v>10</v>
      </c>
      <c r="B315">
        <v>0</v>
      </c>
    </row>
    <row r="316" spans="1:6" hidden="1" x14ac:dyDescent="0.2">
      <c r="A316">
        <v>15</v>
      </c>
      <c r="B316">
        <v>0</v>
      </c>
    </row>
    <row r="317" spans="1:6" hidden="1" x14ac:dyDescent="0.2">
      <c r="A317">
        <v>20</v>
      </c>
      <c r="B317">
        <v>4</v>
      </c>
    </row>
    <row r="318" spans="1:6" hidden="1" x14ac:dyDescent="0.2">
      <c r="A318">
        <v>25</v>
      </c>
      <c r="B318">
        <v>0</v>
      </c>
    </row>
    <row r="319" spans="1:6" hidden="1" x14ac:dyDescent="0.2">
      <c r="A319">
        <v>30</v>
      </c>
      <c r="B319">
        <v>6</v>
      </c>
    </row>
    <row r="320" spans="1:6" hidden="1" x14ac:dyDescent="0.2">
      <c r="A320">
        <v>35</v>
      </c>
      <c r="B320">
        <v>2</v>
      </c>
    </row>
    <row r="321" spans="1:3" hidden="1" x14ac:dyDescent="0.2">
      <c r="A321">
        <v>40</v>
      </c>
      <c r="B321">
        <v>7</v>
      </c>
    </row>
    <row r="322" spans="1:3" hidden="1" x14ac:dyDescent="0.2">
      <c r="A322">
        <v>45</v>
      </c>
      <c r="B322">
        <v>2</v>
      </c>
    </row>
    <row r="323" spans="1:3" hidden="1" x14ac:dyDescent="0.2">
      <c r="A323">
        <v>50</v>
      </c>
      <c r="B323">
        <v>2</v>
      </c>
    </row>
    <row r="324" spans="1:3" hidden="1" x14ac:dyDescent="0.2">
      <c r="A324">
        <v>55</v>
      </c>
      <c r="B324">
        <v>10</v>
      </c>
    </row>
    <row r="325" spans="1:3" hidden="1" x14ac:dyDescent="0.2">
      <c r="A325">
        <v>60</v>
      </c>
      <c r="B325">
        <v>20</v>
      </c>
    </row>
    <row r="326" spans="1:3" hidden="1" x14ac:dyDescent="0.2">
      <c r="A326">
        <v>65</v>
      </c>
      <c r="B326">
        <v>25</v>
      </c>
    </row>
    <row r="327" spans="1:3" hidden="1" x14ac:dyDescent="0.2">
      <c r="A327">
        <v>70</v>
      </c>
      <c r="B327">
        <v>41</v>
      </c>
    </row>
    <row r="328" spans="1:3" hidden="1" x14ac:dyDescent="0.2">
      <c r="A328">
        <v>75</v>
      </c>
      <c r="B328">
        <v>50</v>
      </c>
    </row>
    <row r="329" spans="1:3" hidden="1" x14ac:dyDescent="0.2">
      <c r="A329">
        <v>80</v>
      </c>
      <c r="B329">
        <v>58</v>
      </c>
    </row>
    <row r="330" spans="1:3" hidden="1" x14ac:dyDescent="0.2">
      <c r="A330">
        <v>85</v>
      </c>
      <c r="B330">
        <v>61</v>
      </c>
    </row>
    <row r="331" spans="1:3" hidden="1" x14ac:dyDescent="0.2">
      <c r="A331">
        <v>90</v>
      </c>
      <c r="B331">
        <v>35</v>
      </c>
    </row>
    <row r="332" spans="1:3" hidden="1" x14ac:dyDescent="0.2">
      <c r="A332">
        <v>95</v>
      </c>
      <c r="B332">
        <v>35</v>
      </c>
    </row>
    <row r="333" spans="1:3" ht="13.5" hidden="1" thickBot="1" x14ac:dyDescent="0.25">
      <c r="A333">
        <v>103</v>
      </c>
      <c r="B333">
        <v>17</v>
      </c>
    </row>
    <row r="334" spans="1:3" hidden="1" x14ac:dyDescent="0.2">
      <c r="A334" t="s">
        <v>25</v>
      </c>
      <c r="B334" s="16">
        <f>SUM(B314:B333)</f>
        <v>375</v>
      </c>
    </row>
    <row r="335" spans="1:3" hidden="1" x14ac:dyDescent="0.2"/>
    <row r="336" spans="1:3" hidden="1" x14ac:dyDescent="0.2">
      <c r="A336" t="s">
        <v>20</v>
      </c>
      <c r="B336" s="3">
        <f>MIN('Winter 2016'!$AT$9:$AT$388)</f>
        <v>15.019346378263684</v>
      </c>
      <c r="C336" s="3"/>
    </row>
    <row r="337" spans="1:3" hidden="1" x14ac:dyDescent="0.2">
      <c r="A337" t="s">
        <v>21</v>
      </c>
      <c r="B337" s="3">
        <f>MAX('Winter 2016'!$AT$9:$AT$388)</f>
        <v>104.69713758079409</v>
      </c>
      <c r="C337" s="3"/>
    </row>
    <row r="338" spans="1:3" hidden="1" x14ac:dyDescent="0.2">
      <c r="A338" t="s">
        <v>22</v>
      </c>
      <c r="B338" s="3">
        <f>MEDIAN('Winter 2016'!$AT$9:$AT$388)</f>
        <v>76.291575312862221</v>
      </c>
      <c r="C338" s="3"/>
    </row>
    <row r="339" spans="1:3" hidden="1" x14ac:dyDescent="0.2">
      <c r="A339" t="s">
        <v>30</v>
      </c>
      <c r="B339" s="3">
        <f>SUMIF('Winter 2016'!$AT$9:'Winter 2016'!$AT$388,"&gt;0")/COUNTIF('Winter 2016'!$AT$9:'Winter 2016'!$AT$388,"&gt;0")</f>
        <v>74.689294399137978</v>
      </c>
      <c r="C339" s="3"/>
    </row>
    <row r="340" spans="1:3" hidden="1" x14ac:dyDescent="0.2">
      <c r="A340" t="s">
        <v>23</v>
      </c>
      <c r="B340" s="3" t="e">
        <f>STDEV('Winter 2016'!#REF!)</f>
        <v>#REF!</v>
      </c>
    </row>
  </sheetData>
  <phoneticPr fontId="5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Winter 2016</vt:lpstr>
      <vt:lpstr>Quizzes</vt:lpstr>
      <vt:lpstr>Programs</vt:lpstr>
      <vt:lpstr>Exams</vt:lpstr>
      <vt:lpstr>All_Student_XC</vt:lpstr>
      <vt:lpstr>Normalize_To_Add</vt:lpstr>
      <vt:lpstr>Normalize_To_AddN</vt:lpstr>
      <vt:lpstr>Point_Total_So_Far</vt:lpstr>
    </vt:vector>
  </TitlesOfParts>
  <Company>Intro Group, SCS, CMU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E. Pattis</dc:creator>
  <cp:lastModifiedBy>Rich Pattis</cp:lastModifiedBy>
  <cp:lastPrinted>2014-10-19T08:27:46Z</cp:lastPrinted>
  <dcterms:created xsi:type="dcterms:W3CDTF">1997-08-26T22:08:47Z</dcterms:created>
  <dcterms:modified xsi:type="dcterms:W3CDTF">2016-03-22T22:23:17Z</dcterms:modified>
</cp:coreProperties>
</file>